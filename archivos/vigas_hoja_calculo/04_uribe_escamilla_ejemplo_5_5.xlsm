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24795" windowHeight="10485"/>
  </bookViews>
  <sheets>
    <sheet name="Hoja1" sheetId="1" r:id="rId1"/>
    <sheet name="Hoja2" sheetId="2" r:id="rId2"/>
    <sheet name="Hoja3" sheetId="3" r:id="rId3"/>
  </sheets>
  <definedNames>
    <definedName name="cortante">Hoja1!$G$7:$G$83</definedName>
    <definedName name="delta">Hoja1!$B$1</definedName>
    <definedName name="E">Hoja1!$B$2</definedName>
    <definedName name="ejeX">Hoja1!$A$7:$A$83</definedName>
    <definedName name="I">Hoja1!$B$3</definedName>
    <definedName name="momento">Hoja1!$F$7:$F$83</definedName>
    <definedName name="qs">Hoja1!$B$7:$B$83</definedName>
    <definedName name="theta">Hoja1!$E$7:$E$83</definedName>
    <definedName name="ws">Hoja1!$D$7:$D$83</definedName>
  </definedNames>
  <calcPr calcId="125725" calcMode="manual" iterate="1" iterateCount="3" iterateDelta="1E-10" calcCompleted="0" calcOnSave="0"/>
</workbook>
</file>

<file path=xl/calcChain.xml><?xml version="1.0" encoding="utf-8"?>
<calcChain xmlns="http://schemas.openxmlformats.org/spreadsheetml/2006/main">
  <c r="B27" i="1"/>
  <c r="B3"/>
  <c r="A8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l="1"/>
  <c r="A75" s="1"/>
  <c r="A76" s="1"/>
  <c r="A77" s="1"/>
  <c r="A78" s="1"/>
  <c r="A79" s="1"/>
  <c r="A80" s="1"/>
  <c r="A81" s="1"/>
  <c r="A82" s="1"/>
  <c r="A83" s="1"/>
  <c r="K2" l="1"/>
  <c r="D6"/>
  <c r="E7"/>
  <c r="F7"/>
  <c r="G7"/>
  <c r="H7"/>
  <c r="D8"/>
  <c r="E8"/>
  <c r="F8"/>
  <c r="G8"/>
  <c r="H8"/>
  <c r="D9"/>
  <c r="E9"/>
  <c r="F9"/>
  <c r="G9"/>
  <c r="H9"/>
  <c r="D10"/>
  <c r="E10"/>
  <c r="F10"/>
  <c r="G10"/>
  <c r="H10"/>
  <c r="D11"/>
  <c r="E11"/>
  <c r="F11"/>
  <c r="G11"/>
  <c r="H11"/>
  <c r="D12"/>
  <c r="E12"/>
  <c r="F12"/>
  <c r="G12"/>
  <c r="H12"/>
  <c r="D13"/>
  <c r="E13"/>
  <c r="F13"/>
  <c r="G13"/>
  <c r="H13"/>
  <c r="D14"/>
  <c r="E14"/>
  <c r="F14"/>
  <c r="G14"/>
  <c r="H14"/>
  <c r="D15"/>
  <c r="E15"/>
  <c r="F15"/>
  <c r="G15"/>
  <c r="H15"/>
  <c r="D16"/>
  <c r="E16"/>
  <c r="F16"/>
  <c r="G16"/>
  <c r="H16"/>
  <c r="D17"/>
  <c r="E17"/>
  <c r="F17"/>
  <c r="G17"/>
  <c r="H17"/>
  <c r="D18"/>
  <c r="E18"/>
  <c r="F18"/>
  <c r="G18"/>
  <c r="H18"/>
  <c r="D19"/>
  <c r="E19"/>
  <c r="F19"/>
  <c r="G19"/>
  <c r="H19"/>
  <c r="D20"/>
  <c r="E20"/>
  <c r="F20"/>
  <c r="G20"/>
  <c r="H20"/>
  <c r="D21"/>
  <c r="E21"/>
  <c r="F21"/>
  <c r="G21"/>
  <c r="H21"/>
  <c r="D22"/>
  <c r="E22"/>
  <c r="F22"/>
  <c r="G22"/>
  <c r="H22"/>
  <c r="D23"/>
  <c r="E23"/>
  <c r="F23"/>
  <c r="G23"/>
  <c r="H23"/>
  <c r="D24"/>
  <c r="E24"/>
  <c r="F24"/>
  <c r="G24"/>
  <c r="H24"/>
  <c r="D25"/>
  <c r="E25"/>
  <c r="F25"/>
  <c r="G25"/>
  <c r="H25"/>
  <c r="D26"/>
  <c r="E26"/>
  <c r="F26"/>
  <c r="G26"/>
  <c r="H26"/>
  <c r="D27"/>
  <c r="E27"/>
  <c r="F27"/>
  <c r="G27"/>
  <c r="H27"/>
  <c r="D28"/>
  <c r="E28"/>
  <c r="F28"/>
  <c r="G28"/>
  <c r="H28"/>
  <c r="D29"/>
  <c r="E29"/>
  <c r="F29"/>
  <c r="G29"/>
  <c r="H29"/>
  <c r="D30"/>
  <c r="E30"/>
  <c r="F30"/>
  <c r="G30"/>
  <c r="H30"/>
  <c r="D31"/>
  <c r="E31"/>
  <c r="F31"/>
  <c r="G31"/>
  <c r="H31"/>
  <c r="D32"/>
  <c r="E32"/>
  <c r="F32"/>
  <c r="G32"/>
  <c r="H32"/>
  <c r="D33"/>
  <c r="E33"/>
  <c r="F33"/>
  <c r="G33"/>
  <c r="H33"/>
  <c r="D34"/>
  <c r="E34"/>
  <c r="F34"/>
  <c r="G34"/>
  <c r="H34"/>
  <c r="D35"/>
  <c r="E35"/>
  <c r="F35"/>
  <c r="G35"/>
  <c r="H35"/>
  <c r="D36"/>
  <c r="E36"/>
  <c r="F36"/>
  <c r="G36"/>
  <c r="H36"/>
  <c r="D37"/>
  <c r="E37"/>
  <c r="F37"/>
  <c r="G37"/>
  <c r="H37"/>
  <c r="D38"/>
  <c r="E38"/>
  <c r="F38"/>
  <c r="G38"/>
  <c r="H38"/>
  <c r="D39"/>
  <c r="E39"/>
  <c r="F39"/>
  <c r="G39"/>
  <c r="H39"/>
  <c r="D40"/>
  <c r="E40"/>
  <c r="F40"/>
  <c r="G40"/>
  <c r="H40"/>
  <c r="D41"/>
  <c r="E41"/>
  <c r="F41"/>
  <c r="G41"/>
  <c r="H41"/>
  <c r="D42"/>
  <c r="E42"/>
  <c r="F42"/>
  <c r="G42"/>
  <c r="H42"/>
  <c r="D43"/>
  <c r="E43"/>
  <c r="F43"/>
  <c r="G43"/>
  <c r="H43"/>
  <c r="D44"/>
  <c r="E44"/>
  <c r="F44"/>
  <c r="G44"/>
  <c r="H44"/>
  <c r="D45"/>
  <c r="E45"/>
  <c r="F45"/>
  <c r="G45"/>
  <c r="H45"/>
  <c r="D46"/>
  <c r="E46"/>
  <c r="F46"/>
  <c r="G46"/>
  <c r="H46"/>
  <c r="E47"/>
  <c r="F47"/>
  <c r="G47"/>
  <c r="H47"/>
  <c r="D48"/>
  <c r="E48"/>
  <c r="F48"/>
  <c r="G48"/>
  <c r="H48"/>
  <c r="D49"/>
  <c r="E49"/>
  <c r="F49"/>
  <c r="G49"/>
  <c r="H49"/>
  <c r="D50"/>
  <c r="E50"/>
  <c r="F50"/>
  <c r="G50"/>
  <c r="H50"/>
  <c r="D51"/>
  <c r="E51"/>
  <c r="F51"/>
  <c r="G51"/>
  <c r="H51"/>
  <c r="D52"/>
  <c r="E52"/>
  <c r="F52"/>
  <c r="G52"/>
  <c r="H52"/>
  <c r="D53"/>
  <c r="E53"/>
  <c r="F53"/>
  <c r="G53"/>
  <c r="H53"/>
  <c r="D54"/>
  <c r="E54"/>
  <c r="F54"/>
  <c r="G54"/>
  <c r="H54"/>
  <c r="D55"/>
  <c r="E55"/>
  <c r="F55"/>
  <c r="G55"/>
  <c r="H55"/>
  <c r="D56"/>
  <c r="E56"/>
  <c r="F56"/>
  <c r="G56"/>
  <c r="H56"/>
  <c r="D57"/>
  <c r="E57"/>
  <c r="F57"/>
  <c r="G57"/>
  <c r="H57"/>
  <c r="D58"/>
  <c r="E58"/>
  <c r="F58"/>
  <c r="G58"/>
  <c r="H58"/>
  <c r="D59"/>
  <c r="E59"/>
  <c r="F59"/>
  <c r="G59"/>
  <c r="H59"/>
  <c r="D60"/>
  <c r="E60"/>
  <c r="F60"/>
  <c r="G60"/>
  <c r="H60"/>
  <c r="D61"/>
  <c r="E61"/>
  <c r="F61"/>
  <c r="G61"/>
  <c r="H61"/>
  <c r="D62"/>
  <c r="E62"/>
  <c r="F62"/>
  <c r="G62"/>
  <c r="H62"/>
  <c r="D63"/>
  <c r="E63"/>
  <c r="F63"/>
  <c r="G63"/>
  <c r="H63"/>
  <c r="D64"/>
  <c r="E64"/>
  <c r="F64"/>
  <c r="G64"/>
  <c r="H64"/>
  <c r="D65"/>
  <c r="E65"/>
  <c r="F65"/>
  <c r="G65"/>
  <c r="H65"/>
  <c r="D66"/>
  <c r="E66"/>
  <c r="F66"/>
  <c r="G66"/>
  <c r="H66"/>
  <c r="D67"/>
  <c r="E67"/>
  <c r="F67"/>
  <c r="G67"/>
  <c r="H67"/>
  <c r="D68"/>
  <c r="E68"/>
  <c r="F68"/>
  <c r="G68"/>
  <c r="H68"/>
  <c r="D69"/>
  <c r="E69"/>
  <c r="F69"/>
  <c r="G69"/>
  <c r="H69"/>
  <c r="D70"/>
  <c r="E70"/>
  <c r="F70"/>
  <c r="G70"/>
  <c r="H70"/>
  <c r="E71"/>
  <c r="F71"/>
  <c r="G71"/>
  <c r="H71"/>
  <c r="D72"/>
  <c r="E72"/>
  <c r="F72"/>
  <c r="G72"/>
  <c r="H72"/>
  <c r="D73"/>
  <c r="E73"/>
  <c r="F73"/>
  <c r="G73"/>
  <c r="H73"/>
  <c r="D74"/>
  <c r="E74"/>
  <c r="F74"/>
  <c r="G74"/>
  <c r="H74"/>
  <c r="D75"/>
  <c r="E75"/>
  <c r="F75"/>
  <c r="G75"/>
  <c r="H75"/>
  <c r="D76"/>
  <c r="E76"/>
  <c r="F76"/>
  <c r="G76"/>
  <c r="H76"/>
  <c r="D77"/>
  <c r="E77"/>
  <c r="F77"/>
  <c r="G77"/>
  <c r="H77"/>
  <c r="D78"/>
  <c r="E78"/>
  <c r="F78"/>
  <c r="G78"/>
  <c r="H78"/>
  <c r="D79"/>
  <c r="E79"/>
  <c r="F79"/>
  <c r="G79"/>
  <c r="H79"/>
  <c r="D80"/>
  <c r="E80"/>
  <c r="F80"/>
  <c r="G80"/>
  <c r="H80"/>
  <c r="D81"/>
  <c r="E81"/>
  <c r="F81"/>
  <c r="G81"/>
  <c r="H81"/>
  <c r="D82"/>
  <c r="E82"/>
  <c r="F82"/>
  <c r="G82"/>
  <c r="H82"/>
  <c r="D83"/>
  <c r="E83"/>
  <c r="F83"/>
  <c r="G83"/>
  <c r="H83"/>
  <c r="D84"/>
  <c r="D85"/>
</calcChain>
</file>

<file path=xl/sharedStrings.xml><?xml version="1.0" encoding="utf-8"?>
<sst xmlns="http://schemas.openxmlformats.org/spreadsheetml/2006/main" count="18" uniqueCount="16">
  <si>
    <t xml:space="preserve">delta = </t>
  </si>
  <si>
    <t>x</t>
  </si>
  <si>
    <t>V</t>
  </si>
  <si>
    <t>M</t>
  </si>
  <si>
    <t>w</t>
  </si>
  <si>
    <t>m</t>
  </si>
  <si>
    <t xml:space="preserve">E = </t>
  </si>
  <si>
    <t>Pa</t>
  </si>
  <si>
    <t>I =</t>
  </si>
  <si>
    <t>m^4</t>
  </si>
  <si>
    <t>q</t>
  </si>
  <si>
    <t>theta</t>
  </si>
  <si>
    <t>q (N/m)</t>
  </si>
  <si>
    <t>w (m)</t>
  </si>
  <si>
    <t>M (N-m)</t>
  </si>
  <si>
    <t>V (N)</t>
  </si>
</sst>
</file>

<file path=xl/styles.xml><?xml version="1.0" encoding="utf-8"?>
<styleSheet xmlns="http://schemas.openxmlformats.org/spreadsheetml/2006/main">
  <numFmts count="2">
    <numFmt numFmtId="164" formatCode="0.0000E+00"/>
    <numFmt numFmtId="165" formatCode="0.0000"/>
  </numFmts>
  <fonts count="3"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/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Hoja1!$A$7:$A$83</c:f>
              <c:numCache>
                <c:formatCode>0.00</c:formatCode>
                <c:ptCount val="7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</c:numCache>
            </c:numRef>
          </c:xVal>
          <c:yVal>
            <c:numRef>
              <c:f>Hoja1!$B$7:$B$83</c:f>
              <c:numCache>
                <c:formatCode>General</c:formatCode>
                <c:ptCount val="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-0.6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-1.2</c:v>
                </c:pt>
                <c:pt idx="52">
                  <c:v>-1.2</c:v>
                </c:pt>
                <c:pt idx="53">
                  <c:v>-1.2</c:v>
                </c:pt>
                <c:pt idx="54">
                  <c:v>-1.2</c:v>
                </c:pt>
                <c:pt idx="55">
                  <c:v>-1.2</c:v>
                </c:pt>
                <c:pt idx="56">
                  <c:v>-1.2</c:v>
                </c:pt>
                <c:pt idx="57">
                  <c:v>-1.2</c:v>
                </c:pt>
                <c:pt idx="58">
                  <c:v>-1.2</c:v>
                </c:pt>
                <c:pt idx="59">
                  <c:v>-1.2</c:v>
                </c:pt>
                <c:pt idx="60">
                  <c:v>-1.2</c:v>
                </c:pt>
                <c:pt idx="61">
                  <c:v>-1.2</c:v>
                </c:pt>
                <c:pt idx="62">
                  <c:v>-1.2</c:v>
                </c:pt>
                <c:pt idx="63">
                  <c:v>-1.2</c:v>
                </c:pt>
                <c:pt idx="64">
                  <c:v>-0.6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</c:numCache>
            </c:numRef>
          </c:yVal>
        </c:ser>
        <c:axId val="55446528"/>
        <c:axId val="63624320"/>
      </c:scatterChart>
      <c:valAx>
        <c:axId val="55446528"/>
        <c:scaling>
          <c:orientation val="minMax"/>
          <c:max val="19"/>
          <c:min val="0"/>
        </c:scaling>
        <c:axPos val="b"/>
        <c:numFmt formatCode="0.00" sourceLinked="1"/>
        <c:tickLblPos val="nextTo"/>
        <c:crossAx val="63624320"/>
        <c:crosses val="autoZero"/>
        <c:crossBetween val="midCat"/>
      </c:valAx>
      <c:valAx>
        <c:axId val="63624320"/>
        <c:scaling>
          <c:orientation val="minMax"/>
        </c:scaling>
        <c:axPos val="l"/>
        <c:majorGridlines/>
        <c:numFmt formatCode="General" sourceLinked="1"/>
        <c:tickLblPos val="nextTo"/>
        <c:crossAx val="55446528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Hoja1!$A$7:$A$83</c:f>
              <c:numCache>
                <c:formatCode>0.00</c:formatCode>
                <c:ptCount val="7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</c:numCache>
            </c:numRef>
          </c:xVal>
          <c:yVal>
            <c:numRef>
              <c:f>Hoja1!$G$7:$G$83</c:f>
              <c:numCache>
                <c:formatCode>0.0000</c:formatCode>
                <c:ptCount val="77"/>
                <c:pt idx="0">
                  <c:v>1.5405321779983332</c:v>
                </c:pt>
                <c:pt idx="1">
                  <c:v>1.5405321779983892</c:v>
                </c:pt>
                <c:pt idx="2">
                  <c:v>1.5405321779986672</c:v>
                </c:pt>
                <c:pt idx="3">
                  <c:v>1.540532177999161</c:v>
                </c:pt>
                <c:pt idx="4">
                  <c:v>1.5405321780000087</c:v>
                </c:pt>
                <c:pt idx="5">
                  <c:v>1.5405321780012491</c:v>
                </c:pt>
                <c:pt idx="6">
                  <c:v>1.5405321780029757</c:v>
                </c:pt>
                <c:pt idx="7">
                  <c:v>1.5405321780051371</c:v>
                </c:pt>
                <c:pt idx="8">
                  <c:v>1.5405321780077883</c:v>
                </c:pt>
                <c:pt idx="9">
                  <c:v>1.5405321780108903</c:v>
                </c:pt>
                <c:pt idx="10">
                  <c:v>1.5405321780144521</c:v>
                </c:pt>
                <c:pt idx="11">
                  <c:v>1.5405321780188945</c:v>
                </c:pt>
                <c:pt idx="12">
                  <c:v>1.5405321780236569</c:v>
                </c:pt>
                <c:pt idx="13">
                  <c:v>1.5405321780287802</c:v>
                </c:pt>
                <c:pt idx="14">
                  <c:v>1.5405321780346233</c:v>
                </c:pt>
                <c:pt idx="15">
                  <c:v>1.5405321780411474</c:v>
                </c:pt>
                <c:pt idx="16">
                  <c:v>1.5405321780477901</c:v>
                </c:pt>
                <c:pt idx="17">
                  <c:v>1.540532178054594</c:v>
                </c:pt>
                <c:pt idx="18">
                  <c:v>1.5405321780618788</c:v>
                </c:pt>
                <c:pt idx="19">
                  <c:v>1.5405321780693235</c:v>
                </c:pt>
                <c:pt idx="20">
                  <c:v>4.0532178077326897E-2</c:v>
                </c:pt>
                <c:pt idx="21">
                  <c:v>-1.4594678219145889</c:v>
                </c:pt>
                <c:pt idx="22">
                  <c:v>-1.4594678219061832</c:v>
                </c:pt>
                <c:pt idx="23">
                  <c:v>-1.4594678218973778</c:v>
                </c:pt>
                <c:pt idx="24">
                  <c:v>-1.4594678218892945</c:v>
                </c:pt>
                <c:pt idx="25">
                  <c:v>-1.4594678218813697</c:v>
                </c:pt>
                <c:pt idx="26">
                  <c:v>-1.4594678218737656</c:v>
                </c:pt>
                <c:pt idx="27">
                  <c:v>-1.4594678218667216</c:v>
                </c:pt>
                <c:pt idx="28">
                  <c:v>-1.4594678218596777</c:v>
                </c:pt>
                <c:pt idx="29">
                  <c:v>-1.459467821853194</c:v>
                </c:pt>
                <c:pt idx="30">
                  <c:v>-1.4594678218469905</c:v>
                </c:pt>
                <c:pt idx="31">
                  <c:v>-1.4594678218413073</c:v>
                </c:pt>
                <c:pt idx="32">
                  <c:v>-1.4594678218361845</c:v>
                </c:pt>
                <c:pt idx="33">
                  <c:v>-1.4594678218315418</c:v>
                </c:pt>
                <c:pt idx="34">
                  <c:v>-1.4594678218276798</c:v>
                </c:pt>
                <c:pt idx="35">
                  <c:v>-1.459467821824378</c:v>
                </c:pt>
                <c:pt idx="36">
                  <c:v>-1.4594678218217867</c:v>
                </c:pt>
                <c:pt idx="37">
                  <c:v>-1.4594678218198656</c:v>
                </c:pt>
                <c:pt idx="38">
                  <c:v>-1.4594678218186292</c:v>
                </c:pt>
                <c:pt idx="39">
                  <c:v>-1.4594678218180688</c:v>
                </c:pt>
                <c:pt idx="40">
                  <c:v>0.91024117556000483</c:v>
                </c:pt>
                <c:pt idx="41">
                  <c:v>3.1299501729374244</c:v>
                </c:pt>
                <c:pt idx="42">
                  <c:v>2.8299501729360399</c:v>
                </c:pt>
                <c:pt idx="43">
                  <c:v>2.529950172934063</c:v>
                </c:pt>
                <c:pt idx="44">
                  <c:v>2.2299501729315097</c:v>
                </c:pt>
                <c:pt idx="45">
                  <c:v>1.9299501729284336</c:v>
                </c:pt>
                <c:pt idx="46">
                  <c:v>1.6299501729248946</c:v>
                </c:pt>
                <c:pt idx="47">
                  <c:v>1.3299501729209573</c:v>
                </c:pt>
                <c:pt idx="48">
                  <c:v>1.0299501729167067</c:v>
                </c:pt>
                <c:pt idx="49">
                  <c:v>0.72995017291212094</c:v>
                </c:pt>
                <c:pt idx="50">
                  <c:v>0.42995017290725057</c:v>
                </c:pt>
                <c:pt idx="51">
                  <c:v>0.12995017290230981</c:v>
                </c:pt>
                <c:pt idx="52">
                  <c:v>-0.17004982710279126</c:v>
                </c:pt>
                <c:pt idx="53">
                  <c:v>-0.4700498271078617</c:v>
                </c:pt>
                <c:pt idx="54">
                  <c:v>-0.77004982711283243</c:v>
                </c:pt>
                <c:pt idx="55">
                  <c:v>-1.0700498271176333</c:v>
                </c:pt>
                <c:pt idx="56">
                  <c:v>-1.3700498271222439</c:v>
                </c:pt>
                <c:pt idx="57">
                  <c:v>-1.670049827126534</c:v>
                </c:pt>
                <c:pt idx="58">
                  <c:v>-1.970049827130429</c:v>
                </c:pt>
                <c:pt idx="59">
                  <c:v>-2.2700498271338292</c:v>
                </c:pt>
                <c:pt idx="60">
                  <c:v>-2.5700498271366579</c:v>
                </c:pt>
                <c:pt idx="61">
                  <c:v>-2.8700498271388568</c:v>
                </c:pt>
                <c:pt idx="62">
                  <c:v>-3.1700498271403532</c:v>
                </c:pt>
                <c:pt idx="63">
                  <c:v>-3.4700498271410556</c:v>
                </c:pt>
                <c:pt idx="64">
                  <c:v>-1.0600249136133861</c:v>
                </c:pt>
                <c:pt idx="65">
                  <c:v>1.4999999999151878</c:v>
                </c:pt>
                <c:pt idx="66">
                  <c:v>1.4999999999172493</c:v>
                </c:pt>
                <c:pt idx="67">
                  <c:v>1.4999999999204086</c:v>
                </c:pt>
                <c:pt idx="68">
                  <c:v>1.4999999999246576</c:v>
                </c:pt>
                <c:pt idx="69">
                  <c:v>1.4999999999299716</c:v>
                </c:pt>
                <c:pt idx="70">
                  <c:v>1.499999999936485</c:v>
                </c:pt>
                <c:pt idx="71">
                  <c:v>1.4999999999439688</c:v>
                </c:pt>
                <c:pt idx="72">
                  <c:v>1.4999999999528533</c:v>
                </c:pt>
                <c:pt idx="73">
                  <c:v>1.4999999999630991</c:v>
                </c:pt>
                <c:pt idx="74">
                  <c:v>1.4999999999743454</c:v>
                </c:pt>
                <c:pt idx="75">
                  <c:v>1.4999999999866325</c:v>
                </c:pt>
                <c:pt idx="76">
                  <c:v>1.4999999999980789</c:v>
                </c:pt>
              </c:numCache>
            </c:numRef>
          </c:yVal>
        </c:ser>
        <c:axId val="72208768"/>
        <c:axId val="72210304"/>
      </c:scatterChart>
      <c:valAx>
        <c:axId val="72208768"/>
        <c:scaling>
          <c:orientation val="minMax"/>
          <c:max val="19"/>
          <c:min val="0"/>
        </c:scaling>
        <c:axPos val="b"/>
        <c:numFmt formatCode="0.00" sourceLinked="1"/>
        <c:tickLblPos val="nextTo"/>
        <c:crossAx val="72210304"/>
        <c:crosses val="autoZero"/>
        <c:crossBetween val="midCat"/>
      </c:valAx>
      <c:valAx>
        <c:axId val="72210304"/>
        <c:scaling>
          <c:orientation val="minMax"/>
        </c:scaling>
        <c:axPos val="l"/>
        <c:majorGridlines/>
        <c:numFmt formatCode="0.0000" sourceLinked="1"/>
        <c:tickLblPos val="nextTo"/>
        <c:crossAx val="72208768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Hoja1!$A$7:$A$83</c:f>
              <c:numCache>
                <c:formatCode>0.00</c:formatCode>
                <c:ptCount val="7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</c:numCache>
            </c:numRef>
          </c:xVal>
          <c:yVal>
            <c:numRef>
              <c:f>Hoja1!$F$7:$F$83</c:f>
              <c:numCache>
                <c:formatCode>0.0000</c:formatCode>
                <c:ptCount val="77"/>
                <c:pt idx="0">
                  <c:v>-3.8850228180527302</c:v>
                </c:pt>
                <c:pt idx="1">
                  <c:v>-3.4998897735531558</c:v>
                </c:pt>
                <c:pt idx="2">
                  <c:v>-3.1147567290535356</c:v>
                </c:pt>
                <c:pt idx="3">
                  <c:v>-2.7296236845538333</c:v>
                </c:pt>
                <c:pt idx="4">
                  <c:v>-2.3444906400539622</c:v>
                </c:pt>
                <c:pt idx="5">
                  <c:v>-1.9593575955538489</c:v>
                </c:pt>
                <c:pt idx="6">
                  <c:v>-1.5742245510533577</c:v>
                </c:pt>
                <c:pt idx="7">
                  <c:v>-1.189091506552391</c:v>
                </c:pt>
                <c:pt idx="8">
                  <c:v>-0.80395846205081922</c:v>
                </c:pt>
                <c:pt idx="9">
                  <c:v>-0.41882541754849689</c:v>
                </c:pt>
                <c:pt idx="10">
                  <c:v>-3.369237304537414E-2</c:v>
                </c:pt>
                <c:pt idx="11">
                  <c:v>0.35144067145876917</c:v>
                </c:pt>
                <c:pt idx="12">
                  <c:v>0.73657371596411314</c:v>
                </c:pt>
                <c:pt idx="13">
                  <c:v>1.1217067604705977</c:v>
                </c:pt>
                <c:pt idx="14">
                  <c:v>1.5068398049784231</c:v>
                </c:pt>
                <c:pt idx="15">
                  <c:v>1.8919728494879495</c:v>
                </c:pt>
                <c:pt idx="16">
                  <c:v>2.2771058939990767</c:v>
                </c:pt>
                <c:pt idx="17">
                  <c:v>2.6622389385118046</c:v>
                </c:pt>
                <c:pt idx="18">
                  <c:v>3.0473719830264137</c:v>
                </c:pt>
                <c:pt idx="19">
                  <c:v>3.432505027542744</c:v>
                </c:pt>
                <c:pt idx="20">
                  <c:v>3.8176380720610754</c:v>
                </c:pt>
                <c:pt idx="21">
                  <c:v>3.4527711165814075</c:v>
                </c:pt>
                <c:pt idx="22">
                  <c:v>3.087904161103781</c:v>
                </c:pt>
                <c:pt idx="23">
                  <c:v>2.7230372056284762</c:v>
                </c:pt>
                <c:pt idx="24">
                  <c:v>2.358170250155132</c:v>
                </c:pt>
                <c:pt idx="25">
                  <c:v>1.993303294683749</c:v>
                </c:pt>
                <c:pt idx="26">
                  <c:v>1.6284363392144472</c:v>
                </c:pt>
                <c:pt idx="27">
                  <c:v>1.2635693837467863</c:v>
                </c:pt>
                <c:pt idx="28">
                  <c:v>0.89870242828104641</c:v>
                </c:pt>
                <c:pt idx="29">
                  <c:v>0.53383547281690746</c:v>
                </c:pt>
                <c:pt idx="30">
                  <c:v>0.16896851735440943</c:v>
                </c:pt>
                <c:pt idx="31">
                  <c:v>-0.19589843810656773</c:v>
                </c:pt>
                <c:pt idx="32">
                  <c:v>-0.56076539356620414</c:v>
                </c:pt>
                <c:pt idx="33">
                  <c:v>-0.92563234902461988</c:v>
                </c:pt>
                <c:pt idx="34">
                  <c:v>-1.290499304482015</c:v>
                </c:pt>
                <c:pt idx="35">
                  <c:v>-1.6553662599384698</c:v>
                </c:pt>
                <c:pt idx="36">
                  <c:v>-2.020233215394204</c:v>
                </c:pt>
                <c:pt idx="37">
                  <c:v>-2.3851001708493631</c:v>
                </c:pt>
                <c:pt idx="38">
                  <c:v>-2.7499671263041292</c:v>
                </c:pt>
                <c:pt idx="39">
                  <c:v>-3.1148340817586777</c:v>
                </c:pt>
                <c:pt idx="40">
                  <c:v>-3.4797010372131676</c:v>
                </c:pt>
                <c:pt idx="41">
                  <c:v>-2.659713493978678</c:v>
                </c:pt>
                <c:pt idx="42">
                  <c:v>-1.9147259507444581</c:v>
                </c:pt>
                <c:pt idx="43">
                  <c:v>-1.2447384075106604</c:v>
                </c:pt>
                <c:pt idx="44">
                  <c:v>-0.64975086427743178</c:v>
                </c:pt>
                <c:pt idx="45">
                  <c:v>-0.12976332104490809</c:v>
                </c:pt>
                <c:pt idx="46">
                  <c:v>0.31522422218677998</c:v>
                </c:pt>
                <c:pt idx="47">
                  <c:v>0.68521176541752427</c:v>
                </c:pt>
                <c:pt idx="48">
                  <c:v>0.98019930864724858</c:v>
                </c:pt>
                <c:pt idx="49">
                  <c:v>1.2001868518758676</c:v>
                </c:pt>
                <c:pt idx="50">
                  <c:v>1.3451743951032791</c:v>
                </c:pt>
                <c:pt idx="51">
                  <c:v>1.415161938329488</c:v>
                </c:pt>
                <c:pt idx="52">
                  <c:v>1.4101494815544291</c:v>
                </c:pt>
                <c:pt idx="53">
                  <c:v>1.3301370247780924</c:v>
                </c:pt>
                <c:pt idx="54">
                  <c:v>1.1751245680004831</c:v>
                </c:pt>
                <c:pt idx="55">
                  <c:v>0.94511211122166117</c:v>
                </c:pt>
                <c:pt idx="56">
                  <c:v>0.64009965444165651</c:v>
                </c:pt>
                <c:pt idx="57">
                  <c:v>0.26008719766053429</c:v>
                </c:pt>
                <c:pt idx="58">
                  <c:v>-0.19492525912161801</c:v>
                </c:pt>
                <c:pt idx="59">
                  <c:v>-0.72493771590468781</c:v>
                </c:pt>
                <c:pt idx="60">
                  <c:v>-1.3299501726885388</c:v>
                </c:pt>
                <c:pt idx="61">
                  <c:v>-2.009962629473022</c:v>
                </c:pt>
                <c:pt idx="62">
                  <c:v>-2.7649750862579747</c:v>
                </c:pt>
                <c:pt idx="63">
                  <c:v>-3.5949875430432074</c:v>
                </c:pt>
                <c:pt idx="64">
                  <c:v>-4.4999999998285105</c:v>
                </c:pt>
                <c:pt idx="65">
                  <c:v>-4.1249999998499112</c:v>
                </c:pt>
                <c:pt idx="66">
                  <c:v>-3.7499999998709241</c:v>
                </c:pt>
                <c:pt idx="67">
                  <c:v>-3.374999999891299</c:v>
                </c:pt>
                <c:pt idx="68">
                  <c:v>-2.9999999999107452</c:v>
                </c:pt>
                <c:pt idx="69">
                  <c:v>-2.6249999999290003</c:v>
                </c:pt>
                <c:pt idx="70">
                  <c:v>-2.2499999999457296</c:v>
                </c:pt>
                <c:pt idx="71">
                  <c:v>-1.8749999999607379</c:v>
                </c:pt>
                <c:pt idx="72">
                  <c:v>-1.4999999999736651</c:v>
                </c:pt>
                <c:pt idx="73">
                  <c:v>-1.1249999999842311</c:v>
                </c:pt>
                <c:pt idx="74">
                  <c:v>-0.74999999999219558</c:v>
                </c:pt>
                <c:pt idx="75">
                  <c:v>-0.37499999999713834</c:v>
                </c:pt>
                <c:pt idx="76">
                  <c:v>1.2807138162485023E-12</c:v>
                </c:pt>
              </c:numCache>
            </c:numRef>
          </c:yVal>
        </c:ser>
        <c:axId val="79743616"/>
        <c:axId val="79754368"/>
      </c:scatterChart>
      <c:valAx>
        <c:axId val="79743616"/>
        <c:scaling>
          <c:orientation val="minMax"/>
          <c:max val="19"/>
          <c:min val="0"/>
        </c:scaling>
        <c:axPos val="b"/>
        <c:numFmt formatCode="0.00" sourceLinked="1"/>
        <c:tickLblPos val="nextTo"/>
        <c:crossAx val="79754368"/>
        <c:crosses val="autoZero"/>
        <c:crossBetween val="midCat"/>
      </c:valAx>
      <c:valAx>
        <c:axId val="79754368"/>
        <c:scaling>
          <c:orientation val="minMax"/>
        </c:scaling>
        <c:axPos val="l"/>
        <c:majorGridlines/>
        <c:numFmt formatCode="0.0000" sourceLinked="1"/>
        <c:tickLblPos val="nextTo"/>
        <c:crossAx val="79743616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Hoja1!$A$7:$A$83</c:f>
              <c:numCache>
                <c:formatCode>0.00</c:formatCode>
                <c:ptCount val="7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</c:numCache>
            </c:numRef>
          </c:xVal>
          <c:yVal>
            <c:numRef>
              <c:f>Hoja1!$E$7:$E$83</c:f>
              <c:numCache>
                <c:formatCode>0.0000E+00</c:formatCode>
                <c:ptCount val="77"/>
                <c:pt idx="0">
                  <c:v>0</c:v>
                </c:pt>
                <c:pt idx="1">
                  <c:v>-1.9536805797899182E-8</c:v>
                </c:pt>
                <c:pt idx="2">
                  <c:v>-3.7035870619610113E-8</c:v>
                </c:pt>
                <c:pt idx="3">
                  <c:v>-5.2497194465132426E-8</c:v>
                </c:pt>
                <c:pt idx="4">
                  <c:v>-6.5920777334465528E-8</c:v>
                </c:pt>
                <c:pt idx="5">
                  <c:v>-7.7306619227608367E-8</c:v>
                </c:pt>
                <c:pt idx="6">
                  <c:v>-8.6654720144559335E-8</c:v>
                </c:pt>
                <c:pt idx="7">
                  <c:v>-9.3965080085316183E-8</c:v>
                </c:pt>
                <c:pt idx="8">
                  <c:v>-9.9237699049875998E-8</c:v>
                </c:pt>
                <c:pt idx="9">
                  <c:v>-1.0247257703823535E-7</c:v>
                </c:pt>
                <c:pt idx="10">
                  <c:v>-1.0366971405039004E-7</c:v>
                </c:pt>
                <c:pt idx="11">
                  <c:v>-1.0282911008633534E-7</c:v>
                </c:pt>
                <c:pt idx="12">
                  <c:v>-9.9950765146065287E-8</c:v>
                </c:pt>
                <c:pt idx="13">
                  <c:v>-9.5034679229573673E-8</c:v>
                </c:pt>
                <c:pt idx="14">
                  <c:v>-8.8080852336853726E-8</c:v>
                </c:pt>
                <c:pt idx="15">
                  <c:v>-7.9089284467897823E-8</c:v>
                </c:pt>
                <c:pt idx="16">
                  <c:v>-6.8059975622697228E-8</c:v>
                </c:pt>
                <c:pt idx="17">
                  <c:v>-5.4992925801243048E-8</c:v>
                </c:pt>
                <c:pt idx="18">
                  <c:v>-3.9888135003526284E-8</c:v>
                </c:pt>
                <c:pt idx="19">
                  <c:v>-2.2745603229537194E-8</c:v>
                </c:pt>
                <c:pt idx="20">
                  <c:v>-3.5653304792659308E-9</c:v>
                </c:pt>
                <c:pt idx="21">
                  <c:v>1.5668556263171109E-8</c:v>
                </c:pt>
                <c:pt idx="22">
                  <c:v>3.2971930013657635E-8</c:v>
                </c:pt>
                <c:pt idx="23">
                  <c:v>4.8344790772204554E-8</c:v>
                </c:pt>
                <c:pt idx="24">
                  <c:v>6.1787138538824042E-8</c:v>
                </c:pt>
                <c:pt idx="25">
                  <c:v>7.3298973313526686E-8</c:v>
                </c:pt>
                <c:pt idx="26">
                  <c:v>8.2880295096322757E-8</c:v>
                </c:pt>
                <c:pt idx="27">
                  <c:v>9.0531103887222366E-8</c:v>
                </c:pt>
                <c:pt idx="28">
                  <c:v>9.6251399686234778E-8</c:v>
                </c:pt>
                <c:pt idx="29">
                  <c:v>1.0004118249336936E-7</c:v>
                </c:pt>
                <c:pt idx="30">
                  <c:v>1.0190045230863475E-7</c:v>
                </c:pt>
                <c:pt idx="31">
                  <c:v>1.018292091320392E-7</c:v>
                </c:pt>
                <c:pt idx="32">
                  <c:v>9.9827452963590355E-8</c:v>
                </c:pt>
                <c:pt idx="33">
                  <c:v>9.5895183803295E-8</c:v>
                </c:pt>
                <c:pt idx="34">
                  <c:v>9.0032401651159272E-8</c:v>
                </c:pt>
                <c:pt idx="35">
                  <c:v>8.2239106507188294E-8</c:v>
                </c:pt>
                <c:pt idx="36">
                  <c:v>7.2515298371386394E-8</c:v>
                </c:pt>
                <c:pt idx="37">
                  <c:v>6.0860977243757025E-8</c:v>
                </c:pt>
                <c:pt idx="38">
                  <c:v>4.7276143124302735E-8</c:v>
                </c:pt>
                <c:pt idx="39">
                  <c:v>3.1760796013025167E-8</c:v>
                </c:pt>
                <c:pt idx="40">
                  <c:v>1.431493590992505E-8</c:v>
                </c:pt>
                <c:pt idx="41">
                  <c:v>-1.9269014741800685E-9</c:v>
                </c:pt>
                <c:pt idx="42">
                  <c:v>-1.4028593126886208E-8</c:v>
                </c:pt>
                <c:pt idx="43">
                  <c:v>-2.2386964445020608E-8</c:v>
                </c:pt>
                <c:pt idx="44">
                  <c:v>-2.7398840825411288E-8</c:v>
                </c:pt>
                <c:pt idx="45">
                  <c:v>-2.9461047664887052E-8</c:v>
                </c:pt>
                <c:pt idx="46">
                  <c:v>-2.897041036027739E-8</c:v>
                </c:pt>
                <c:pt idx="47">
                  <c:v>-2.6323754308412404E-8</c:v>
                </c:pt>
                <c:pt idx="48">
                  <c:v>-2.1917904906122741E-8</c:v>
                </c:pt>
                <c:pt idx="49">
                  <c:v>-1.6149687550239443E-8</c:v>
                </c:pt>
                <c:pt idx="50">
                  <c:v>-9.4159276375940021E-9</c:v>
                </c:pt>
                <c:pt idx="51">
                  <c:v>-2.113450565018322E-9</c:v>
                </c:pt>
                <c:pt idx="52">
                  <c:v>5.3609182706556648E-9</c:v>
                </c:pt>
                <c:pt idx="53">
                  <c:v>1.2610353472595775E-8</c:v>
                </c:pt>
                <c:pt idx="54">
                  <c:v>1.923802964396989E-8</c:v>
                </c:pt>
                <c:pt idx="55">
                  <c:v>2.4847121387945986E-8</c:v>
                </c:pt>
                <c:pt idx="56">
                  <c:v>2.9040803307692277E-8</c:v>
                </c:pt>
                <c:pt idx="57">
                  <c:v>3.142225000637724E-8</c:v>
                </c:pt>
                <c:pt idx="58">
                  <c:v>3.1594636087169771E-8</c:v>
                </c:pt>
                <c:pt idx="59">
                  <c:v>2.9161136153239284E-8</c:v>
                </c:pt>
                <c:pt idx="60">
                  <c:v>2.3724924807755859E-8</c:v>
                </c:pt>
                <c:pt idx="61">
                  <c:v>1.4889176653890322E-8</c:v>
                </c:pt>
                <c:pt idx="62">
                  <c:v>2.2570662948143348E-9</c:v>
                </c:pt>
                <c:pt idx="63">
                  <c:v>-1.4568231666299517E-8</c:v>
                </c:pt>
                <c:pt idx="64">
                  <c:v>-3.5983542626277599E-8</c:v>
                </c:pt>
                <c:pt idx="65">
                  <c:v>-5.8801002942887562E-8</c:v>
                </c:pt>
                <c:pt idx="66">
                  <c:v>-7.9634336275483171E-8</c:v>
                </c:pt>
                <c:pt idx="67">
                  <c:v>-9.8483542624061771E-8</c:v>
                </c:pt>
                <c:pt idx="68">
                  <c:v>-1.1534862198861919E-7</c:v>
                </c:pt>
                <c:pt idx="69">
                  <c:v>-1.3022957436914978E-7</c:v>
                </c:pt>
                <c:pt idx="70">
                  <c:v>-1.4312639976564663E-7</c:v>
                </c:pt>
                <c:pt idx="71">
                  <c:v>-1.5403909817810099E-7</c:v>
                </c:pt>
                <c:pt idx="72">
                  <c:v>-1.629676696065029E-7</c:v>
                </c:pt>
                <c:pt idx="73">
                  <c:v>-1.6991211405084062E-7</c:v>
                </c:pt>
                <c:pt idx="74">
                  <c:v>-1.7487243151110059E-7</c:v>
                </c:pt>
                <c:pt idx="75">
                  <c:v>-1.7784862198726793E-7</c:v>
                </c:pt>
                <c:pt idx="76">
                  <c:v>-1.7884068547932639E-7</c:v>
                </c:pt>
              </c:numCache>
            </c:numRef>
          </c:yVal>
        </c:ser>
        <c:axId val="83530880"/>
        <c:axId val="83532416"/>
      </c:scatterChart>
      <c:valAx>
        <c:axId val="83530880"/>
        <c:scaling>
          <c:orientation val="minMax"/>
          <c:max val="19"/>
          <c:min val="0"/>
        </c:scaling>
        <c:axPos val="b"/>
        <c:numFmt formatCode="0.00" sourceLinked="1"/>
        <c:tickLblPos val="nextTo"/>
        <c:crossAx val="83532416"/>
        <c:crosses val="autoZero"/>
        <c:crossBetween val="midCat"/>
      </c:valAx>
      <c:valAx>
        <c:axId val="83532416"/>
        <c:scaling>
          <c:orientation val="minMax"/>
        </c:scaling>
        <c:axPos val="l"/>
        <c:majorGridlines/>
        <c:numFmt formatCode="0.0000E+00" sourceLinked="1"/>
        <c:tickLblPos val="nextTo"/>
        <c:crossAx val="83530880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v>w</c:v>
          </c:tx>
          <c:xVal>
            <c:numRef>
              <c:f>Hoja1!$A$7:$A$83</c:f>
              <c:numCache>
                <c:formatCode>0.00</c:formatCode>
                <c:ptCount val="7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</c:numCache>
            </c:numRef>
          </c:xVal>
          <c:yVal>
            <c:numRef>
              <c:f>Hoja1!$D$7:$D$83</c:f>
              <c:numCache>
                <c:formatCode>0.0000E+00</c:formatCode>
                <c:ptCount val="77"/>
                <c:pt idx="0">
                  <c:v>0</c:v>
                </c:pt>
                <c:pt idx="1">
                  <c:v>-2.5694595357491639E-9</c:v>
                </c:pt>
                <c:pt idx="2">
                  <c:v>-9.7684028989496192E-9</c:v>
                </c:pt>
                <c:pt idx="3">
                  <c:v>-2.1087394845554265E-8</c:v>
                </c:pt>
                <c:pt idx="4">
                  <c:v>-3.6017000131515911E-8</c:v>
                </c:pt>
                <c:pt idx="5">
                  <c:v>-5.4047783512787151E-8</c:v>
                </c:pt>
                <c:pt idx="6">
                  <c:v>-7.4670309745320267E-8</c:v>
                </c:pt>
                <c:pt idx="7">
                  <c:v>-9.7375143585067044E-8</c:v>
                </c:pt>
                <c:pt idx="8">
                  <c:v>-1.2165284978797862E-7</c:v>
                </c:pt>
                <c:pt idx="9">
                  <c:v>-1.4699399311000539E-7</c:v>
                </c:pt>
                <c:pt idx="10">
                  <c:v>-1.728891383070967E-7</c:v>
                </c:pt>
                <c:pt idx="11">
                  <c:v>-1.9882885013520088E-7</c:v>
                </c:pt>
                <c:pt idx="12">
                  <c:v>-2.243036933502649E-7</c:v>
                </c:pt>
                <c:pt idx="13">
                  <c:v>-2.4880423270823411E-7</c:v>
                </c:pt>
                <c:pt idx="14">
                  <c:v>-2.7182103296505232E-7</c:v>
                </c:pt>
                <c:pt idx="15">
                  <c:v>-2.9284465887666166E-7</c:v>
                </c:pt>
                <c:pt idx="16">
                  <c:v>-3.1136567519900202E-7</c:v>
                </c:pt>
                <c:pt idx="17">
                  <c:v>-3.2687464668801107E-7</c:v>
                </c:pt>
                <c:pt idx="18">
                  <c:v>-3.3886213809962439E-7</c:v>
                </c:pt>
                <c:pt idx="19">
                  <c:v>-3.4681871418977506E-7</c:v>
                </c:pt>
                <c:pt idx="20">
                  <c:v>-3.5023493971439384E-7</c:v>
                </c:pt>
                <c:pt idx="21">
                  <c:v>-3.4860137942940887E-7</c:v>
                </c:pt>
                <c:pt idx="22">
                  <c:v>-3.4240066158280913E-7</c:v>
                </c:pt>
                <c:pt idx="23">
                  <c:v>-3.3211541442258106E-7</c:v>
                </c:pt>
                <c:pt idx="24">
                  <c:v>-3.1822826619670781E-7</c:v>
                </c:pt>
                <c:pt idx="25">
                  <c:v>-3.0122184515316988E-7</c:v>
                </c:pt>
                <c:pt idx="26">
                  <c:v>-2.8157877953994531E-7</c:v>
                </c:pt>
                <c:pt idx="27">
                  <c:v>-2.597816976050093E-7</c:v>
                </c:pt>
                <c:pt idx="28">
                  <c:v>-2.3631322759633489E-7</c:v>
                </c:pt>
                <c:pt idx="29">
                  <c:v>-2.1165599776189263E-7</c:v>
                </c:pt>
                <c:pt idx="30">
                  <c:v>-1.8629263634965088E-7</c:v>
                </c:pt>
                <c:pt idx="31">
                  <c:v>-1.6070577160757589E-7</c:v>
                </c:pt>
                <c:pt idx="32">
                  <c:v>-1.3537803178363186E-7</c:v>
                </c:pt>
                <c:pt idx="33">
                  <c:v>-1.1079204512578124E-7</c:v>
                </c:pt>
                <c:pt idx="34">
                  <c:v>-8.7430439881984796E-8</c:v>
                </c:pt>
                <c:pt idx="35">
                  <c:v>-6.5775844300201959E-8</c:v>
                </c:pt>
                <c:pt idx="36">
                  <c:v>-4.631088662839094E-8</c:v>
                </c:pt>
                <c:pt idx="37">
                  <c:v>-2.9518195114508987E-8</c:v>
                </c:pt>
                <c:pt idx="38">
                  <c:v>-1.5880398006512583E-8</c:v>
                </c:pt>
                <c:pt idx="39">
                  <c:v>-5.8801235523576956E-9</c:v>
                </c:pt>
                <c:pt idx="40">
                  <c:v>0</c:v>
                </c:pt>
                <c:pt idx="41">
                  <c:v>1.277344402604902E-9</c:v>
                </c:pt>
                <c:pt idx="42">
                  <c:v>-9.6345073708989196E-10</c:v>
                </c:pt>
                <c:pt idx="43">
                  <c:v>-5.7369521608379933E-9</c:v>
                </c:pt>
                <c:pt idx="44">
                  <c:v>-1.2156932959599921E-8</c:v>
                </c:pt>
                <c:pt idx="45">
                  <c:v>-1.9436372573543306E-8</c:v>
                </c:pt>
                <c:pt idx="46">
                  <c:v>-2.6887456792043063E-8</c:v>
                </c:pt>
                <c:pt idx="47">
                  <c:v>-3.3921577753681564E-8</c:v>
                </c:pt>
                <c:pt idx="48">
                  <c:v>-4.0049333946248789E-8</c:v>
                </c:pt>
                <c:pt idx="49">
                  <c:v>-4.4880530206742424E-8</c:v>
                </c:pt>
                <c:pt idx="50">
                  <c:v>-4.8124177721367961E-8</c:v>
                </c:pt>
                <c:pt idx="51">
                  <c:v>-4.958849402553887E-8</c:v>
                </c:pt>
                <c:pt idx="52">
                  <c:v>-4.918090300387656E-8</c:v>
                </c:pt>
                <c:pt idx="53">
                  <c:v>-4.6908034890210481E-8</c:v>
                </c:pt>
                <c:pt idx="54">
                  <c:v>-4.2875726267578117E-8</c:v>
                </c:pt>
                <c:pt idx="55">
                  <c:v>-3.7289020068224994E-8</c:v>
                </c:pt>
                <c:pt idx="56">
                  <c:v>-3.0452165573604607E-8</c:v>
                </c:pt>
                <c:pt idx="57">
                  <c:v>-2.2768618414378375E-8</c:v>
                </c:pt>
                <c:pt idx="58">
                  <c:v>-1.474104057041555E-8</c:v>
                </c:pt>
                <c:pt idx="59">
                  <c:v>-6.9713003707931052E-9</c:v>
                </c:pt>
                <c:pt idx="60">
                  <c:v>-1.604724937955834E-10</c:v>
                </c:pt>
                <c:pt idx="61">
                  <c:v>4.8911620330850806E-9</c:v>
                </c:pt>
                <c:pt idx="62">
                  <c:v>7.2841158331497583E-9</c:v>
                </c:pt>
                <c:pt idx="63">
                  <c:v>6.0196951804923439E-9</c:v>
                </c:pt>
                <c:pt idx="64">
                  <c:v>0</c:v>
                </c:pt>
                <c:pt idx="65">
                  <c:v>-1.1972076132646553E-8</c:v>
                </c:pt>
                <c:pt idx="66">
                  <c:v>-2.9400501471443983E-8</c:v>
                </c:pt>
                <c:pt idx="67">
                  <c:v>-5.1789244270388461E-8</c:v>
                </c:pt>
                <c:pt idx="68">
                  <c:v>-7.8642272783475305E-8</c:v>
                </c:pt>
                <c:pt idx="69">
                  <c:v>-1.094635552646986E-7</c:v>
                </c:pt>
                <c:pt idx="70">
                  <c:v>-1.4375705996805091E-7</c:v>
                </c:pt>
                <c:pt idx="71">
                  <c:v>-1.8102675514752276E-7</c:v>
                </c:pt>
                <c:pt idx="72">
                  <c:v>-2.2077660905710241E-7</c:v>
                </c:pt>
                <c:pt idx="73">
                  <c:v>-2.6251058995077538E-7</c:v>
                </c:pt>
                <c:pt idx="74">
                  <c:v>-3.0573266608252394E-7</c:v>
                </c:pt>
                <c:pt idx="75">
                  <c:v>-3.4994680570632694E-7</c:v>
                </c:pt>
                <c:pt idx="76">
                  <c:v>-3.9465697707615939E-7</c:v>
                </c:pt>
              </c:numCache>
            </c:numRef>
          </c:yVal>
        </c:ser>
        <c:axId val="85149952"/>
        <c:axId val="85160320"/>
      </c:scatterChart>
      <c:valAx>
        <c:axId val="85149952"/>
        <c:scaling>
          <c:orientation val="minMax"/>
          <c:max val="19"/>
          <c:min val="0"/>
        </c:scaling>
        <c:axPos val="b"/>
        <c:numFmt formatCode="0.00" sourceLinked="1"/>
        <c:tickLblPos val="nextTo"/>
        <c:crossAx val="85160320"/>
        <c:crosses val="autoZero"/>
        <c:crossBetween val="midCat"/>
      </c:valAx>
      <c:valAx>
        <c:axId val="85160320"/>
        <c:scaling>
          <c:orientation val="minMax"/>
        </c:scaling>
        <c:axPos val="l"/>
        <c:majorGridlines/>
        <c:numFmt formatCode="0.0000E+00" sourceLinked="1"/>
        <c:tickLblPos val="nextTo"/>
        <c:crossAx val="85149952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3</xdr:row>
      <xdr:rowOff>180975</xdr:rowOff>
    </xdr:from>
    <xdr:to>
      <xdr:col>19</xdr:col>
      <xdr:colOff>733425</xdr:colOff>
      <xdr:row>11</xdr:row>
      <xdr:rowOff>171450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13</xdr:row>
      <xdr:rowOff>0</xdr:rowOff>
    </xdr:from>
    <xdr:to>
      <xdr:col>19</xdr:col>
      <xdr:colOff>733425</xdr:colOff>
      <xdr:row>20</xdr:row>
      <xdr:rowOff>180975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9525</xdr:colOff>
      <xdr:row>21</xdr:row>
      <xdr:rowOff>180975</xdr:rowOff>
    </xdr:from>
    <xdr:to>
      <xdr:col>19</xdr:col>
      <xdr:colOff>733425</xdr:colOff>
      <xdr:row>29</xdr:row>
      <xdr:rowOff>171450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31</xdr:row>
      <xdr:rowOff>9525</xdr:rowOff>
    </xdr:from>
    <xdr:to>
      <xdr:col>19</xdr:col>
      <xdr:colOff>723900</xdr:colOff>
      <xdr:row>39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40</xdr:row>
      <xdr:rowOff>28575</xdr:rowOff>
    </xdr:from>
    <xdr:to>
      <xdr:col>19</xdr:col>
      <xdr:colOff>723900</xdr:colOff>
      <xdr:row>48</xdr:row>
      <xdr:rowOff>19050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21</xdr:col>
      <xdr:colOff>9525</xdr:colOff>
      <xdr:row>4</xdr:row>
      <xdr:rowOff>19050</xdr:rowOff>
    </xdr:from>
    <xdr:to>
      <xdr:col>30</xdr:col>
      <xdr:colOff>526309</xdr:colOff>
      <xdr:row>37</xdr:row>
      <xdr:rowOff>28575</xdr:rowOff>
    </xdr:to>
    <xdr:pic>
      <xdr:nvPicPr>
        <xdr:cNvPr id="9" name="8 Imagen" descr="ej_5_5_1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335375" y="781050"/>
          <a:ext cx="7374784" cy="6296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K85"/>
  <sheetViews>
    <sheetView tabSelected="1" workbookViewId="0"/>
  </sheetViews>
  <sheetFormatPr baseColWidth="10" defaultRowHeight="15"/>
  <cols>
    <col min="1" max="1" width="11.85546875" bestFit="1" customWidth="1"/>
    <col min="4" max="4" width="12.7109375" bestFit="1" customWidth="1"/>
    <col min="5" max="5" width="11.7109375" bestFit="1" customWidth="1"/>
    <col min="6" max="6" width="12.85546875" bestFit="1" customWidth="1"/>
    <col min="7" max="7" width="12" bestFit="1" customWidth="1"/>
    <col min="8" max="8" width="12.28515625" bestFit="1" customWidth="1"/>
  </cols>
  <sheetData>
    <row r="1" spans="1:11">
      <c r="A1" t="s">
        <v>0</v>
      </c>
      <c r="B1">
        <v>0.25</v>
      </c>
      <c r="C1" t="s">
        <v>5</v>
      </c>
    </row>
    <row r="2" spans="1:11">
      <c r="A2" t="s">
        <v>6</v>
      </c>
      <c r="B2" s="3">
        <v>210000000000</v>
      </c>
      <c r="C2" t="s">
        <v>7</v>
      </c>
      <c r="K2">
        <f ca="1">10000000000*SUM(D8:D82)</f>
        <v>-93823.300779398705</v>
      </c>
    </row>
    <row r="3" spans="1:11">
      <c r="A3" t="s">
        <v>8</v>
      </c>
      <c r="B3">
        <f>0.1*0.3^3/12</f>
        <v>2.2500000000000002E-4</v>
      </c>
      <c r="C3" t="s">
        <v>9</v>
      </c>
    </row>
    <row r="5" spans="1:11">
      <c r="A5" s="2"/>
      <c r="B5" s="2"/>
      <c r="C5" s="2"/>
      <c r="D5" s="2" t="s">
        <v>13</v>
      </c>
      <c r="E5" s="2" t="s">
        <v>11</v>
      </c>
      <c r="F5" s="2" t="s">
        <v>14</v>
      </c>
      <c r="G5" s="2" t="s">
        <v>15</v>
      </c>
      <c r="H5" s="2" t="s">
        <v>12</v>
      </c>
    </row>
    <row r="6" spans="1:11">
      <c r="A6" s="2" t="s">
        <v>1</v>
      </c>
      <c r="B6" s="2" t="s">
        <v>12</v>
      </c>
      <c r="C6" s="2"/>
      <c r="D6" s="8">
        <f ca="1">D8</f>
        <v>-2.5694595357491597E-9</v>
      </c>
      <c r="E6" s="6"/>
      <c r="F6" s="2"/>
      <c r="G6" s="2"/>
      <c r="H6" s="2"/>
      <c r="I6" s="2"/>
    </row>
    <row r="7" spans="1:11">
      <c r="A7" s="1">
        <v>0</v>
      </c>
      <c r="B7" s="4">
        <v>0</v>
      </c>
      <c r="C7" s="2"/>
      <c r="D7" s="11">
        <v>0</v>
      </c>
      <c r="E7" s="6">
        <f t="shared" ref="E7:E83" ca="1" si="0">(D8-D6)/(2*delta)</f>
        <v>0</v>
      </c>
      <c r="F7" s="7">
        <f t="shared" ref="F7:F83" ca="1" si="1">E*I*(D8-2*D7+D6)/delta^2</f>
        <v>-3.8850228180527302</v>
      </c>
      <c r="G7" s="10">
        <f ca="1">(F8-F7)/delta</f>
        <v>1.5405321779983332</v>
      </c>
      <c r="H7" s="10">
        <f ca="1">(G8-G7)/delta</f>
        <v>2.6645352591003757E-13</v>
      </c>
      <c r="I7" s="2"/>
    </row>
    <row r="8" spans="1:11">
      <c r="A8" s="1">
        <f t="shared" ref="A8:A80" si="2">+A7+delta</f>
        <v>0.25</v>
      </c>
      <c r="B8" s="4">
        <v>0</v>
      </c>
      <c r="C8" s="2"/>
      <c r="D8" s="9">
        <f t="shared" ref="D8:D28" ca="1" si="3">((B8*delta^4/(E*I))-D6+4*D7+4*D9-D10)/6</f>
        <v>-2.5694595357491639E-9</v>
      </c>
      <c r="E8" s="6">
        <f t="shared" ca="1" si="0"/>
        <v>-1.9536805797899182E-8</v>
      </c>
      <c r="F8" s="7">
        <f t="shared" ca="1" si="1"/>
        <v>-3.4998897735531558</v>
      </c>
      <c r="G8" s="7">
        <f t="shared" ref="G8:H21" ca="1" si="4">(F9-F7)/(2*delta)</f>
        <v>1.5405321779983892</v>
      </c>
      <c r="H8" s="7">
        <f t="shared" ca="1" si="4"/>
        <v>6.3238303482648917E-13</v>
      </c>
      <c r="I8" s="2"/>
      <c r="J8" s="5" t="s">
        <v>10</v>
      </c>
    </row>
    <row r="9" spans="1:11">
      <c r="A9" s="1">
        <f t="shared" si="2"/>
        <v>0.5</v>
      </c>
      <c r="B9" s="4">
        <v>0</v>
      </c>
      <c r="C9" s="2"/>
      <c r="D9" s="9">
        <f t="shared" ca="1" si="3"/>
        <v>-9.7684028989496192E-9</v>
      </c>
      <c r="E9" s="6">
        <f t="shared" ca="1" si="0"/>
        <v>-3.7035870619610113E-8</v>
      </c>
      <c r="F9" s="7">
        <f t="shared" ca="1" si="1"/>
        <v>-3.1147567290535356</v>
      </c>
      <c r="G9" s="7">
        <f t="shared" ca="1" si="4"/>
        <v>1.5405321779986672</v>
      </c>
      <c r="H9" s="7">
        <f t="shared" ca="1" si="4"/>
        <v>1.6040502259784262E-12</v>
      </c>
      <c r="I9" s="2"/>
      <c r="J9" s="5"/>
    </row>
    <row r="10" spans="1:11">
      <c r="A10" s="1">
        <f t="shared" si="2"/>
        <v>0.75</v>
      </c>
      <c r="B10" s="4">
        <v>0</v>
      </c>
      <c r="C10" s="2"/>
      <c r="D10" s="9">
        <f t="shared" ca="1" si="3"/>
        <v>-2.1087394845554265E-8</v>
      </c>
      <c r="E10" s="6">
        <f t="shared" ca="1" si="0"/>
        <v>-5.2497194465132426E-8</v>
      </c>
      <c r="F10" s="7">
        <f t="shared" ca="1" si="1"/>
        <v>-2.7296236845538333</v>
      </c>
      <c r="G10" s="7">
        <f t="shared" ca="1" si="4"/>
        <v>1.540532177999161</v>
      </c>
      <c r="H10" s="7">
        <f t="shared" ca="1" si="4"/>
        <v>2.6192381596956693E-12</v>
      </c>
      <c r="I10" s="2"/>
      <c r="J10" s="5"/>
    </row>
    <row r="11" spans="1:11">
      <c r="A11" s="1">
        <f t="shared" si="2"/>
        <v>1</v>
      </c>
      <c r="B11" s="4">
        <v>0</v>
      </c>
      <c r="C11" s="2"/>
      <c r="D11" s="9">
        <f t="shared" ca="1" si="3"/>
        <v>-3.6017000131515911E-8</v>
      </c>
      <c r="E11" s="6">
        <f t="shared" ca="1" si="0"/>
        <v>-6.5920777334465528E-8</v>
      </c>
      <c r="F11" s="7">
        <f t="shared" ca="1" si="1"/>
        <v>-2.3444906400539622</v>
      </c>
      <c r="G11" s="7">
        <f t="shared" ca="1" si="4"/>
        <v>1.5405321780000087</v>
      </c>
      <c r="H11" s="7">
        <f t="shared" ca="1" si="4"/>
        <v>4.0882852658796764E-12</v>
      </c>
      <c r="I11" s="2"/>
      <c r="J11" s="5"/>
    </row>
    <row r="12" spans="1:11">
      <c r="A12" s="1">
        <f t="shared" si="2"/>
        <v>1.25</v>
      </c>
      <c r="B12" s="4">
        <v>0</v>
      </c>
      <c r="C12" s="2"/>
      <c r="D12" s="9">
        <f t="shared" ca="1" si="3"/>
        <v>-5.4047783512787151E-8</v>
      </c>
      <c r="E12" s="6">
        <f t="shared" ca="1" si="0"/>
        <v>-7.7306619227608367E-8</v>
      </c>
      <c r="F12" s="7">
        <f t="shared" ca="1" si="1"/>
        <v>-1.9593575955538489</v>
      </c>
      <c r="G12" s="7">
        <f t="shared" ca="1" si="4"/>
        <v>1.5405321780012491</v>
      </c>
      <c r="H12" s="7">
        <f t="shared" ca="1" si="4"/>
        <v>5.7740479064705141E-12</v>
      </c>
      <c r="I12" s="2"/>
      <c r="J12" s="5"/>
    </row>
    <row r="13" spans="1:11">
      <c r="A13" s="1">
        <f t="shared" si="2"/>
        <v>1.5</v>
      </c>
      <c r="B13" s="4">
        <v>0</v>
      </c>
      <c r="C13" s="2"/>
      <c r="D13" s="9">
        <f t="shared" ca="1" si="3"/>
        <v>-7.4670309745320267E-8</v>
      </c>
      <c r="E13" s="6">
        <f t="shared" ca="1" si="0"/>
        <v>-8.6654720144559335E-8</v>
      </c>
      <c r="F13" s="7">
        <f t="shared" ca="1" si="1"/>
        <v>-1.5742245510533577</v>
      </c>
      <c r="G13" s="7">
        <f t="shared" ca="1" si="4"/>
        <v>1.5405321780029757</v>
      </c>
      <c r="H13" s="7">
        <f t="shared" ca="1" si="4"/>
        <v>7.5757178308322182E-12</v>
      </c>
      <c r="I13" s="2"/>
      <c r="J13" s="5"/>
    </row>
    <row r="14" spans="1:11">
      <c r="A14" s="1">
        <f t="shared" si="2"/>
        <v>1.75</v>
      </c>
      <c r="B14" s="4">
        <v>0</v>
      </c>
      <c r="C14" s="2"/>
      <c r="D14" s="9">
        <f t="shared" ca="1" si="3"/>
        <v>-9.7375143585067044E-8</v>
      </c>
      <c r="E14" s="6">
        <f t="shared" ca="1" si="0"/>
        <v>-9.3965080085316183E-8</v>
      </c>
      <c r="F14" s="7">
        <f t="shared" ca="1" si="1"/>
        <v>-1.189091506552391</v>
      </c>
      <c r="G14" s="7">
        <f t="shared" ca="1" si="4"/>
        <v>1.5405321780051371</v>
      </c>
      <c r="H14" s="7">
        <f t="shared" ca="1" si="4"/>
        <v>9.5852215054037515E-12</v>
      </c>
      <c r="I14" s="2"/>
      <c r="J14" s="5"/>
    </row>
    <row r="15" spans="1:11">
      <c r="A15" s="1">
        <f t="shared" si="2"/>
        <v>2</v>
      </c>
      <c r="B15" s="4">
        <v>0</v>
      </c>
      <c r="C15" s="2"/>
      <c r="D15" s="9">
        <f t="shared" ca="1" si="3"/>
        <v>-1.2165284978797862E-7</v>
      </c>
      <c r="E15" s="6">
        <f t="shared" ca="1" si="0"/>
        <v>-9.9237699049875998E-8</v>
      </c>
      <c r="F15" s="7">
        <f t="shared" ca="1" si="1"/>
        <v>-0.80395846205081922</v>
      </c>
      <c r="G15" s="7">
        <f t="shared" ca="1" si="4"/>
        <v>1.5405321780077883</v>
      </c>
      <c r="H15" s="7">
        <f t="shared" ca="1" si="4"/>
        <v>1.1386003251345755E-11</v>
      </c>
      <c r="I15" s="2"/>
      <c r="J15" s="5"/>
    </row>
    <row r="16" spans="1:11">
      <c r="A16" s="1">
        <f t="shared" si="2"/>
        <v>2.25</v>
      </c>
      <c r="B16" s="4">
        <v>0</v>
      </c>
      <c r="C16" s="2"/>
      <c r="D16" s="9">
        <f t="shared" ca="1" si="3"/>
        <v>-1.4699399311000539E-7</v>
      </c>
      <c r="E16" s="6">
        <f t="shared" ca="1" si="0"/>
        <v>-1.0247257703823535E-7</v>
      </c>
      <c r="F16" s="7">
        <f t="shared" ca="1" si="1"/>
        <v>-0.41882541754849689</v>
      </c>
      <c r="G16" s="7">
        <f t="shared" ca="1" si="4"/>
        <v>1.5405321780108903</v>
      </c>
      <c r="H16" s="7">
        <f t="shared" ca="1" si="4"/>
        <v>1.3487877481566102E-11</v>
      </c>
      <c r="I16" s="2"/>
      <c r="J16" s="5"/>
    </row>
    <row r="17" spans="1:10">
      <c r="A17" s="1">
        <f t="shared" si="2"/>
        <v>2.5</v>
      </c>
      <c r="B17" s="4">
        <v>0</v>
      </c>
      <c r="C17" s="2"/>
      <c r="D17" s="9">
        <f t="shared" ca="1" si="3"/>
        <v>-1.728891383070967E-7</v>
      </c>
      <c r="E17" s="6">
        <f t="shared" ca="1" si="0"/>
        <v>-1.0366971405039004E-7</v>
      </c>
      <c r="F17" s="7">
        <f t="shared" ca="1" si="1"/>
        <v>-3.369237304537414E-2</v>
      </c>
      <c r="G17" s="7">
        <f t="shared" ca="1" si="4"/>
        <v>1.5405321780144521</v>
      </c>
      <c r="H17" s="7">
        <f t="shared" ca="1" si="4"/>
        <v>1.5928147689692196E-11</v>
      </c>
      <c r="I17" s="2"/>
      <c r="J17" s="5" t="s">
        <v>2</v>
      </c>
    </row>
    <row r="18" spans="1:10">
      <c r="A18" s="1">
        <f t="shared" si="2"/>
        <v>2.75</v>
      </c>
      <c r="B18" s="4">
        <v>0</v>
      </c>
      <c r="C18" s="2"/>
      <c r="D18" s="9">
        <f t="shared" ca="1" si="3"/>
        <v>-1.9882885013520088E-7</v>
      </c>
      <c r="E18" s="6">
        <f t="shared" ca="1" si="0"/>
        <v>-1.0282911008633534E-7</v>
      </c>
      <c r="F18" s="7">
        <f t="shared" ca="1" si="1"/>
        <v>0.35144067145876917</v>
      </c>
      <c r="G18" s="7">
        <f t="shared" ca="1" si="4"/>
        <v>1.5405321780188945</v>
      </c>
      <c r="H18" s="7">
        <f t="shared" ca="1" si="4"/>
        <v>1.864997045686323E-11</v>
      </c>
      <c r="I18" s="2"/>
      <c r="J18" s="5"/>
    </row>
    <row r="19" spans="1:10">
      <c r="A19" s="1">
        <f t="shared" si="2"/>
        <v>3</v>
      </c>
      <c r="B19" s="4">
        <v>0</v>
      </c>
      <c r="C19" s="2"/>
      <c r="D19" s="9">
        <f t="shared" ca="1" si="3"/>
        <v>-2.243036933502649E-7</v>
      </c>
      <c r="E19" s="6">
        <f t="shared" ca="1" si="0"/>
        <v>-9.9950765146065287E-8</v>
      </c>
      <c r="F19" s="7">
        <f t="shared" ca="1" si="1"/>
        <v>0.73657371596411314</v>
      </c>
      <c r="G19" s="7">
        <f t="shared" ca="1" si="4"/>
        <v>1.5405321780236569</v>
      </c>
      <c r="H19" s="7">
        <f t="shared" ca="1" si="4"/>
        <v>1.993116782728066E-11</v>
      </c>
      <c r="I19" s="2"/>
      <c r="J19" s="5"/>
    </row>
    <row r="20" spans="1:10">
      <c r="A20" s="1">
        <f t="shared" si="2"/>
        <v>3.25</v>
      </c>
      <c r="B20" s="4">
        <v>0</v>
      </c>
      <c r="C20" s="2"/>
      <c r="D20" s="9">
        <f t="shared" ca="1" si="3"/>
        <v>-2.4880423270823411E-7</v>
      </c>
      <c r="E20" s="6">
        <f t="shared" ca="1" si="0"/>
        <v>-9.5034679229573673E-8</v>
      </c>
      <c r="F20" s="7">
        <f t="shared" ca="1" si="1"/>
        <v>1.1217067604705977</v>
      </c>
      <c r="G20" s="7">
        <f t="shared" ca="1" si="4"/>
        <v>1.5405321780287802</v>
      </c>
      <c r="H20" s="7">
        <f t="shared" ca="1" si="4"/>
        <v>2.2253310305586638E-11</v>
      </c>
      <c r="I20" s="2"/>
      <c r="J20" s="5"/>
    </row>
    <row r="21" spans="1:10">
      <c r="A21" s="1">
        <f t="shared" si="2"/>
        <v>3.5</v>
      </c>
      <c r="B21" s="4">
        <v>0</v>
      </c>
      <c r="C21" s="2"/>
      <c r="D21" s="9">
        <f t="shared" ca="1" si="3"/>
        <v>-2.7182103296505232E-7</v>
      </c>
      <c r="E21" s="6">
        <f t="shared" ca="1" si="0"/>
        <v>-8.8080852336853726E-8</v>
      </c>
      <c r="F21" s="7">
        <f t="shared" ca="1" si="1"/>
        <v>1.5068398049784231</v>
      </c>
      <c r="G21" s="7">
        <f t="shared" ca="1" si="4"/>
        <v>1.5405321780346233</v>
      </c>
      <c r="H21" s="7">
        <f t="shared" ca="1" si="4"/>
        <v>2.4733548542599237E-11</v>
      </c>
      <c r="I21" s="2"/>
      <c r="J21" s="5"/>
    </row>
    <row r="22" spans="1:10">
      <c r="A22" s="1">
        <f t="shared" si="2"/>
        <v>3.75</v>
      </c>
      <c r="B22" s="4">
        <v>0</v>
      </c>
      <c r="C22" s="2"/>
      <c r="D22" s="9">
        <f t="shared" ca="1" si="3"/>
        <v>-2.9284465887666166E-7</v>
      </c>
      <c r="E22" s="6">
        <f t="shared" ca="1" si="0"/>
        <v>-7.9089284467897823E-8</v>
      </c>
      <c r="F22" s="7">
        <f t="shared" ref="F22" ca="1" si="5">E*I*(D23-2*D22+D21)/delta^2</f>
        <v>1.8919728494879495</v>
      </c>
      <c r="G22" s="7">
        <f t="shared" ref="G22:H37" ca="1" si="6">(F23-F21)/(2*delta)</f>
        <v>1.5405321780411474</v>
      </c>
      <c r="H22" s="7">
        <f t="shared" ca="1" si="6"/>
        <v>2.6494362259654736E-11</v>
      </c>
      <c r="I22" s="2"/>
      <c r="J22" s="5"/>
    </row>
    <row r="23" spans="1:10">
      <c r="A23" s="1">
        <f t="shared" si="2"/>
        <v>4</v>
      </c>
      <c r="B23" s="4">
        <v>0</v>
      </c>
      <c r="C23" s="2"/>
      <c r="D23" s="9">
        <f t="shared" ca="1" si="3"/>
        <v>-3.1136567519900202E-7</v>
      </c>
      <c r="E23" s="6">
        <f t="shared" ca="1" si="0"/>
        <v>-6.8059975622697228E-8</v>
      </c>
      <c r="F23" s="7">
        <f t="shared" ref="F23:F43" ca="1" si="7">E*I*(D24-2*D23+D22)/delta^2</f>
        <v>2.2771058939990767</v>
      </c>
      <c r="G23" s="7">
        <f t="shared" ca="1" si="6"/>
        <v>1.5405321780477901</v>
      </c>
      <c r="H23" s="7">
        <f t="shared" ca="1" si="6"/>
        <v>2.7053026485646114E-11</v>
      </c>
      <c r="I23" s="2"/>
      <c r="J23" s="5"/>
    </row>
    <row r="24" spans="1:10">
      <c r="A24" s="1">
        <f t="shared" si="2"/>
        <v>4.25</v>
      </c>
      <c r="B24" s="4">
        <v>0</v>
      </c>
      <c r="C24" s="2"/>
      <c r="D24" s="9">
        <f t="shared" ca="1" si="3"/>
        <v>-3.2687464668801107E-7</v>
      </c>
      <c r="E24" s="6">
        <f t="shared" ca="1" si="0"/>
        <v>-5.4992925801243048E-8</v>
      </c>
      <c r="F24" s="7">
        <f t="shared" ca="1" si="7"/>
        <v>2.6622389385118046</v>
      </c>
      <c r="G24" s="7">
        <f t="shared" ca="1" si="6"/>
        <v>1.540532178054594</v>
      </c>
      <c r="H24" s="7">
        <f t="shared" ca="1" si="6"/>
        <v>2.801758824944045E-11</v>
      </c>
      <c r="I24" s="2"/>
      <c r="J24" s="5"/>
    </row>
    <row r="25" spans="1:10">
      <c r="A25" s="1">
        <f t="shared" si="2"/>
        <v>4.5</v>
      </c>
      <c r="B25" s="4">
        <v>0</v>
      </c>
      <c r="C25" s="2"/>
      <c r="D25" s="9">
        <f t="shared" ca="1" si="3"/>
        <v>-3.3886213809962439E-7</v>
      </c>
      <c r="E25" s="6">
        <f t="shared" ca="1" si="0"/>
        <v>-3.9888135003526284E-8</v>
      </c>
      <c r="F25" s="7">
        <f t="shared" ca="1" si="7"/>
        <v>3.0473719830264137</v>
      </c>
      <c r="G25" s="7">
        <f t="shared" ca="1" si="6"/>
        <v>1.5405321780618788</v>
      </c>
      <c r="H25" s="7">
        <f t="shared" ca="1" si="6"/>
        <v>2.9618973940159776E-11</v>
      </c>
      <c r="I25" s="2"/>
      <c r="J25" s="5"/>
    </row>
    <row r="26" spans="1:10">
      <c r="A26" s="1">
        <f t="shared" si="2"/>
        <v>4.75</v>
      </c>
      <c r="B26" s="4">
        <v>0</v>
      </c>
      <c r="C26" s="2"/>
      <c r="D26" s="9">
        <f t="shared" ca="1" si="3"/>
        <v>-3.4681871418977506E-7</v>
      </c>
      <c r="E26" s="6">
        <f t="shared" ca="1" si="0"/>
        <v>-2.2745603229537194E-8</v>
      </c>
      <c r="F26" s="7">
        <f t="shared" ca="1" si="7"/>
        <v>3.432505027542744</v>
      </c>
      <c r="G26" s="7">
        <f t="shared" ca="1" si="6"/>
        <v>1.5405321780693235</v>
      </c>
      <c r="H26" s="7">
        <f t="shared" ca="1" si="6"/>
        <v>-2.9999999999691038</v>
      </c>
      <c r="I26" s="2"/>
      <c r="J26" s="5" t="s">
        <v>3</v>
      </c>
    </row>
    <row r="27" spans="1:10">
      <c r="A27" s="1">
        <f t="shared" si="2"/>
        <v>5</v>
      </c>
      <c r="B27" s="4">
        <f>-3/delta</f>
        <v>-12</v>
      </c>
      <c r="C27" s="2"/>
      <c r="D27" s="9">
        <f t="shared" ca="1" si="3"/>
        <v>-3.5023493971439384E-7</v>
      </c>
      <c r="E27" s="6">
        <f t="shared" ca="1" si="0"/>
        <v>-3.5653304792659308E-9</v>
      </c>
      <c r="F27" s="7">
        <f t="shared" ca="1" si="7"/>
        <v>3.8176380720610754</v>
      </c>
      <c r="G27" s="7">
        <f t="shared" ca="1" si="6"/>
        <v>4.0532178077326897E-2</v>
      </c>
      <c r="H27" s="7">
        <f t="shared" ca="1" si="6"/>
        <v>-5.9999999999678248</v>
      </c>
      <c r="I27" s="2"/>
      <c r="J27" s="5"/>
    </row>
    <row r="28" spans="1:10">
      <c r="A28" s="1">
        <f t="shared" si="2"/>
        <v>5.25</v>
      </c>
      <c r="B28" s="4">
        <v>0</v>
      </c>
      <c r="C28" s="2"/>
      <c r="D28" s="9">
        <f t="shared" ca="1" si="3"/>
        <v>-3.4860137942940887E-7</v>
      </c>
      <c r="E28" s="6">
        <f t="shared" ca="1" si="0"/>
        <v>1.5668556263171109E-8</v>
      </c>
      <c r="F28" s="7">
        <f t="shared" ca="1" si="7"/>
        <v>3.4527711165814075</v>
      </c>
      <c r="G28" s="7">
        <f t="shared" ca="1" si="6"/>
        <v>-1.4594678219145889</v>
      </c>
      <c r="H28" s="7">
        <f t="shared" ca="1" si="6"/>
        <v>-2.9999999999670202</v>
      </c>
      <c r="I28" s="2"/>
      <c r="J28" s="5"/>
    </row>
    <row r="29" spans="1:10">
      <c r="A29" s="1">
        <f t="shared" si="2"/>
        <v>5.5</v>
      </c>
      <c r="B29" s="4">
        <v>0</v>
      </c>
      <c r="C29" s="2"/>
      <c r="D29" s="9">
        <f t="shared" ref="D29:D46" ca="1" si="8">((B29*delta^4/(E*I))-D27+4*D28+4*D30-D31)/6</f>
        <v>-3.4240066158280913E-7</v>
      </c>
      <c r="E29" s="6">
        <f t="shared" ca="1" si="0"/>
        <v>3.2971930013657635E-8</v>
      </c>
      <c r="F29" s="7">
        <f t="shared" ca="1" si="7"/>
        <v>3.087904161103781</v>
      </c>
      <c r="G29" s="7">
        <f t="shared" ca="1" si="6"/>
        <v>-1.4594678219061832</v>
      </c>
      <c r="H29" s="7">
        <f t="shared" ca="1" si="6"/>
        <v>3.3780978014874563E-11</v>
      </c>
      <c r="J29" s="5"/>
    </row>
    <row r="30" spans="1:10">
      <c r="A30" s="1">
        <f t="shared" si="2"/>
        <v>5.75</v>
      </c>
      <c r="B30" s="4">
        <v>0</v>
      </c>
      <c r="C30" s="2"/>
      <c r="D30" s="9">
        <f t="shared" ca="1" si="8"/>
        <v>-3.3211541442258106E-7</v>
      </c>
      <c r="E30" s="6">
        <f t="shared" ca="1" si="0"/>
        <v>4.8344790772204554E-8</v>
      </c>
      <c r="F30" s="7">
        <f t="shared" ca="1" si="7"/>
        <v>2.7230372056284762</v>
      </c>
      <c r="G30" s="7">
        <f t="shared" ca="1" si="6"/>
        <v>-1.4594678218973778</v>
      </c>
      <c r="H30" s="7">
        <f t="shared" ca="1" si="6"/>
        <v>3.4578562235765276E-11</v>
      </c>
      <c r="J30" s="5"/>
    </row>
    <row r="31" spans="1:10">
      <c r="A31" s="1">
        <f t="shared" si="2"/>
        <v>6</v>
      </c>
      <c r="B31" s="4">
        <v>0</v>
      </c>
      <c r="C31" s="2"/>
      <c r="D31" s="9">
        <f t="shared" ca="1" si="8"/>
        <v>-3.1822826619670781E-7</v>
      </c>
      <c r="E31" s="6">
        <f t="shared" ca="1" si="0"/>
        <v>6.1787138538824042E-8</v>
      </c>
      <c r="F31" s="7">
        <f t="shared" ca="1" si="7"/>
        <v>2.358170250155132</v>
      </c>
      <c r="G31" s="7">
        <f t="shared" ca="1" si="6"/>
        <v>-1.4594678218892945</v>
      </c>
      <c r="H31" s="7">
        <f t="shared" ca="1" si="6"/>
        <v>3.1855407200964692E-11</v>
      </c>
      <c r="J31" s="5"/>
    </row>
    <row r="32" spans="1:10">
      <c r="A32" s="1">
        <f t="shared" si="2"/>
        <v>6.25</v>
      </c>
      <c r="B32" s="4">
        <v>0</v>
      </c>
      <c r="C32" s="2"/>
      <c r="D32" s="9">
        <f t="shared" ca="1" si="8"/>
        <v>-3.0122184515316988E-7</v>
      </c>
      <c r="E32" s="6">
        <f t="shared" ca="1" si="0"/>
        <v>7.3298973313526686E-8</v>
      </c>
      <c r="F32" s="7">
        <f t="shared" ca="1" si="7"/>
        <v>1.993303294683749</v>
      </c>
      <c r="G32" s="7">
        <f t="shared" ca="1" si="6"/>
        <v>-1.4594678218813697</v>
      </c>
      <c r="H32" s="7">
        <f t="shared" ca="1" si="6"/>
        <v>3.0418334517889889E-11</v>
      </c>
      <c r="J32" s="5"/>
    </row>
    <row r="33" spans="1:10">
      <c r="A33" s="1">
        <f t="shared" si="2"/>
        <v>6.5</v>
      </c>
      <c r="B33" s="4">
        <v>0</v>
      </c>
      <c r="C33" s="2"/>
      <c r="D33" s="9">
        <f t="shared" ca="1" si="8"/>
        <v>-2.8157877953994531E-7</v>
      </c>
      <c r="E33" s="6">
        <f t="shared" ca="1" si="0"/>
        <v>8.2880295096322757E-8</v>
      </c>
      <c r="F33" s="7">
        <f t="shared" ca="1" si="7"/>
        <v>1.6284363392144472</v>
      </c>
      <c r="G33" s="7">
        <f t="shared" ca="1" si="6"/>
        <v>-1.4594678218737656</v>
      </c>
      <c r="H33" s="7">
        <f t="shared" ca="1" si="6"/>
        <v>2.8975932764296886E-11</v>
      </c>
      <c r="J33" s="5"/>
    </row>
    <row r="34" spans="1:10">
      <c r="A34" s="1">
        <f t="shared" si="2"/>
        <v>6.75</v>
      </c>
      <c r="B34" s="4">
        <v>0</v>
      </c>
      <c r="C34" s="2"/>
      <c r="D34" s="9">
        <f t="shared" ca="1" si="8"/>
        <v>-2.597816976050093E-7</v>
      </c>
      <c r="E34" s="6">
        <f t="shared" ca="1" si="0"/>
        <v>9.0531103887222366E-8</v>
      </c>
      <c r="F34" s="7">
        <f t="shared" ca="1" si="7"/>
        <v>1.2635693837467863</v>
      </c>
      <c r="G34" s="7">
        <f t="shared" ca="1" si="6"/>
        <v>-1.4594678218667216</v>
      </c>
      <c r="H34" s="7">
        <f t="shared" ca="1" si="6"/>
        <v>2.7696067661509005E-11</v>
      </c>
      <c r="J34" s="5"/>
    </row>
    <row r="35" spans="1:10">
      <c r="A35" s="1">
        <f t="shared" si="2"/>
        <v>7</v>
      </c>
      <c r="B35" s="4">
        <v>0</v>
      </c>
      <c r="C35" s="2"/>
      <c r="D35" s="9">
        <f t="shared" ca="1" si="8"/>
        <v>-2.3631322759633489E-7</v>
      </c>
      <c r="E35" s="6">
        <f t="shared" ca="1" si="0"/>
        <v>9.6251399686234778E-8</v>
      </c>
      <c r="F35" s="7">
        <f t="shared" ca="1" si="7"/>
        <v>0.89870242828104641</v>
      </c>
      <c r="G35" s="7">
        <f t="shared" ca="1" si="6"/>
        <v>-1.4594678218596777</v>
      </c>
      <c r="H35" s="7">
        <f t="shared" ca="1" si="6"/>
        <v>2.6815438758376331E-11</v>
      </c>
      <c r="J35" s="5" t="s">
        <v>11</v>
      </c>
    </row>
    <row r="36" spans="1:10">
      <c r="A36" s="1">
        <f t="shared" si="2"/>
        <v>7.25</v>
      </c>
      <c r="B36" s="4">
        <v>0</v>
      </c>
      <c r="C36" s="2"/>
      <c r="D36" s="9">
        <f t="shared" ca="1" si="8"/>
        <v>-2.1165599776189263E-7</v>
      </c>
      <c r="E36" s="6">
        <f t="shared" ca="1" si="0"/>
        <v>1.0004118249336936E-7</v>
      </c>
      <c r="F36" s="7">
        <f t="shared" ca="1" si="7"/>
        <v>0.53383547281690746</v>
      </c>
      <c r="G36" s="7">
        <f t="shared" ca="1" si="6"/>
        <v>-1.459467821853194</v>
      </c>
      <c r="H36" s="7">
        <f t="shared" ca="1" si="6"/>
        <v>2.5134561099093844E-11</v>
      </c>
      <c r="J36" s="5"/>
    </row>
    <row r="37" spans="1:10">
      <c r="A37" s="1">
        <f t="shared" si="2"/>
        <v>7.5</v>
      </c>
      <c r="B37" s="4">
        <v>0</v>
      </c>
      <c r="C37" s="2"/>
      <c r="D37" s="9">
        <f t="shared" ca="1" si="8"/>
        <v>-1.8629263634965088E-7</v>
      </c>
      <c r="E37" s="6">
        <f t="shared" ca="1" si="0"/>
        <v>1.0190045230863475E-7</v>
      </c>
      <c r="F37" s="7">
        <f t="shared" ca="1" si="7"/>
        <v>0.16896851735440943</v>
      </c>
      <c r="G37" s="7">
        <f t="shared" ca="1" si="6"/>
        <v>-1.4594678218469905</v>
      </c>
      <c r="H37" s="7">
        <f t="shared" ca="1" si="6"/>
        <v>2.3693935702340241E-11</v>
      </c>
      <c r="J37" s="5"/>
    </row>
    <row r="38" spans="1:10">
      <c r="A38" s="1">
        <f t="shared" si="2"/>
        <v>7.75</v>
      </c>
      <c r="B38" s="4">
        <v>0</v>
      </c>
      <c r="C38" s="2"/>
      <c r="D38" s="9">
        <f t="shared" ca="1" si="8"/>
        <v>-1.6070577160757589E-7</v>
      </c>
      <c r="E38" s="6">
        <f t="shared" ca="1" si="0"/>
        <v>1.018292091320392E-7</v>
      </c>
      <c r="F38" s="7">
        <f t="shared" ca="1" si="7"/>
        <v>-0.19589843810656773</v>
      </c>
      <c r="G38" s="7">
        <f t="shared" ref="G38:H43" ca="1" si="9">(F39-F37)/(2*delta)</f>
        <v>-1.4594678218413073</v>
      </c>
      <c r="H38" s="7">
        <f t="shared" ca="1" si="9"/>
        <v>2.1852741838301881E-11</v>
      </c>
      <c r="J38" s="5"/>
    </row>
    <row r="39" spans="1:10">
      <c r="A39" s="1">
        <f t="shared" si="2"/>
        <v>8</v>
      </c>
      <c r="B39" s="4">
        <v>0</v>
      </c>
      <c r="C39" s="2"/>
      <c r="D39" s="9">
        <f t="shared" ca="1" si="8"/>
        <v>-1.3537803178363186E-7</v>
      </c>
      <c r="E39" s="6">
        <f t="shared" ca="1" si="0"/>
        <v>9.9827452963590355E-8</v>
      </c>
      <c r="F39" s="7">
        <f t="shared" ca="1" si="7"/>
        <v>-0.56076539356620414</v>
      </c>
      <c r="G39" s="7">
        <f t="shared" ca="1" si="9"/>
        <v>-1.4594678218361845</v>
      </c>
      <c r="H39" s="7">
        <f t="shared" ca="1" si="9"/>
        <v>1.9611423596188615E-11</v>
      </c>
      <c r="J39" s="5"/>
    </row>
    <row r="40" spans="1:10">
      <c r="A40" s="1">
        <f t="shared" si="2"/>
        <v>8.25</v>
      </c>
      <c r="B40" s="4">
        <v>0</v>
      </c>
      <c r="C40" s="2"/>
      <c r="D40" s="9">
        <f t="shared" ca="1" si="8"/>
        <v>-1.1079204512578124E-7</v>
      </c>
      <c r="E40" s="6">
        <f t="shared" ca="1" si="0"/>
        <v>9.5895183803295E-8</v>
      </c>
      <c r="F40" s="7">
        <f t="shared" ca="1" si="7"/>
        <v>-0.92563234902461988</v>
      </c>
      <c r="G40" s="7">
        <f t="shared" ca="1" si="9"/>
        <v>-1.4594678218315418</v>
      </c>
      <c r="H40" s="7">
        <f t="shared" ca="1" si="9"/>
        <v>1.708988506265996E-11</v>
      </c>
      <c r="J40" s="5"/>
    </row>
    <row r="41" spans="1:10">
      <c r="A41" s="1">
        <f t="shared" si="2"/>
        <v>8.5</v>
      </c>
      <c r="B41" s="4">
        <v>0</v>
      </c>
      <c r="C41" s="2"/>
      <c r="D41" s="9">
        <f t="shared" ca="1" si="8"/>
        <v>-8.7430439881984796E-8</v>
      </c>
      <c r="E41" s="6">
        <f t="shared" ca="1" si="0"/>
        <v>9.0032401651159272E-8</v>
      </c>
      <c r="F41" s="7">
        <f t="shared" ca="1" si="7"/>
        <v>-1.290499304482015</v>
      </c>
      <c r="G41" s="7">
        <f t="shared" ca="1" si="9"/>
        <v>-1.4594678218276798</v>
      </c>
      <c r="H41" s="7">
        <f t="shared" ca="1" si="9"/>
        <v>1.4206857912313353E-11</v>
      </c>
      <c r="J41" s="5"/>
    </row>
    <row r="42" spans="1:10">
      <c r="A42" s="1">
        <f t="shared" si="2"/>
        <v>8.75</v>
      </c>
      <c r="B42" s="4">
        <v>0</v>
      </c>
      <c r="C42" s="2"/>
      <c r="D42" s="9">
        <f t="shared" ca="1" si="8"/>
        <v>-6.5775844300201959E-8</v>
      </c>
      <c r="E42" s="6">
        <f t="shared" ca="1" si="0"/>
        <v>8.2239106507188294E-8</v>
      </c>
      <c r="F42" s="7">
        <f t="shared" ca="1" si="7"/>
        <v>-1.6553662599384698</v>
      </c>
      <c r="G42" s="7">
        <f t="shared" ca="1" si="9"/>
        <v>-1.459467821824378</v>
      </c>
      <c r="H42" s="7">
        <f t="shared" ca="1" si="9"/>
        <v>1.1707079750067351E-11</v>
      </c>
      <c r="J42" s="5"/>
    </row>
    <row r="43" spans="1:10">
      <c r="A43" s="1">
        <f t="shared" si="2"/>
        <v>9</v>
      </c>
      <c r="B43" s="4">
        <v>0</v>
      </c>
      <c r="C43" s="2"/>
      <c r="D43" s="9">
        <f t="shared" ca="1" si="8"/>
        <v>-4.631088662839094E-8</v>
      </c>
      <c r="E43" s="6">
        <f t="shared" ca="1" si="0"/>
        <v>7.2515298371386394E-8</v>
      </c>
      <c r="F43" s="7">
        <f t="shared" ca="1" si="7"/>
        <v>-2.020233215394204</v>
      </c>
      <c r="G43" s="7">
        <f t="shared" ca="1" si="9"/>
        <v>-1.4594678218217867</v>
      </c>
      <c r="H43" s="7">
        <f t="shared" ca="1" si="9"/>
        <v>9.0460972046457755E-12</v>
      </c>
      <c r="J43" s="5"/>
    </row>
    <row r="44" spans="1:10">
      <c r="A44" s="1">
        <f t="shared" si="2"/>
        <v>9.25</v>
      </c>
      <c r="B44" s="4">
        <v>0</v>
      </c>
      <c r="C44" s="2"/>
      <c r="D44" s="9">
        <f t="shared" ca="1" si="8"/>
        <v>-2.9518195114508987E-8</v>
      </c>
      <c r="E44" s="6">
        <f t="shared" ref="E44:E67" ca="1" si="10">(D45-D43)/(2*delta)</f>
        <v>6.0860977243757025E-8</v>
      </c>
      <c r="F44" s="7">
        <f t="shared" ref="F44:F67" ca="1" si="11">E*I*(D45-2*D44+D43)/delta^2</f>
        <v>-2.3851001708493631</v>
      </c>
      <c r="G44" s="7">
        <f t="shared" ref="G44:G67" ca="1" si="12">(F45-F43)/(2*delta)</f>
        <v>-1.4594678218198656</v>
      </c>
      <c r="H44" s="7">
        <f t="shared" ref="H44:H67" ca="1" si="13">(G45-G43)/(2*delta)</f>
        <v>6.3256067051042919E-12</v>
      </c>
      <c r="J44" s="5" t="s">
        <v>4</v>
      </c>
    </row>
    <row r="45" spans="1:10">
      <c r="A45" s="1">
        <f t="shared" si="2"/>
        <v>9.5</v>
      </c>
      <c r="B45" s="4">
        <v>0</v>
      </c>
      <c r="C45" s="2"/>
      <c r="D45" s="9">
        <f t="shared" ca="1" si="8"/>
        <v>-1.5880398006512583E-8</v>
      </c>
      <c r="E45" s="6">
        <f t="shared" ca="1" si="10"/>
        <v>4.7276143124302735E-8</v>
      </c>
      <c r="F45" s="7">
        <f t="shared" ca="1" si="11"/>
        <v>-2.7499671263041292</v>
      </c>
      <c r="G45" s="7">
        <f t="shared" ca="1" si="12"/>
        <v>-1.4594678218186292</v>
      </c>
      <c r="H45" s="7">
        <f t="shared" ca="1" si="13"/>
        <v>3.6237679523765109E-12</v>
      </c>
      <c r="J45" s="5"/>
    </row>
    <row r="46" spans="1:10">
      <c r="A46" s="1">
        <f t="shared" si="2"/>
        <v>9.75</v>
      </c>
      <c r="B46" s="4">
        <v>0</v>
      </c>
      <c r="C46" s="2"/>
      <c r="D46" s="9">
        <f t="shared" ca="1" si="8"/>
        <v>-5.8801235523576956E-9</v>
      </c>
      <c r="E46" s="6">
        <f t="shared" ca="1" si="10"/>
        <v>3.1760796013025167E-8</v>
      </c>
      <c r="F46" s="7">
        <f t="shared" ca="1" si="11"/>
        <v>-3.1148340817586777</v>
      </c>
      <c r="G46" s="7">
        <f t="shared" ca="1" si="12"/>
        <v>-1.4594678218180688</v>
      </c>
      <c r="H46" s="7">
        <f t="shared" ca="1" si="13"/>
        <v>4.7394179947572717</v>
      </c>
    </row>
    <row r="47" spans="1:10">
      <c r="A47" s="1">
        <f t="shared" si="2"/>
        <v>10</v>
      </c>
      <c r="B47" s="4">
        <v>-0.6</v>
      </c>
      <c r="C47" s="2"/>
      <c r="D47" s="11">
        <v>0</v>
      </c>
      <c r="E47" s="6">
        <f t="shared" ca="1" si="10"/>
        <v>1.431493590992505E-8</v>
      </c>
      <c r="F47" s="7">
        <f t="shared" ca="1" si="11"/>
        <v>-3.4797010372131676</v>
      </c>
      <c r="G47" s="7">
        <f t="shared" ca="1" si="12"/>
        <v>0.91024117556000483</v>
      </c>
      <c r="H47" s="7">
        <f t="shared" ca="1" si="13"/>
        <v>9.1788359895109792</v>
      </c>
    </row>
    <row r="48" spans="1:10">
      <c r="A48" s="1">
        <f t="shared" si="2"/>
        <v>10.25</v>
      </c>
      <c r="B48" s="4">
        <v>-1.2</v>
      </c>
      <c r="C48" s="2"/>
      <c r="D48" s="9">
        <f t="shared" ref="D48:D67" ca="1" si="14">((B48*delta^4/(E*I))-D46+4*D47+4*D49-D50)/6</f>
        <v>1.277344402604902E-9</v>
      </c>
      <c r="E48" s="6">
        <f t="shared" ca="1" si="10"/>
        <v>-1.9269014741800685E-9</v>
      </c>
      <c r="F48" s="7">
        <f t="shared" ca="1" si="11"/>
        <v>-2.659713493978678</v>
      </c>
      <c r="G48" s="7">
        <f t="shared" ca="1" si="12"/>
        <v>3.1299501729374244</v>
      </c>
      <c r="H48" s="7">
        <f t="shared" ca="1" si="13"/>
        <v>3.8394179947520701</v>
      </c>
    </row>
    <row r="49" spans="1:8">
      <c r="A49" s="1">
        <f t="shared" si="2"/>
        <v>10.5</v>
      </c>
      <c r="B49" s="4">
        <v>-1.2</v>
      </c>
      <c r="C49" s="2"/>
      <c r="D49" s="9">
        <f t="shared" ca="1" si="14"/>
        <v>-9.6345073708989196E-10</v>
      </c>
      <c r="E49" s="6">
        <f t="shared" ca="1" si="10"/>
        <v>-1.4028593126886208E-8</v>
      </c>
      <c r="F49" s="7">
        <f t="shared" ca="1" si="11"/>
        <v>-1.9147259507444581</v>
      </c>
      <c r="G49" s="7">
        <f t="shared" ca="1" si="12"/>
        <v>2.8299501729360399</v>
      </c>
      <c r="H49" s="7">
        <f t="shared" ca="1" si="13"/>
        <v>-1.2000000000067139</v>
      </c>
    </row>
    <row r="50" spans="1:8">
      <c r="A50" s="1">
        <f t="shared" si="2"/>
        <v>10.75</v>
      </c>
      <c r="B50" s="4">
        <v>-1.2</v>
      </c>
      <c r="C50" s="2"/>
      <c r="D50" s="9">
        <f t="shared" ca="1" si="14"/>
        <v>-5.7369521608379933E-9</v>
      </c>
      <c r="E50" s="6">
        <f t="shared" ca="1" si="10"/>
        <v>-2.2386964445020608E-8</v>
      </c>
      <c r="F50" s="7">
        <f t="shared" ca="1" si="11"/>
        <v>-1.2447384075106604</v>
      </c>
      <c r="G50" s="7">
        <f t="shared" ca="1" si="12"/>
        <v>2.529950172934063</v>
      </c>
      <c r="H50" s="7">
        <f t="shared" ca="1" si="13"/>
        <v>-1.2000000000090303</v>
      </c>
    </row>
    <row r="51" spans="1:8">
      <c r="A51" s="1">
        <f t="shared" si="2"/>
        <v>11</v>
      </c>
      <c r="B51" s="4">
        <v>-1.2</v>
      </c>
      <c r="C51" s="2"/>
      <c r="D51" s="9">
        <f t="shared" ca="1" si="14"/>
        <v>-1.2156932959599921E-8</v>
      </c>
      <c r="E51" s="6">
        <f t="shared" ca="1" si="10"/>
        <v>-2.7398840825411288E-8</v>
      </c>
      <c r="F51" s="7">
        <f t="shared" ca="1" si="11"/>
        <v>-0.64975086427743178</v>
      </c>
      <c r="G51" s="7">
        <f t="shared" ca="1" si="12"/>
        <v>2.2299501729315097</v>
      </c>
      <c r="H51" s="7">
        <f t="shared" ca="1" si="13"/>
        <v>-1.2000000000112694</v>
      </c>
    </row>
    <row r="52" spans="1:8">
      <c r="A52" s="1">
        <f t="shared" si="2"/>
        <v>11.25</v>
      </c>
      <c r="B52" s="4">
        <v>-1.2</v>
      </c>
      <c r="C52" s="2"/>
      <c r="D52" s="9">
        <f t="shared" ca="1" si="14"/>
        <v>-1.9436372573543306E-8</v>
      </c>
      <c r="E52" s="6">
        <f t="shared" ca="1" si="10"/>
        <v>-2.9461047664887052E-8</v>
      </c>
      <c r="F52" s="7">
        <f t="shared" ca="1" si="11"/>
        <v>-0.12976332104490809</v>
      </c>
      <c r="G52" s="7">
        <f t="shared" ca="1" si="12"/>
        <v>1.9299501729284336</v>
      </c>
      <c r="H52" s="7">
        <f t="shared" ca="1" si="13"/>
        <v>-1.2000000000132198</v>
      </c>
    </row>
    <row r="53" spans="1:8">
      <c r="A53" s="1">
        <f t="shared" si="2"/>
        <v>11.5</v>
      </c>
      <c r="B53" s="4">
        <v>-1.2</v>
      </c>
      <c r="C53" s="2"/>
      <c r="D53" s="9">
        <f t="shared" ca="1" si="14"/>
        <v>-2.6887456792043063E-8</v>
      </c>
      <c r="E53" s="6">
        <f t="shared" ca="1" si="10"/>
        <v>-2.897041036027739E-8</v>
      </c>
      <c r="F53" s="7">
        <f t="shared" ca="1" si="11"/>
        <v>0.31522422218677998</v>
      </c>
      <c r="G53" s="7">
        <f t="shared" ca="1" si="12"/>
        <v>1.6299501729248946</v>
      </c>
      <c r="H53" s="7">
        <f t="shared" ca="1" si="13"/>
        <v>-1.2000000000149331</v>
      </c>
    </row>
    <row r="54" spans="1:8">
      <c r="A54" s="1">
        <f t="shared" si="2"/>
        <v>11.75</v>
      </c>
      <c r="B54" s="4">
        <v>-1.2</v>
      </c>
      <c r="C54" s="2"/>
      <c r="D54" s="9">
        <f t="shared" ca="1" si="14"/>
        <v>-3.3921577753681564E-8</v>
      </c>
      <c r="E54" s="6">
        <f t="shared" ca="1" si="10"/>
        <v>-2.6323754308412404E-8</v>
      </c>
      <c r="F54" s="7">
        <f t="shared" ca="1" si="11"/>
        <v>0.68521176541752427</v>
      </c>
      <c r="G54" s="7">
        <f t="shared" ca="1" si="12"/>
        <v>1.3299501729209573</v>
      </c>
      <c r="H54" s="7">
        <f t="shared" ca="1" si="13"/>
        <v>-1.200000000016396</v>
      </c>
    </row>
    <row r="55" spans="1:8">
      <c r="A55" s="1">
        <f t="shared" si="2"/>
        <v>12</v>
      </c>
      <c r="B55" s="4">
        <v>-1.2</v>
      </c>
      <c r="C55" s="2"/>
      <c r="D55" s="9">
        <f t="shared" ca="1" si="14"/>
        <v>-4.0049333946248789E-8</v>
      </c>
      <c r="E55" s="6">
        <f t="shared" ca="1" si="10"/>
        <v>-2.1917904906122741E-8</v>
      </c>
      <c r="F55" s="7">
        <f t="shared" ca="1" si="11"/>
        <v>0.98019930864724858</v>
      </c>
      <c r="G55" s="7">
        <f t="shared" ca="1" si="12"/>
        <v>1.0299501729167067</v>
      </c>
      <c r="H55" s="7">
        <f t="shared" ca="1" si="13"/>
        <v>-1.2000000000176523</v>
      </c>
    </row>
    <row r="56" spans="1:8">
      <c r="A56" s="1">
        <f t="shared" si="2"/>
        <v>12.25</v>
      </c>
      <c r="B56" s="4">
        <v>-1.2</v>
      </c>
      <c r="C56" s="2"/>
      <c r="D56" s="9">
        <f t="shared" ca="1" si="14"/>
        <v>-4.4880530206742424E-8</v>
      </c>
      <c r="E56" s="6">
        <f t="shared" ca="1" si="10"/>
        <v>-1.6149687550239443E-8</v>
      </c>
      <c r="F56" s="7">
        <f t="shared" ca="1" si="11"/>
        <v>1.2001868518758676</v>
      </c>
      <c r="G56" s="7">
        <f t="shared" ca="1" si="12"/>
        <v>0.72995017291212094</v>
      </c>
      <c r="H56" s="7">
        <f t="shared" ca="1" si="13"/>
        <v>-1.2000000000189122</v>
      </c>
    </row>
    <row r="57" spans="1:8">
      <c r="A57" s="1">
        <f t="shared" si="2"/>
        <v>12.5</v>
      </c>
      <c r="B57" s="4">
        <v>-1.2</v>
      </c>
      <c r="C57" s="2"/>
      <c r="D57" s="9">
        <f t="shared" ca="1" si="14"/>
        <v>-4.8124177721367961E-8</v>
      </c>
      <c r="E57" s="6">
        <f t="shared" ca="1" si="10"/>
        <v>-9.4159276375940021E-9</v>
      </c>
      <c r="F57" s="7">
        <f t="shared" ca="1" si="11"/>
        <v>1.3451743951032791</v>
      </c>
      <c r="G57" s="7">
        <f t="shared" ca="1" si="12"/>
        <v>0.42995017290725057</v>
      </c>
      <c r="H57" s="7">
        <f t="shared" ca="1" si="13"/>
        <v>-1.2000000000197217</v>
      </c>
    </row>
    <row r="58" spans="1:8">
      <c r="A58" s="1">
        <f t="shared" si="2"/>
        <v>12.75</v>
      </c>
      <c r="B58" s="4">
        <v>-1.2</v>
      </c>
      <c r="C58" s="2"/>
      <c r="D58" s="9">
        <f t="shared" ca="1" si="14"/>
        <v>-4.958849402553887E-8</v>
      </c>
      <c r="E58" s="6">
        <f t="shared" ca="1" si="10"/>
        <v>-2.113450565018322E-9</v>
      </c>
      <c r="F58" s="7">
        <f t="shared" ca="1" si="11"/>
        <v>1.415161938329488</v>
      </c>
      <c r="G58" s="7">
        <f t="shared" ca="1" si="12"/>
        <v>0.12995017290230981</v>
      </c>
      <c r="H58" s="7">
        <f t="shared" ca="1" si="13"/>
        <v>-1.2000000000200828</v>
      </c>
    </row>
    <row r="59" spans="1:8">
      <c r="A59" s="1">
        <f t="shared" si="2"/>
        <v>13</v>
      </c>
      <c r="B59" s="4">
        <v>-1.2</v>
      </c>
      <c r="C59" s="2"/>
      <c r="D59" s="9">
        <f t="shared" ca="1" si="14"/>
        <v>-4.918090300387656E-8</v>
      </c>
      <c r="E59" s="6">
        <f t="shared" ca="1" si="10"/>
        <v>5.3609182706556648E-9</v>
      </c>
      <c r="F59" s="7">
        <f t="shared" ca="1" si="11"/>
        <v>1.4101494815544291</v>
      </c>
      <c r="G59" s="7">
        <f t="shared" ca="1" si="12"/>
        <v>-0.17004982710279126</v>
      </c>
      <c r="H59" s="7">
        <f t="shared" ca="1" si="13"/>
        <v>-1.2000000000203626</v>
      </c>
    </row>
    <row r="60" spans="1:8">
      <c r="A60" s="1">
        <f t="shared" si="2"/>
        <v>13.25</v>
      </c>
      <c r="B60" s="4">
        <v>-1.2</v>
      </c>
      <c r="C60" s="2"/>
      <c r="D60" s="9">
        <f t="shared" ca="1" si="14"/>
        <v>-4.6908034890210481E-8</v>
      </c>
      <c r="E60" s="6">
        <f t="shared" ca="1" si="10"/>
        <v>1.2610353472595775E-8</v>
      </c>
      <c r="F60" s="7">
        <f t="shared" ca="1" si="11"/>
        <v>1.3301370247780924</v>
      </c>
      <c r="G60" s="7">
        <f t="shared" ca="1" si="12"/>
        <v>-0.4700498271078617</v>
      </c>
      <c r="H60" s="7">
        <f t="shared" ca="1" si="13"/>
        <v>-1.2000000000200424</v>
      </c>
    </row>
    <row r="61" spans="1:8">
      <c r="A61" s="1">
        <f t="shared" si="2"/>
        <v>13.5</v>
      </c>
      <c r="B61" s="4">
        <v>-1.2</v>
      </c>
      <c r="C61" s="2"/>
      <c r="D61" s="9">
        <f t="shared" ca="1" si="14"/>
        <v>-4.2875726267578117E-8</v>
      </c>
      <c r="E61" s="6">
        <f t="shared" ca="1" si="10"/>
        <v>1.923802964396989E-8</v>
      </c>
      <c r="F61" s="7">
        <f t="shared" ca="1" si="11"/>
        <v>1.1751245680004831</v>
      </c>
      <c r="G61" s="7">
        <f t="shared" ca="1" si="12"/>
        <v>-0.77004982711283243</v>
      </c>
      <c r="H61" s="7">
        <f t="shared" ca="1" si="13"/>
        <v>-1.2000000000195836</v>
      </c>
    </row>
    <row r="62" spans="1:8">
      <c r="A62" s="1">
        <f t="shared" si="2"/>
        <v>13.75</v>
      </c>
      <c r="B62" s="4">
        <v>-1.2</v>
      </c>
      <c r="C62" s="2"/>
      <c r="D62" s="9">
        <f t="shared" ca="1" si="14"/>
        <v>-3.7289020068224994E-8</v>
      </c>
      <c r="E62" s="6">
        <f t="shared" ca="1" si="10"/>
        <v>2.4847121387945986E-8</v>
      </c>
      <c r="F62" s="7">
        <f t="shared" ca="1" si="11"/>
        <v>0.94511211122166117</v>
      </c>
      <c r="G62" s="7">
        <f t="shared" ca="1" si="12"/>
        <v>-1.0700498271176333</v>
      </c>
      <c r="H62" s="7">
        <f t="shared" ca="1" si="13"/>
        <v>-1.2000000000188424</v>
      </c>
    </row>
    <row r="63" spans="1:8">
      <c r="A63" s="1">
        <f t="shared" si="2"/>
        <v>14</v>
      </c>
      <c r="B63" s="4">
        <v>-1.2</v>
      </c>
      <c r="C63" s="2"/>
      <c r="D63" s="9">
        <f t="shared" ca="1" si="14"/>
        <v>-3.0452165573604607E-8</v>
      </c>
      <c r="E63" s="6">
        <f t="shared" ca="1" si="10"/>
        <v>2.9040803307692277E-8</v>
      </c>
      <c r="F63" s="7">
        <f t="shared" ca="1" si="11"/>
        <v>0.64009965444165651</v>
      </c>
      <c r="G63" s="7">
        <f t="shared" ca="1" si="12"/>
        <v>-1.3700498271222439</v>
      </c>
      <c r="H63" s="7">
        <f t="shared" ca="1" si="13"/>
        <v>-1.2000000000178215</v>
      </c>
    </row>
    <row r="64" spans="1:8">
      <c r="A64" s="1">
        <f t="shared" si="2"/>
        <v>14.25</v>
      </c>
      <c r="B64" s="4">
        <v>-1.2</v>
      </c>
      <c r="C64" s="2"/>
      <c r="D64" s="9">
        <f t="shared" ca="1" si="14"/>
        <v>-2.2768618414378375E-8</v>
      </c>
      <c r="E64" s="6">
        <f t="shared" ca="1" si="10"/>
        <v>3.142225000637724E-8</v>
      </c>
      <c r="F64" s="7">
        <f t="shared" ca="1" si="11"/>
        <v>0.26008719766053429</v>
      </c>
      <c r="G64" s="7">
        <f t="shared" ca="1" si="12"/>
        <v>-1.670049827126534</v>
      </c>
      <c r="H64" s="7">
        <f t="shared" ca="1" si="13"/>
        <v>-1.2000000000163755</v>
      </c>
    </row>
    <row r="65" spans="1:8">
      <c r="A65" s="1">
        <f t="shared" si="2"/>
        <v>14.5</v>
      </c>
      <c r="B65" s="4">
        <v>-1.2</v>
      </c>
      <c r="C65" s="2"/>
      <c r="D65" s="9">
        <f t="shared" ca="1" si="14"/>
        <v>-1.474104057041555E-8</v>
      </c>
      <c r="E65" s="6">
        <f t="shared" ca="1" si="10"/>
        <v>3.1594636087169771E-8</v>
      </c>
      <c r="F65" s="7">
        <f t="shared" ca="1" si="11"/>
        <v>-0.19492525912161801</v>
      </c>
      <c r="G65" s="7">
        <f t="shared" ca="1" si="12"/>
        <v>-1.970049827130429</v>
      </c>
      <c r="H65" s="7">
        <f t="shared" ca="1" si="13"/>
        <v>-1.2000000000145921</v>
      </c>
    </row>
    <row r="66" spans="1:8">
      <c r="A66" s="1">
        <f t="shared" si="2"/>
        <v>14.75</v>
      </c>
      <c r="B66" s="4">
        <v>-1.2</v>
      </c>
      <c r="C66" s="2"/>
      <c r="D66" s="9">
        <f t="shared" ca="1" si="14"/>
        <v>-6.9713003707931052E-9</v>
      </c>
      <c r="E66" s="6">
        <f t="shared" ca="1" si="10"/>
        <v>2.9161136153239284E-8</v>
      </c>
      <c r="F66" s="7">
        <f t="shared" ca="1" si="11"/>
        <v>-0.72493771590468781</v>
      </c>
      <c r="G66" s="7">
        <f t="shared" ca="1" si="12"/>
        <v>-2.2700498271338292</v>
      </c>
      <c r="H66" s="7">
        <f t="shared" ca="1" si="13"/>
        <v>-1.2000000000124613</v>
      </c>
    </row>
    <row r="67" spans="1:8">
      <c r="A67" s="1">
        <f t="shared" si="2"/>
        <v>15</v>
      </c>
      <c r="B67" s="4">
        <v>-1.2</v>
      </c>
      <c r="C67" s="2"/>
      <c r="D67" s="9">
        <f t="shared" ca="1" si="14"/>
        <v>-1.604724937955834E-10</v>
      </c>
      <c r="E67" s="6">
        <f t="shared" ca="1" si="10"/>
        <v>2.3724924807755859E-8</v>
      </c>
      <c r="F67" s="7">
        <f t="shared" ca="1" si="11"/>
        <v>-1.3299501726885388</v>
      </c>
      <c r="G67" s="7">
        <f t="shared" ca="1" si="12"/>
        <v>-2.5700498271366579</v>
      </c>
      <c r="H67" s="7">
        <f t="shared" ca="1" si="13"/>
        <v>-1.2000000000100552</v>
      </c>
    </row>
    <row r="68" spans="1:8">
      <c r="A68" s="1">
        <f t="shared" si="2"/>
        <v>15.25</v>
      </c>
      <c r="B68" s="4">
        <v>-1.2</v>
      </c>
      <c r="C68" s="2"/>
      <c r="D68" s="9">
        <f t="shared" ref="D68:D80" ca="1" si="15">((B68*delta^4/(E*I))-D66+4*D67+4*D69-D70)/6</f>
        <v>4.8911620330850806E-9</v>
      </c>
      <c r="E68" s="6">
        <f t="shared" ref="E68:E80" ca="1" si="16">(D69-D67)/(2*delta)</f>
        <v>1.4889176653890322E-8</v>
      </c>
      <c r="F68" s="7">
        <f t="shared" ref="F68:F80" ca="1" si="17">E*I*(D69-2*D68+D67)/delta^2</f>
        <v>-2.009962629473022</v>
      </c>
      <c r="G68" s="7">
        <f t="shared" ref="G68:G80" ca="1" si="18">(F69-F67)/(2*delta)</f>
        <v>-2.8700498271388568</v>
      </c>
      <c r="H68" s="7">
        <f t="shared" ref="H68:H80" ca="1" si="19">(G69-G67)/(2*delta)</f>
        <v>-1.2000000000073818</v>
      </c>
    </row>
    <row r="69" spans="1:8">
      <c r="A69" s="1">
        <f t="shared" si="2"/>
        <v>15.5</v>
      </c>
      <c r="B69" s="4">
        <v>-1.2</v>
      </c>
      <c r="C69" s="2"/>
      <c r="D69" s="9">
        <f t="shared" ca="1" si="15"/>
        <v>7.2841158331497583E-9</v>
      </c>
      <c r="E69" s="6">
        <f t="shared" ca="1" si="16"/>
        <v>2.2570662948143348E-9</v>
      </c>
      <c r="F69" s="7">
        <f t="shared" ca="1" si="17"/>
        <v>-2.7649750862579747</v>
      </c>
      <c r="G69" s="7">
        <f t="shared" ca="1" si="18"/>
        <v>-3.1700498271403532</v>
      </c>
      <c r="H69" s="7">
        <f t="shared" ca="1" si="19"/>
        <v>-1.2000000000044064</v>
      </c>
    </row>
    <row r="70" spans="1:8">
      <c r="A70" s="1">
        <f t="shared" si="2"/>
        <v>15.75</v>
      </c>
      <c r="B70" s="4">
        <v>-1.2</v>
      </c>
      <c r="C70" s="2"/>
      <c r="D70" s="9">
        <f t="shared" ca="1" si="15"/>
        <v>6.0196951804923439E-9</v>
      </c>
      <c r="E70" s="6">
        <f t="shared" ca="1" si="16"/>
        <v>-1.4568231666299517E-8</v>
      </c>
      <c r="F70" s="7">
        <f t="shared" ca="1" si="17"/>
        <v>-3.5949875430432074</v>
      </c>
      <c r="G70" s="7">
        <f t="shared" ca="1" si="18"/>
        <v>-3.4700498271410556</v>
      </c>
      <c r="H70" s="7">
        <f t="shared" ca="1" si="19"/>
        <v>4.2200498270538986</v>
      </c>
    </row>
    <row r="71" spans="1:8">
      <c r="A71" s="1">
        <f t="shared" si="2"/>
        <v>16</v>
      </c>
      <c r="B71" s="4">
        <v>-0.6</v>
      </c>
      <c r="C71" s="2"/>
      <c r="D71" s="11">
        <v>0</v>
      </c>
      <c r="E71" s="6">
        <f t="shared" ca="1" si="16"/>
        <v>-3.5983542626277599E-8</v>
      </c>
      <c r="F71" s="7">
        <f t="shared" ca="1" si="17"/>
        <v>-4.4999999998285105</v>
      </c>
      <c r="G71" s="7">
        <f t="shared" ca="1" si="18"/>
        <v>-1.0600249136133861</v>
      </c>
      <c r="H71" s="7">
        <f t="shared" ca="1" si="19"/>
        <v>9.9400996541124762</v>
      </c>
    </row>
    <row r="72" spans="1:8">
      <c r="A72" s="1">
        <f t="shared" si="2"/>
        <v>16.25</v>
      </c>
      <c r="B72" s="4">
        <v>0</v>
      </c>
      <c r="C72" s="2"/>
      <c r="D72" s="9">
        <f t="shared" ca="1" si="15"/>
        <v>-1.1972076132646553E-8</v>
      </c>
      <c r="E72" s="6">
        <f t="shared" ca="1" si="16"/>
        <v>-5.8801002942887562E-8</v>
      </c>
      <c r="F72" s="7">
        <f t="shared" ca="1" si="17"/>
        <v>-4.1249999998499112</v>
      </c>
      <c r="G72" s="7">
        <f t="shared" ca="1" si="18"/>
        <v>1.4999999999151878</v>
      </c>
      <c r="H72" s="7">
        <f t="shared" ca="1" si="19"/>
        <v>5.1200498270612478</v>
      </c>
    </row>
    <row r="73" spans="1:8">
      <c r="A73" s="1">
        <f t="shared" si="2"/>
        <v>16.5</v>
      </c>
      <c r="B73" s="4">
        <v>0</v>
      </c>
      <c r="C73" s="2"/>
      <c r="D73" s="9">
        <f t="shared" ca="1" si="15"/>
        <v>-2.9400501471443983E-8</v>
      </c>
      <c r="E73" s="6">
        <f t="shared" ca="1" si="16"/>
        <v>-7.9634336275483171E-8</v>
      </c>
      <c r="F73" s="7">
        <f t="shared" ca="1" si="17"/>
        <v>-3.7499999998709241</v>
      </c>
      <c r="G73" s="7">
        <f t="shared" ca="1" si="18"/>
        <v>1.4999999999172493</v>
      </c>
      <c r="H73" s="7">
        <f t="shared" ca="1" si="19"/>
        <v>1.0331291377951857E-11</v>
      </c>
    </row>
    <row r="74" spans="1:8">
      <c r="A74" s="1">
        <f t="shared" si="2"/>
        <v>16.75</v>
      </c>
      <c r="B74" s="4">
        <v>0</v>
      </c>
      <c r="C74" s="2"/>
      <c r="D74" s="9">
        <f t="shared" ref="D74:D79" ca="1" si="20">((B74*delta^4/(E*I))-D72+4*D73+4*D75-D76)/6</f>
        <v>-5.1789244270388461E-8</v>
      </c>
      <c r="E74" s="6">
        <f t="shared" ref="E74:E79" ca="1" si="21">(D75-D73)/(2*delta)</f>
        <v>-9.8483542624061771E-8</v>
      </c>
      <c r="F74" s="7">
        <f t="shared" ref="F74:F79" ca="1" si="22">E*I*(D75-2*D74+D73)/delta^2</f>
        <v>-3.374999999891299</v>
      </c>
      <c r="G74" s="7">
        <f t="shared" ref="G74:G79" ca="1" si="23">(F75-F73)/(2*delta)</f>
        <v>1.4999999999204086</v>
      </c>
      <c r="H74" s="7">
        <f t="shared" ref="H74:H79" ca="1" si="24">(G75-G73)/(2*delta)</f>
        <v>1.4725998198628076E-11</v>
      </c>
    </row>
    <row r="75" spans="1:8">
      <c r="A75" s="1">
        <f t="shared" si="2"/>
        <v>17</v>
      </c>
      <c r="B75" s="4">
        <v>0</v>
      </c>
      <c r="C75" s="2"/>
      <c r="D75" s="9">
        <f t="shared" ca="1" si="20"/>
        <v>-7.8642272783475305E-8</v>
      </c>
      <c r="E75" s="6">
        <f t="shared" ca="1" si="21"/>
        <v>-1.1534862198861919E-7</v>
      </c>
      <c r="F75" s="7">
        <f t="shared" ca="1" si="22"/>
        <v>-2.9999999999107452</v>
      </c>
      <c r="G75" s="7">
        <f t="shared" ca="1" si="23"/>
        <v>1.4999999999246576</v>
      </c>
      <c r="H75" s="7">
        <f t="shared" ca="1" si="24"/>
        <v>1.9104717807749694E-11</v>
      </c>
    </row>
    <row r="76" spans="1:8">
      <c r="A76" s="1">
        <f t="shared" si="2"/>
        <v>17.25</v>
      </c>
      <c r="B76" s="4">
        <v>0</v>
      </c>
      <c r="C76" s="2"/>
      <c r="D76" s="9">
        <f t="shared" ca="1" si="20"/>
        <v>-1.094635552646986E-7</v>
      </c>
      <c r="E76" s="6">
        <f t="shared" ca="1" si="21"/>
        <v>-1.3022957436914978E-7</v>
      </c>
      <c r="F76" s="7">
        <f t="shared" ca="1" si="22"/>
        <v>-2.6249999999290003</v>
      </c>
      <c r="G76" s="7">
        <f t="shared" ca="1" si="23"/>
        <v>1.4999999999299716</v>
      </c>
      <c r="H76" s="7">
        <f t="shared" ca="1" si="24"/>
        <v>2.3373303292828496E-11</v>
      </c>
    </row>
    <row r="77" spans="1:8">
      <c r="A77" s="1">
        <f t="shared" si="2"/>
        <v>17.5</v>
      </c>
      <c r="B77" s="4">
        <v>0</v>
      </c>
      <c r="C77" s="2"/>
      <c r="D77" s="9">
        <f t="shared" ca="1" si="20"/>
        <v>-1.4375705996805091E-7</v>
      </c>
      <c r="E77" s="6">
        <f t="shared" ca="1" si="21"/>
        <v>-1.4312639976564663E-7</v>
      </c>
      <c r="F77" s="7">
        <f t="shared" ca="1" si="22"/>
        <v>-2.2499999999457296</v>
      </c>
      <c r="G77" s="7">
        <f t="shared" ca="1" si="23"/>
        <v>1.499999999936485</v>
      </c>
      <c r="H77" s="7">
        <f t="shared" ca="1" si="24"/>
        <v>2.8113511518768064E-11</v>
      </c>
    </row>
    <row r="78" spans="1:8">
      <c r="A78" s="1">
        <f t="shared" si="2"/>
        <v>17.75</v>
      </c>
      <c r="B78" s="4">
        <v>0</v>
      </c>
      <c r="C78" s="2"/>
      <c r="D78" s="9">
        <f t="shared" ca="1" si="20"/>
        <v>-1.8102675514752276E-7</v>
      </c>
      <c r="E78" s="6">
        <f t="shared" ca="1" si="21"/>
        <v>-1.5403909817810099E-7</v>
      </c>
      <c r="F78" s="7">
        <f t="shared" ca="1" si="22"/>
        <v>-1.8749999999607379</v>
      </c>
      <c r="G78" s="7">
        <f t="shared" ca="1" si="23"/>
        <v>1.4999999999439688</v>
      </c>
      <c r="H78" s="7">
        <f t="shared" ca="1" si="24"/>
        <v>3.3137048660591972E-11</v>
      </c>
    </row>
    <row r="79" spans="1:8">
      <c r="A79" s="1">
        <f t="shared" si="2"/>
        <v>18</v>
      </c>
      <c r="B79" s="4">
        <v>0</v>
      </c>
      <c r="C79" s="2"/>
      <c r="D79" s="9">
        <f t="shared" ca="1" si="20"/>
        <v>-2.2077660905710241E-7</v>
      </c>
      <c r="E79" s="6">
        <f t="shared" ca="1" si="21"/>
        <v>-1.629676696065029E-7</v>
      </c>
      <c r="F79" s="7">
        <f t="shared" ca="1" si="22"/>
        <v>-1.4999999999736651</v>
      </c>
      <c r="G79" s="7">
        <f t="shared" ca="1" si="23"/>
        <v>1.4999999999528533</v>
      </c>
      <c r="H79" s="7">
        <f t="shared" ca="1" si="24"/>
        <v>3.858113828414389E-11</v>
      </c>
    </row>
    <row r="80" spans="1:8">
      <c r="A80" s="1">
        <f t="shared" si="2"/>
        <v>18.25</v>
      </c>
      <c r="B80" s="4">
        <v>0</v>
      </c>
      <c r="C80" s="2"/>
      <c r="D80" s="9">
        <f t="shared" ca="1" si="15"/>
        <v>-2.6251058995077538E-7</v>
      </c>
      <c r="E80" s="6">
        <f t="shared" ca="1" si="16"/>
        <v>-1.6991211405084062E-7</v>
      </c>
      <c r="F80" s="7">
        <f t="shared" ca="1" si="17"/>
        <v>-1.1249999999842311</v>
      </c>
      <c r="G80" s="7">
        <f t="shared" ca="1" si="18"/>
        <v>1.4999999999630991</v>
      </c>
      <c r="H80" s="7">
        <f t="shared" ca="1" si="19"/>
        <v>4.3465231414074879E-11</v>
      </c>
    </row>
    <row r="81" spans="1:8">
      <c r="A81" s="1">
        <f t="shared" ref="A81:A83" si="25">+A80+delta</f>
        <v>18.5</v>
      </c>
      <c r="B81" s="4">
        <v>0</v>
      </c>
      <c r="C81" s="2"/>
      <c r="D81" s="9">
        <f t="shared" ref="D81:D83" ca="1" si="26">((B81*delta^4/(E*I))-D79+4*D80+4*D82-D83)/6</f>
        <v>-3.0573266608252394E-7</v>
      </c>
      <c r="E81" s="6">
        <f t="shared" ca="1" si="0"/>
        <v>-1.7487243151110059E-7</v>
      </c>
      <c r="F81" s="7">
        <f t="shared" ref="F81:F82" ca="1" si="27">E*I*(D82-2*D81+D80)/delta^2</f>
        <v>-0.74999999999219558</v>
      </c>
      <c r="G81" s="7">
        <f t="shared" ref="G81:H82" ca="1" si="28">(F82-F80)/(2*delta)</f>
        <v>1.4999999999743454</v>
      </c>
      <c r="H81" s="7">
        <f t="shared" ca="1" si="28"/>
        <v>4.7707171546562677E-11</v>
      </c>
    </row>
    <row r="82" spans="1:8">
      <c r="A82" s="1">
        <f t="shared" si="25"/>
        <v>18.75</v>
      </c>
      <c r="B82" s="4">
        <v>0</v>
      </c>
      <c r="C82" s="2"/>
      <c r="D82" s="9">
        <f t="shared" ca="1" si="26"/>
        <v>-3.4994680570632694E-7</v>
      </c>
      <c r="E82" s="6">
        <f t="shared" ca="1" si="0"/>
        <v>-1.7784862198726793E-7</v>
      </c>
      <c r="F82" s="7">
        <f t="shared" ca="1" si="27"/>
        <v>-0.37499999999713834</v>
      </c>
      <c r="G82" s="7">
        <f t="shared" ca="1" si="28"/>
        <v>1.4999999999866325</v>
      </c>
      <c r="H82" s="7">
        <f t="shared" ca="1" si="28"/>
        <v>4.6986414758976025E-11</v>
      </c>
    </row>
    <row r="83" spans="1:8">
      <c r="A83" s="1">
        <f t="shared" si="25"/>
        <v>19</v>
      </c>
      <c r="B83" s="4">
        <v>0</v>
      </c>
      <c r="C83" s="2"/>
      <c r="D83" s="9">
        <f t="shared" ca="1" si="26"/>
        <v>-3.9465697707615939E-7</v>
      </c>
      <c r="E83" s="6">
        <f t="shared" ca="1" si="0"/>
        <v>-1.7884068547932639E-7</v>
      </c>
      <c r="F83" s="7">
        <f t="shared" ca="1" si="1"/>
        <v>1.2807138162485023E-12</v>
      </c>
      <c r="G83" s="10">
        <f ca="1">E*I*(D85-2*D84+2*D82-D81)/(2*delta^3)</f>
        <v>1.4999999999980789</v>
      </c>
      <c r="H83" s="10">
        <f ca="1">(G83-G82)/delta</f>
        <v>4.5785597535541456E-11</v>
      </c>
    </row>
    <row r="84" spans="1:8">
      <c r="A84" s="2"/>
      <c r="B84" s="2"/>
      <c r="C84" s="2"/>
      <c r="D84" s="8">
        <f ca="1">2*D83-D82</f>
        <v>-4.3936714844599183E-7</v>
      </c>
      <c r="E84" s="6"/>
      <c r="F84" s="2"/>
      <c r="G84" s="2"/>
      <c r="H84" s="2"/>
    </row>
    <row r="85" spans="1:8">
      <c r="D85" s="8">
        <f ca="1">2*1.5*delta^3/(E*I)+2*D84-2*D82+D81</f>
        <v>-4.8358128806979023E-7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Hoja1</vt:lpstr>
      <vt:lpstr>Hoja2</vt:lpstr>
      <vt:lpstr>Hoja3</vt:lpstr>
      <vt:lpstr>cortante</vt:lpstr>
      <vt:lpstr>delta</vt:lpstr>
      <vt:lpstr>E</vt:lpstr>
      <vt:lpstr>ejeX</vt:lpstr>
      <vt:lpstr>I</vt:lpstr>
      <vt:lpstr>momento</vt:lpstr>
      <vt:lpstr>qs</vt:lpstr>
      <vt:lpstr>theta</vt:lpstr>
      <vt:lpstr>ws</vt:lpstr>
    </vt:vector>
  </TitlesOfParts>
  <Company>WindowsXP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Windows XP</cp:lastModifiedBy>
  <dcterms:created xsi:type="dcterms:W3CDTF">2010-05-04T01:33:20Z</dcterms:created>
  <dcterms:modified xsi:type="dcterms:W3CDTF">2010-05-04T15:12:25Z</dcterms:modified>
</cp:coreProperties>
</file>