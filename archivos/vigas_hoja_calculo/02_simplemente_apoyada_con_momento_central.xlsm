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30" windowWidth="24795" windowHeight="10485"/>
  </bookViews>
  <sheets>
    <sheet name="Hoja1" sheetId="1" r:id="rId1"/>
    <sheet name="Hoja2" sheetId="2" r:id="rId2"/>
    <sheet name="Hoja3" sheetId="3" r:id="rId3"/>
  </sheets>
  <functionGroups builtInGroupCount="17"/>
  <definedNames>
    <definedName name="delta">Hoja1!$B$1</definedName>
    <definedName name="E">Hoja1!$B$2</definedName>
    <definedName name="I">Hoja1!$B$3</definedName>
  </definedNames>
  <calcPr calcId="144525" calcMode="manual" iterate="1" iterateCount="1" iterateDelta="1E-10" calcCompleted="0" calcOnSave="0"/>
</workbook>
</file>

<file path=xl/calcChain.xml><?xml version="1.0" encoding="utf-8"?>
<calcChain xmlns="http://schemas.openxmlformats.org/spreadsheetml/2006/main">
  <c r="G63" i="1" l="1"/>
  <c r="G62" i="1"/>
  <c r="B3" i="1" l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3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D6" i="1"/>
  <c r="E7" i="1"/>
  <c r="F7" i="1"/>
  <c r="G7" i="1"/>
  <c r="H7" i="1"/>
  <c r="D8" i="1"/>
  <c r="E8" i="1"/>
  <c r="F8" i="1"/>
  <c r="G8" i="1"/>
  <c r="H8" i="1"/>
  <c r="D9" i="1"/>
  <c r="E9" i="1"/>
  <c r="F9" i="1"/>
  <c r="G9" i="1"/>
  <c r="H9" i="1"/>
  <c r="D10" i="1"/>
  <c r="E10" i="1"/>
  <c r="F10" i="1"/>
  <c r="G10" i="1"/>
  <c r="H10" i="1"/>
  <c r="D11" i="1"/>
  <c r="E11" i="1"/>
  <c r="F11" i="1"/>
  <c r="G11" i="1"/>
  <c r="H11" i="1"/>
  <c r="D12" i="1"/>
  <c r="E12" i="1"/>
  <c r="F12" i="1"/>
  <c r="G12" i="1"/>
  <c r="H12" i="1"/>
  <c r="D13" i="1"/>
  <c r="E13" i="1"/>
  <c r="F13" i="1"/>
  <c r="G13" i="1"/>
  <c r="H13" i="1"/>
  <c r="D14" i="1"/>
  <c r="E14" i="1"/>
  <c r="F14" i="1"/>
  <c r="G14" i="1"/>
  <c r="H14" i="1"/>
  <c r="D15" i="1"/>
  <c r="E15" i="1"/>
  <c r="F15" i="1"/>
  <c r="G15" i="1"/>
  <c r="H15" i="1"/>
  <c r="D16" i="1"/>
  <c r="E16" i="1"/>
  <c r="F16" i="1"/>
  <c r="G16" i="1"/>
  <c r="H16" i="1"/>
  <c r="D17" i="1"/>
  <c r="E17" i="1"/>
  <c r="F17" i="1"/>
  <c r="G17" i="1"/>
  <c r="H17" i="1"/>
  <c r="D18" i="1"/>
  <c r="E18" i="1"/>
  <c r="F18" i="1"/>
  <c r="G18" i="1"/>
  <c r="H18" i="1"/>
  <c r="D19" i="1"/>
  <c r="E19" i="1"/>
  <c r="F19" i="1"/>
  <c r="G19" i="1"/>
  <c r="H19" i="1"/>
  <c r="D20" i="1"/>
  <c r="E20" i="1"/>
  <c r="F20" i="1"/>
  <c r="G20" i="1"/>
  <c r="H20" i="1"/>
  <c r="D21" i="1"/>
  <c r="E21" i="1"/>
  <c r="F21" i="1"/>
  <c r="G21" i="1"/>
  <c r="H21" i="1"/>
  <c r="D22" i="1"/>
  <c r="E22" i="1"/>
  <c r="F22" i="1"/>
  <c r="G22" i="1"/>
  <c r="H22" i="1"/>
  <c r="D23" i="1"/>
  <c r="E23" i="1"/>
  <c r="F23" i="1"/>
  <c r="G23" i="1"/>
  <c r="H23" i="1"/>
  <c r="D24" i="1"/>
  <c r="E24" i="1"/>
  <c r="F24" i="1"/>
  <c r="G24" i="1"/>
  <c r="H24" i="1"/>
  <c r="D25" i="1"/>
  <c r="E25" i="1"/>
  <c r="F25" i="1"/>
  <c r="G25" i="1"/>
  <c r="H25" i="1"/>
  <c r="D26" i="1"/>
  <c r="E26" i="1"/>
  <c r="F26" i="1"/>
  <c r="G26" i="1"/>
  <c r="H26" i="1"/>
  <c r="D27" i="1"/>
  <c r="E27" i="1"/>
  <c r="F27" i="1"/>
  <c r="G27" i="1"/>
  <c r="H27" i="1"/>
  <c r="D28" i="1"/>
  <c r="E28" i="1"/>
  <c r="F28" i="1"/>
  <c r="G28" i="1"/>
  <c r="H28" i="1"/>
  <c r="D29" i="1"/>
  <c r="E29" i="1"/>
  <c r="F29" i="1"/>
  <c r="G29" i="1"/>
  <c r="H29" i="1"/>
  <c r="D30" i="1"/>
  <c r="E30" i="1"/>
  <c r="F30" i="1"/>
  <c r="G30" i="1"/>
  <c r="H30" i="1"/>
  <c r="D31" i="1"/>
  <c r="E31" i="1"/>
  <c r="F31" i="1"/>
  <c r="G31" i="1"/>
  <c r="H31" i="1"/>
  <c r="D32" i="1"/>
  <c r="E32" i="1"/>
  <c r="F32" i="1"/>
  <c r="G32" i="1"/>
  <c r="H32" i="1"/>
  <c r="D33" i="1"/>
  <c r="E33" i="1"/>
  <c r="F33" i="1"/>
  <c r="D34" i="1"/>
  <c r="E34" i="1"/>
  <c r="F34" i="1"/>
  <c r="G34" i="1"/>
  <c r="H34" i="1"/>
  <c r="D35" i="1"/>
  <c r="E35" i="1"/>
  <c r="F35" i="1"/>
  <c r="G35" i="1"/>
  <c r="H35" i="1"/>
  <c r="D36" i="1"/>
  <c r="E36" i="1"/>
  <c r="F36" i="1"/>
  <c r="G36" i="1"/>
  <c r="H36" i="1"/>
  <c r="D37" i="1"/>
  <c r="E37" i="1"/>
  <c r="F37" i="1"/>
  <c r="G37" i="1"/>
  <c r="H37" i="1"/>
  <c r="D38" i="1"/>
  <c r="E38" i="1"/>
  <c r="F38" i="1"/>
  <c r="G38" i="1"/>
  <c r="H38" i="1"/>
  <c r="D39" i="1"/>
  <c r="E39" i="1"/>
  <c r="F39" i="1"/>
  <c r="G39" i="1"/>
  <c r="H39" i="1"/>
  <c r="D40" i="1"/>
  <c r="E40" i="1"/>
  <c r="F40" i="1"/>
  <c r="G40" i="1"/>
  <c r="H40" i="1"/>
  <c r="D41" i="1"/>
  <c r="E41" i="1"/>
  <c r="F41" i="1"/>
  <c r="G41" i="1"/>
  <c r="H41" i="1"/>
  <c r="D42" i="1"/>
  <c r="E42" i="1"/>
  <c r="F42" i="1"/>
  <c r="G42" i="1"/>
  <c r="H42" i="1"/>
  <c r="D43" i="1"/>
  <c r="E43" i="1"/>
  <c r="F43" i="1"/>
  <c r="G43" i="1"/>
  <c r="H43" i="1"/>
  <c r="D44" i="1"/>
  <c r="E44" i="1"/>
  <c r="F44" i="1"/>
  <c r="G44" i="1"/>
  <c r="H44" i="1"/>
  <c r="D45" i="1"/>
  <c r="E45" i="1"/>
  <c r="F45" i="1"/>
  <c r="G45" i="1"/>
  <c r="H45" i="1"/>
  <c r="D46" i="1"/>
  <c r="E46" i="1"/>
  <c r="F46" i="1"/>
  <c r="G46" i="1"/>
  <c r="H46" i="1"/>
  <c r="D47" i="1"/>
  <c r="E47" i="1"/>
  <c r="F47" i="1"/>
  <c r="G47" i="1"/>
  <c r="H47" i="1"/>
  <c r="D48" i="1"/>
  <c r="E48" i="1"/>
  <c r="F48" i="1"/>
  <c r="G48" i="1"/>
  <c r="H48" i="1"/>
  <c r="D49" i="1"/>
  <c r="E49" i="1"/>
  <c r="F49" i="1"/>
  <c r="G49" i="1"/>
  <c r="H49" i="1"/>
  <c r="D50" i="1"/>
  <c r="E50" i="1"/>
  <c r="F50" i="1"/>
  <c r="G50" i="1"/>
  <c r="H50" i="1"/>
  <c r="D51" i="1"/>
  <c r="E51" i="1"/>
  <c r="F51" i="1"/>
  <c r="G51" i="1"/>
  <c r="H51" i="1"/>
  <c r="D52" i="1"/>
  <c r="E52" i="1"/>
  <c r="F52" i="1"/>
  <c r="G52" i="1"/>
  <c r="H52" i="1"/>
  <c r="D53" i="1"/>
  <c r="E53" i="1"/>
  <c r="F53" i="1"/>
  <c r="G53" i="1"/>
  <c r="H53" i="1"/>
  <c r="D54" i="1"/>
  <c r="E54" i="1"/>
  <c r="F54" i="1"/>
  <c r="G54" i="1"/>
  <c r="H54" i="1"/>
  <c r="D55" i="1"/>
  <c r="E55" i="1"/>
  <c r="F55" i="1"/>
  <c r="G55" i="1"/>
  <c r="H55" i="1"/>
  <c r="D56" i="1"/>
  <c r="E56" i="1"/>
  <c r="F56" i="1"/>
  <c r="G56" i="1"/>
  <c r="H56" i="1"/>
  <c r="D57" i="1"/>
  <c r="E57" i="1"/>
  <c r="F57" i="1"/>
  <c r="G57" i="1"/>
  <c r="H57" i="1"/>
  <c r="D58" i="1"/>
  <c r="E58" i="1"/>
  <c r="F58" i="1"/>
  <c r="G58" i="1"/>
  <c r="H58" i="1"/>
  <c r="E59" i="1"/>
  <c r="F59" i="1"/>
  <c r="G59" i="1"/>
  <c r="H59" i="1"/>
  <c r="D60" i="1"/>
  <c r="D64" i="1"/>
</calcChain>
</file>

<file path=xl/sharedStrings.xml><?xml version="1.0" encoding="utf-8"?>
<sst xmlns="http://schemas.openxmlformats.org/spreadsheetml/2006/main" count="21" uniqueCount="19">
  <si>
    <t xml:space="preserve">delta = </t>
  </si>
  <si>
    <t>x</t>
  </si>
  <si>
    <t>m</t>
  </si>
  <si>
    <t xml:space="preserve">E = </t>
  </si>
  <si>
    <t>Pa</t>
  </si>
  <si>
    <t>I =</t>
  </si>
  <si>
    <t>m^4</t>
  </si>
  <si>
    <t>theta</t>
  </si>
  <si>
    <t>q (N/m)</t>
  </si>
  <si>
    <t>M (N-m)</t>
  </si>
  <si>
    <t>V (N)</t>
  </si>
  <si>
    <t>v (m)</t>
  </si>
  <si>
    <t>v(x)</t>
  </si>
  <si>
    <t>theta(x)</t>
  </si>
  <si>
    <t>M(x)</t>
  </si>
  <si>
    <t>V(x)</t>
  </si>
  <si>
    <t xml:space="preserve">Ry izq = </t>
  </si>
  <si>
    <t xml:space="preserve">Ry der = 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</si>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</sst>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E+00"/>
    <numFmt numFmtId="165" formatCode="0.0000"/>
    <numFmt numFmtId="166" formatCode="0.000"/>
  </numFmts>
  <fonts count="3" x14ac:knownFonts="1"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/>
    <xf numFmtId="0" fontId="0" fillId="5" borderId="0" xfId="0" applyFill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Hoja1!$A$7:$A$59</c:f>
              <c:numCache>
                <c:formatCode>0,000</c:formatCode>
                <c:ptCount val="53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0.499</c:v>
                </c:pt>
                <c:pt idx="26">
                  <c:v>0.50000000000000011</c:v>
                </c:pt>
                <c:pt idx="27">
                  <c:v>0.501</c:v>
                </c:pt>
                <c:pt idx="28">
                  <c:v>0.52000000000000013</c:v>
                </c:pt>
                <c:pt idx="29">
                  <c:v>0.54000000000000015</c:v>
                </c:pt>
                <c:pt idx="30">
                  <c:v>0.56000000000000016</c:v>
                </c:pt>
                <c:pt idx="31">
                  <c:v>0.58000000000000018</c:v>
                </c:pt>
                <c:pt idx="32">
                  <c:v>0.6000000000000002</c:v>
                </c:pt>
                <c:pt idx="33">
                  <c:v>0.62000000000000022</c:v>
                </c:pt>
                <c:pt idx="34">
                  <c:v>0.64000000000000024</c:v>
                </c:pt>
                <c:pt idx="35">
                  <c:v>0.66000000000000025</c:v>
                </c:pt>
                <c:pt idx="36">
                  <c:v>0.68000000000000027</c:v>
                </c:pt>
                <c:pt idx="37">
                  <c:v>0.70000000000000029</c:v>
                </c:pt>
                <c:pt idx="38">
                  <c:v>0.72000000000000031</c:v>
                </c:pt>
                <c:pt idx="39">
                  <c:v>0.74000000000000032</c:v>
                </c:pt>
                <c:pt idx="40">
                  <c:v>0.76000000000000034</c:v>
                </c:pt>
                <c:pt idx="41">
                  <c:v>0.78000000000000036</c:v>
                </c:pt>
                <c:pt idx="42">
                  <c:v>0.80000000000000038</c:v>
                </c:pt>
                <c:pt idx="43">
                  <c:v>0.8200000000000004</c:v>
                </c:pt>
                <c:pt idx="44">
                  <c:v>0.84000000000000041</c:v>
                </c:pt>
                <c:pt idx="45">
                  <c:v>0.86000000000000043</c:v>
                </c:pt>
                <c:pt idx="46">
                  <c:v>0.88000000000000045</c:v>
                </c:pt>
                <c:pt idx="47">
                  <c:v>0.90000000000000047</c:v>
                </c:pt>
                <c:pt idx="48">
                  <c:v>0.92000000000000048</c:v>
                </c:pt>
                <c:pt idx="49">
                  <c:v>0.9400000000000005</c:v>
                </c:pt>
                <c:pt idx="50">
                  <c:v>0.96000000000000052</c:v>
                </c:pt>
                <c:pt idx="51">
                  <c:v>0.98000000000000054</c:v>
                </c:pt>
                <c:pt idx="52">
                  <c:v>1.0000000000000004</c:v>
                </c:pt>
              </c:numCache>
            </c:numRef>
          </c:xVal>
          <c:yVal>
            <c:numRef>
              <c:f>Hoja1!$D$7:$D$59</c:f>
              <c:numCache>
                <c:formatCode>00,000E+00</c:formatCode>
                <c:ptCount val="53"/>
                <c:pt idx="0">
                  <c:v>0</c:v>
                </c:pt>
                <c:pt idx="1">
                  <c:v>-7.0434244308402853E-13</c:v>
                </c:pt>
                <c:pt idx="2">
                  <c:v>-1.401912383981915E-12</c:v>
                </c:pt>
                <c:pt idx="3">
                  <c:v>-2.0859373206264776E-12</c:v>
                </c:pt>
                <c:pt idx="4">
                  <c:v>-2.7496447511086663E-12</c:v>
                </c:pt>
                <c:pt idx="5">
                  <c:v>-3.3862621737359252E-12</c:v>
                </c:pt>
                <c:pt idx="6">
                  <c:v>-3.9890170870896859E-12</c:v>
                </c:pt>
                <c:pt idx="7">
                  <c:v>-4.5511369900817597E-12</c:v>
                </c:pt>
                <c:pt idx="8">
                  <c:v>-5.0658493820094008E-12</c:v>
                </c:pt>
                <c:pt idx="9">
                  <c:v>-5.5263817626088396E-12</c:v>
                </c:pt>
                <c:pt idx="10">
                  <c:v>-5.9259616321070349E-12</c:v>
                </c:pt>
                <c:pt idx="11">
                  <c:v>-6.2578164912714869E-12</c:v>
                </c:pt>
                <c:pt idx="12">
                  <c:v>-6.515173841457872E-12</c:v>
                </c:pt>
                <c:pt idx="13">
                  <c:v>-6.6912611846553491E-12</c:v>
                </c:pt>
                <c:pt idx="14">
                  <c:v>-6.779306023529318E-12</c:v>
                </c:pt>
                <c:pt idx="15">
                  <c:v>-6.7725358614614991E-12</c:v>
                </c:pt>
                <c:pt idx="16">
                  <c:v>-6.6641782025871545E-12</c:v>
                </c:pt>
                <c:pt idx="17">
                  <c:v>-6.4474605518293103E-12</c:v>
                </c:pt>
                <c:pt idx="18">
                  <c:v>-6.1156104149298595E-12</c:v>
                </c:pt>
                <c:pt idx="19">
                  <c:v>-5.6618552984773919E-12</c:v>
                </c:pt>
                <c:pt idx="20">
                  <c:v>-5.0794227099316835E-12</c:v>
                </c:pt>
                <c:pt idx="21">
                  <c:v>-4.3615401576447238E-12</c:v>
                </c:pt>
                <c:pt idx="22">
                  <c:v>-3.5014351508782034E-12</c:v>
                </c:pt>
                <c:pt idx="23">
                  <c:v>-2.4923351998174067E-12</c:v>
                </c:pt>
                <c:pt idx="24" formatCode="General">
                  <c:v>-1.3274678155814485E-12</c:v>
                </c:pt>
                <c:pt idx="25" formatCode="General">
                  <c:v>-7.6564215578807273E-14</c:v>
                </c:pt>
                <c:pt idx="26" formatCode="General">
                  <c:v>-6.0510229816199444E-17</c:v>
                </c:pt>
                <c:pt idx="27" formatCode="General">
                  <c:v>7.6443192809370891E-14</c:v>
                </c:pt>
                <c:pt idx="28" formatCode="General">
                  <c:v>1.327347033922631E-12</c:v>
                </c:pt>
                <c:pt idx="29">
                  <c:v>2.4922151336187236E-12</c:v>
                </c:pt>
                <c:pt idx="30">
                  <c:v>3.5013162739757639E-12</c:v>
                </c:pt>
                <c:pt idx="31">
                  <c:v>4.3614229391816617E-12</c:v>
                </c:pt>
                <c:pt idx="32">
                  <c:v>5.0793076125069017E-12</c:v>
                </c:pt>
                <c:pt idx="33">
                  <c:v>5.6617427763201205E-12</c:v>
                </c:pt>
                <c:pt idx="34">
                  <c:v>6.1155009121072371E-12</c:v>
                </c:pt>
                <c:pt idx="35">
                  <c:v>6.447354500494039E-12</c:v>
                </c:pt>
                <c:pt idx="36">
                  <c:v>6.664076021272154E-12</c:v>
                </c:pt>
                <c:pt idx="37">
                  <c:v>6.7724379534282975E-12</c:v>
                </c:pt>
                <c:pt idx="38">
                  <c:v>6.7792127751766614E-12</c:v>
                </c:pt>
                <c:pt idx="39">
                  <c:v>6.6911729639943508E-12</c:v>
                </c:pt>
                <c:pt idx="40">
                  <c:v>6.5150909966596868E-12</c:v>
                </c:pt>
                <c:pt idx="41">
                  <c:v>6.2577393492932493E-12</c:v>
                </c:pt>
                <c:pt idx="42">
                  <c:v>5.9258904974014858E-12</c:v>
                </c:pt>
                <c:pt idx="43">
                  <c:v>5.5263169159227284E-12</c:v>
                </c:pt>
                <c:pt idx="44">
                  <c:v>5.0657910792754189E-12</c:v>
                </c:pt>
                <c:pt idx="45">
                  <c:v>4.5510854614083493E-12</c:v>
                </c:pt>
                <c:pt idx="46">
                  <c:v>3.988972535852753E-12</c:v>
                </c:pt>
                <c:pt idx="47">
                  <c:v>3.386224775776E-12</c:v>
                </c:pt>
                <c:pt idx="48">
                  <c:v>2.7496146540367164E-12</c:v>
                </c:pt>
                <c:pt idx="49">
                  <c:v>2.0859146432411001E-12</c:v>
                </c:pt>
                <c:pt idx="50">
                  <c:v>1.4018972158002117E-12</c:v>
                </c:pt>
                <c:pt idx="51">
                  <c:v>7.043348439880238E-13</c:v>
                </c:pt>
                <c:pt idx="5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15424"/>
        <c:axId val="220016000"/>
      </c:scatterChart>
      <c:valAx>
        <c:axId val="220015424"/>
        <c:scaling>
          <c:orientation val="minMax"/>
          <c:max val="1"/>
          <c:min val="0"/>
        </c:scaling>
        <c:delete val="0"/>
        <c:axPos val="b"/>
        <c:numFmt formatCode="0,000" sourceLinked="1"/>
        <c:majorTickMark val="out"/>
        <c:minorTickMark val="none"/>
        <c:tickLblPos val="nextTo"/>
        <c:crossAx val="220016000"/>
        <c:crosses val="autoZero"/>
        <c:crossBetween val="midCat"/>
      </c:valAx>
      <c:valAx>
        <c:axId val="220016000"/>
        <c:scaling>
          <c:orientation val="minMax"/>
        </c:scaling>
        <c:delete val="0"/>
        <c:axPos val="l"/>
        <c:majorGridlines/>
        <c:numFmt formatCode="00,000E+00" sourceLinked="1"/>
        <c:majorTickMark val="out"/>
        <c:minorTickMark val="none"/>
        <c:tickLblPos val="nextTo"/>
        <c:crossAx val="220015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Hoja1!$A$7:$A$59</c:f>
              <c:numCache>
                <c:formatCode>0,000</c:formatCode>
                <c:ptCount val="53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0.499</c:v>
                </c:pt>
                <c:pt idx="26">
                  <c:v>0.50000000000000011</c:v>
                </c:pt>
                <c:pt idx="27">
                  <c:v>0.501</c:v>
                </c:pt>
                <c:pt idx="28">
                  <c:v>0.52000000000000013</c:v>
                </c:pt>
                <c:pt idx="29">
                  <c:v>0.54000000000000015</c:v>
                </c:pt>
                <c:pt idx="30">
                  <c:v>0.56000000000000016</c:v>
                </c:pt>
                <c:pt idx="31">
                  <c:v>0.58000000000000018</c:v>
                </c:pt>
                <c:pt idx="32">
                  <c:v>0.6000000000000002</c:v>
                </c:pt>
                <c:pt idx="33">
                  <c:v>0.62000000000000022</c:v>
                </c:pt>
                <c:pt idx="34">
                  <c:v>0.64000000000000024</c:v>
                </c:pt>
                <c:pt idx="35">
                  <c:v>0.66000000000000025</c:v>
                </c:pt>
                <c:pt idx="36">
                  <c:v>0.68000000000000027</c:v>
                </c:pt>
                <c:pt idx="37">
                  <c:v>0.70000000000000029</c:v>
                </c:pt>
                <c:pt idx="38">
                  <c:v>0.72000000000000031</c:v>
                </c:pt>
                <c:pt idx="39">
                  <c:v>0.74000000000000032</c:v>
                </c:pt>
                <c:pt idx="40">
                  <c:v>0.76000000000000034</c:v>
                </c:pt>
                <c:pt idx="41">
                  <c:v>0.78000000000000036</c:v>
                </c:pt>
                <c:pt idx="42">
                  <c:v>0.80000000000000038</c:v>
                </c:pt>
                <c:pt idx="43">
                  <c:v>0.8200000000000004</c:v>
                </c:pt>
                <c:pt idx="44">
                  <c:v>0.84000000000000041</c:v>
                </c:pt>
                <c:pt idx="45">
                  <c:v>0.86000000000000043</c:v>
                </c:pt>
                <c:pt idx="46">
                  <c:v>0.88000000000000045</c:v>
                </c:pt>
                <c:pt idx="47">
                  <c:v>0.90000000000000047</c:v>
                </c:pt>
                <c:pt idx="48">
                  <c:v>0.92000000000000048</c:v>
                </c:pt>
                <c:pt idx="49">
                  <c:v>0.9400000000000005</c:v>
                </c:pt>
                <c:pt idx="50">
                  <c:v>0.96000000000000052</c:v>
                </c:pt>
                <c:pt idx="51">
                  <c:v>0.98000000000000054</c:v>
                </c:pt>
                <c:pt idx="52">
                  <c:v>1.0000000000000004</c:v>
                </c:pt>
              </c:numCache>
            </c:numRef>
          </c:xVal>
          <c:yVal>
            <c:numRef>
              <c:f>Hoja1!$E$7:$E$59</c:f>
              <c:numCache>
                <c:formatCode>00,000E+00</c:formatCode>
                <c:ptCount val="53"/>
                <c:pt idx="0">
                  <c:v>-3.5217122155192752E-11</c:v>
                </c:pt>
                <c:pt idx="1">
                  <c:v>-3.5047809600537215E-11</c:v>
                </c:pt>
                <c:pt idx="2">
                  <c:v>-3.4539871940040232E-11</c:v>
                </c:pt>
                <c:pt idx="3">
                  <c:v>-3.3693309180131515E-11</c:v>
                </c:pt>
                <c:pt idx="4">
                  <c:v>-3.2508121330174758E-11</c:v>
                </c:pt>
                <c:pt idx="5">
                  <c:v>-3.0984308402430113E-11</c:v>
                </c:pt>
                <c:pt idx="6">
                  <c:v>-2.9121870412004871E-11</c:v>
                </c:pt>
                <c:pt idx="7">
                  <c:v>-2.6920807376792873E-11</c:v>
                </c:pt>
                <c:pt idx="8">
                  <c:v>-2.4381119317402727E-11</c:v>
                </c:pt>
                <c:pt idx="9">
                  <c:v>-2.1502806257075447E-11</c:v>
                </c:pt>
                <c:pt idx="10">
                  <c:v>-1.8285868221591102E-11</c:v>
                </c:pt>
                <c:pt idx="11">
                  <c:v>-1.4730305239166161E-11</c:v>
                </c:pt>
                <c:pt idx="12">
                  <c:v>-1.0836117340340553E-11</c:v>
                </c:pt>
                <c:pt idx="13">
                  <c:v>-6.6033045578560305E-12</c:v>
                </c:pt>
                <c:pt idx="14">
                  <c:v>-2.031866926525385E-12</c:v>
                </c:pt>
                <c:pt idx="15">
                  <c:v>2.8781955169060654E-12</c:v>
                </c:pt>
                <c:pt idx="16">
                  <c:v>8.1268827339066686E-12</c:v>
                </c:pt>
                <c:pt idx="17">
                  <c:v>1.3714194684311757E-11</c:v>
                </c:pt>
                <c:pt idx="18">
                  <c:v>1.9640131326482986E-11</c:v>
                </c:pt>
                <c:pt idx="19">
                  <c:v>2.5904692617474068E-11</c:v>
                </c:pt>
                <c:pt idx="20">
                  <c:v>3.2507878513200665E-11</c:v>
                </c:pt>
                <c:pt idx="21">
                  <c:v>3.9449688968615396E-11</c:v>
                </c:pt>
                <c:pt idx="22">
                  <c:v>4.6730123937886275E-11</c:v>
                </c:pt>
                <c:pt idx="23">
                  <c:v>5.4349183374577999E-11</c:v>
                </c:pt>
                <c:pt idx="24" formatCode="General">
                  <c:v>6.2306867231835652E-11</c:v>
                </c:pt>
                <c:pt idx="25" formatCode="General">
                  <c:v>7.0180317765779544E-11</c:v>
                </c:pt>
                <c:pt idx="26" formatCode="General">
                  <c:v>6.6370371229765623E-11</c:v>
                </c:pt>
                <c:pt idx="27" formatCode="General">
                  <c:v>7.0180318874000638E-11</c:v>
                </c:pt>
                <c:pt idx="28" formatCode="General">
                  <c:v>6.2306891088425786E-11</c:v>
                </c:pt>
                <c:pt idx="29">
                  <c:v>5.4349230993619956E-11</c:v>
                </c:pt>
                <c:pt idx="30">
                  <c:v>4.6730195131474761E-11</c:v>
                </c:pt>
                <c:pt idx="31">
                  <c:v>3.9449783455819338E-11</c:v>
                </c:pt>
                <c:pt idx="32">
                  <c:v>3.2507995921171315E-11</c:v>
                </c:pt>
                <c:pt idx="33">
                  <c:v>2.5904832482915735E-11</c:v>
                </c:pt>
                <c:pt idx="34">
                  <c:v>1.9640293097480728E-11</c:v>
                </c:pt>
                <c:pt idx="35">
                  <c:v>1.3714377722508021E-11</c:v>
                </c:pt>
                <c:pt idx="36">
                  <c:v>8.1270863170198051E-12</c:v>
                </c:pt>
                <c:pt idx="37">
                  <c:v>2.8784188415791728E-12</c:v>
                </c:pt>
                <c:pt idx="38">
                  <c:v>-2.0316247415554869E-12</c:v>
                </c:pt>
                <c:pt idx="39">
                  <c:v>-6.6030444682821963E-12</c:v>
                </c:pt>
                <c:pt idx="40">
                  <c:v>-1.0835840372515461E-11</c:v>
                </c:pt>
                <c:pt idx="41">
                  <c:v>-1.4730012486053571E-11</c:v>
                </c:pt>
                <c:pt idx="42">
                  <c:v>-1.8285560838454236E-11</c:v>
                </c:pt>
                <c:pt idx="43">
                  <c:v>-2.1502485456919261E-11</c:v>
                </c:pt>
                <c:pt idx="44">
                  <c:v>-2.4380786366188759E-11</c:v>
                </c:pt>
                <c:pt idx="45">
                  <c:v>-2.6920463588444696E-11</c:v>
                </c:pt>
                <c:pt idx="46">
                  <c:v>-2.9121517143224361E-11</c:v>
                </c:pt>
                <c:pt idx="47">
                  <c:v>-3.0983947047344719E-11</c:v>
                </c:pt>
                <c:pt idx="48">
                  <c:v>-3.2507753314836969E-11</c:v>
                </c:pt>
                <c:pt idx="49">
                  <c:v>-3.3692935956892087E-11</c:v>
                </c:pt>
                <c:pt idx="50">
                  <c:v>-3.4539494981817591E-11</c:v>
                </c:pt>
                <c:pt idx="51">
                  <c:v>-3.504743039500529E-11</c:v>
                </c:pt>
                <c:pt idx="52">
                  <c:v>-3.5216742198910508E-11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17728"/>
        <c:axId val="220018304"/>
      </c:scatterChart>
      <c:valAx>
        <c:axId val="220017728"/>
        <c:scaling>
          <c:orientation val="minMax"/>
          <c:max val="1"/>
          <c:min val="0"/>
        </c:scaling>
        <c:delete val="0"/>
        <c:axPos val="b"/>
        <c:numFmt formatCode="0,000" sourceLinked="1"/>
        <c:majorTickMark val="out"/>
        <c:minorTickMark val="none"/>
        <c:tickLblPos val="nextTo"/>
        <c:crossAx val="220018304"/>
        <c:crosses val="autoZero"/>
        <c:crossBetween val="midCat"/>
      </c:valAx>
      <c:valAx>
        <c:axId val="220018304"/>
        <c:scaling>
          <c:orientation val="minMax"/>
        </c:scaling>
        <c:delete val="0"/>
        <c:axPos val="l"/>
        <c:majorGridlines/>
        <c:numFmt formatCode="00,000E+00" sourceLinked="1"/>
        <c:majorTickMark val="out"/>
        <c:minorTickMark val="none"/>
        <c:tickLblPos val="nextTo"/>
        <c:crossAx val="22001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Hoja1!$A$7:$A$59</c:f>
              <c:numCache>
                <c:formatCode>0,000</c:formatCode>
                <c:ptCount val="53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0.499</c:v>
                </c:pt>
                <c:pt idx="26">
                  <c:v>0.50000000000000011</c:v>
                </c:pt>
                <c:pt idx="27">
                  <c:v>0.501</c:v>
                </c:pt>
                <c:pt idx="28">
                  <c:v>0.52000000000000013</c:v>
                </c:pt>
                <c:pt idx="29">
                  <c:v>0.54000000000000015</c:v>
                </c:pt>
                <c:pt idx="30">
                  <c:v>0.56000000000000016</c:v>
                </c:pt>
                <c:pt idx="31">
                  <c:v>0.58000000000000018</c:v>
                </c:pt>
                <c:pt idx="32">
                  <c:v>0.6000000000000002</c:v>
                </c:pt>
                <c:pt idx="33">
                  <c:v>0.62000000000000022</c:v>
                </c:pt>
                <c:pt idx="34">
                  <c:v>0.64000000000000024</c:v>
                </c:pt>
                <c:pt idx="35">
                  <c:v>0.66000000000000025</c:v>
                </c:pt>
                <c:pt idx="36">
                  <c:v>0.68000000000000027</c:v>
                </c:pt>
                <c:pt idx="37">
                  <c:v>0.70000000000000029</c:v>
                </c:pt>
                <c:pt idx="38">
                  <c:v>0.72000000000000031</c:v>
                </c:pt>
                <c:pt idx="39">
                  <c:v>0.74000000000000032</c:v>
                </c:pt>
                <c:pt idx="40">
                  <c:v>0.76000000000000034</c:v>
                </c:pt>
                <c:pt idx="41">
                  <c:v>0.78000000000000036</c:v>
                </c:pt>
                <c:pt idx="42">
                  <c:v>0.80000000000000038</c:v>
                </c:pt>
                <c:pt idx="43">
                  <c:v>0.8200000000000004</c:v>
                </c:pt>
                <c:pt idx="44">
                  <c:v>0.84000000000000041</c:v>
                </c:pt>
                <c:pt idx="45">
                  <c:v>0.86000000000000043</c:v>
                </c:pt>
                <c:pt idx="46">
                  <c:v>0.88000000000000045</c:v>
                </c:pt>
                <c:pt idx="47">
                  <c:v>0.90000000000000047</c:v>
                </c:pt>
                <c:pt idx="48">
                  <c:v>0.92000000000000048</c:v>
                </c:pt>
                <c:pt idx="49">
                  <c:v>0.9400000000000005</c:v>
                </c:pt>
                <c:pt idx="50">
                  <c:v>0.96000000000000052</c:v>
                </c:pt>
                <c:pt idx="51">
                  <c:v>0.98000000000000054</c:v>
                </c:pt>
                <c:pt idx="52">
                  <c:v>1.0000000000000004</c:v>
                </c:pt>
              </c:numCache>
            </c:numRef>
          </c:xVal>
          <c:yVal>
            <c:numRef>
              <c:f>Hoja1!$F$7:$F$59</c:f>
              <c:numCache>
                <c:formatCode>00,000</c:formatCode>
                <c:ptCount val="53"/>
                <c:pt idx="0">
                  <c:v>0</c:v>
                </c:pt>
                <c:pt idx="1">
                  <c:v>8.0000181606339649E-4</c:v>
                </c:pt>
                <c:pt idx="2">
                  <c:v>1.6000036204355727E-3</c:v>
                </c:pt>
                <c:pt idx="3">
                  <c:v>2.400005406156478E-3</c:v>
                </c:pt>
                <c:pt idx="4">
                  <c:v>3.2000071663413478E-3</c:v>
                </c:pt>
                <c:pt idx="5">
                  <c:v>4.0000088942076361E-3</c:v>
                </c:pt>
                <c:pt idx="6">
                  <c:v>4.8000105831029535E-3</c:v>
                </c:pt>
                <c:pt idx="7">
                  <c:v>5.6000122265311104E-3</c:v>
                </c:pt>
                <c:pt idx="8">
                  <c:v>6.4000138181773145E-3</c:v>
                </c:pt>
                <c:pt idx="9">
                  <c:v>7.200015351935935E-3</c:v>
                </c:pt>
                <c:pt idx="10">
                  <c:v>8.0000168219306837E-3</c:v>
                </c:pt>
                <c:pt idx="11">
                  <c:v>8.8000182225416671E-3</c:v>
                </c:pt>
                <c:pt idx="12">
                  <c:v>9.6000195484243784E-3</c:v>
                </c:pt>
                <c:pt idx="13">
                  <c:v>1.0400020794534214E-2</c:v>
                </c:pt>
                <c:pt idx="14">
                  <c:v>1.1200021956142702E-2</c:v>
                </c:pt>
                <c:pt idx="15">
                  <c:v>1.2000023028858969E-2</c:v>
                </c:pt>
                <c:pt idx="16">
                  <c:v>1.2800024008645097E-2</c:v>
                </c:pt>
                <c:pt idx="17">
                  <c:v>1.3600024891832355E-2</c:v>
                </c:pt>
                <c:pt idx="18">
                  <c:v>1.4400025675136846E-2</c:v>
                </c:pt>
                <c:pt idx="19">
                  <c:v>1.5200026355669517E-2</c:v>
                </c:pt>
                <c:pt idx="20">
                  <c:v>1.6000026930949526E-2</c:v>
                </c:pt>
                <c:pt idx="21">
                  <c:v>1.6800027398913505E-2</c:v>
                </c:pt>
                <c:pt idx="22">
                  <c:v>1.7600027757922215E-2</c:v>
                </c:pt>
                <c:pt idx="23">
                  <c:v>1.8400028006767873E-2</c:v>
                </c:pt>
                <c:pt idx="24" formatCode="General">
                  <c:v>1.9200028144678333E-2</c:v>
                </c:pt>
                <c:pt idx="25" formatCode="General">
                  <c:v>1.9960028172939542E-2</c:v>
                </c:pt>
                <c:pt idx="26" formatCode="General">
                  <c:v>2.817131944222681E-8</c:v>
                </c:pt>
                <c:pt idx="27" formatCode="General">
                  <c:v>-1.9959971829225688E-2</c:v>
                </c:pt>
                <c:pt idx="28" formatCode="General">
                  <c:v>-1.9199971913203783E-2</c:v>
                </c:pt>
                <c:pt idx="29">
                  <c:v>-1.8399972108347616E-2</c:v>
                </c:pt>
                <c:pt idx="30">
                  <c:v>-1.7599972413132534E-2</c:v>
                </c:pt>
                <c:pt idx="31">
                  <c:v>-1.679997282614697E-2</c:v>
                </c:pt>
                <c:pt idx="32">
                  <c:v>-1.5999973345553489E-2</c:v>
                </c:pt>
                <c:pt idx="33">
                  <c:v>-1.5199973969096099E-2</c:v>
                </c:pt>
                <c:pt idx="34">
                  <c:v>-1.4399974694109852E-2</c:v>
                </c:pt>
                <c:pt idx="35">
                  <c:v>-1.3599975517531554E-2</c:v>
                </c:pt>
                <c:pt idx="36">
                  <c:v>-1.2799976435911079E-2</c:v>
                </c:pt>
                <c:pt idx="37">
                  <c:v>-1.1999977445427312E-2</c:v>
                </c:pt>
                <c:pt idx="38">
                  <c:v>-1.1199978541900637E-2</c:v>
                </c:pt>
                <c:pt idx="39">
                  <c:v>-1.0399979720812507E-2</c:v>
                </c:pt>
                <c:pt idx="40">
                  <c:v>-9.5999809773211851E-3</c:v>
                </c:pt>
                <c:pt idx="41">
                  <c:v>-8.7999823062822613E-3</c:v>
                </c:pt>
                <c:pt idx="42">
                  <c:v>-7.9999837022671563E-3</c:v>
                </c:pt>
                <c:pt idx="43">
                  <c:v>-7.1999851595870874E-3</c:v>
                </c:pt>
                <c:pt idx="44">
                  <c:v>-6.399986672315003E-3</c:v>
                </c:pt>
                <c:pt idx="45">
                  <c:v>-5.5999882343060053E-3</c:v>
                </c:pt>
                <c:pt idx="46">
                  <c:v>-4.7999898392254055E-3</c:v>
                </c:pt>
                <c:pt idx="47">
                  <c:v>-3.9999914805709585E-3</c:v>
                </c:pt>
                <c:pt idx="48">
                  <c:v>-3.1999931516989081E-3</c:v>
                </c:pt>
                <c:pt idx="49">
                  <c:v>-2.3999948458508021E-3</c:v>
                </c:pt>
                <c:pt idx="50">
                  <c:v>-1.5999965561782079E-3</c:v>
                </c:pt>
                <c:pt idx="51">
                  <c:v>-7.9999827577062162E-4</c:v>
                </c:pt>
                <c:pt idx="52">
                  <c:v>2.3184704677068408E-12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20032"/>
        <c:axId val="220266496"/>
      </c:scatterChart>
      <c:valAx>
        <c:axId val="220020032"/>
        <c:scaling>
          <c:orientation val="minMax"/>
          <c:max val="1"/>
          <c:min val="0"/>
        </c:scaling>
        <c:delete val="0"/>
        <c:axPos val="b"/>
        <c:numFmt formatCode="0,000" sourceLinked="1"/>
        <c:majorTickMark val="out"/>
        <c:minorTickMark val="none"/>
        <c:tickLblPos val="nextTo"/>
        <c:crossAx val="220266496"/>
        <c:crosses val="autoZero"/>
        <c:crossBetween val="midCat"/>
      </c:valAx>
      <c:valAx>
        <c:axId val="220266496"/>
        <c:scaling>
          <c:orientation val="minMax"/>
        </c:scaling>
        <c:delete val="0"/>
        <c:axPos val="l"/>
        <c:majorGridlines/>
        <c:numFmt formatCode="00,000" sourceLinked="1"/>
        <c:majorTickMark val="out"/>
        <c:minorTickMark val="none"/>
        <c:tickLblPos val="nextTo"/>
        <c:crossAx val="220020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Hoja1!$A$7:$A$59</c:f>
              <c:numCache>
                <c:formatCode>0,000</c:formatCode>
                <c:ptCount val="53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0.499</c:v>
                </c:pt>
                <c:pt idx="26">
                  <c:v>0.50000000000000011</c:v>
                </c:pt>
                <c:pt idx="27">
                  <c:v>0.501</c:v>
                </c:pt>
                <c:pt idx="28">
                  <c:v>0.52000000000000013</c:v>
                </c:pt>
                <c:pt idx="29">
                  <c:v>0.54000000000000015</c:v>
                </c:pt>
                <c:pt idx="30">
                  <c:v>0.56000000000000016</c:v>
                </c:pt>
                <c:pt idx="31">
                  <c:v>0.58000000000000018</c:v>
                </c:pt>
                <c:pt idx="32">
                  <c:v>0.6000000000000002</c:v>
                </c:pt>
                <c:pt idx="33">
                  <c:v>0.62000000000000022</c:v>
                </c:pt>
                <c:pt idx="34">
                  <c:v>0.64000000000000024</c:v>
                </c:pt>
                <c:pt idx="35">
                  <c:v>0.66000000000000025</c:v>
                </c:pt>
                <c:pt idx="36">
                  <c:v>0.68000000000000027</c:v>
                </c:pt>
                <c:pt idx="37">
                  <c:v>0.70000000000000029</c:v>
                </c:pt>
                <c:pt idx="38">
                  <c:v>0.72000000000000031</c:v>
                </c:pt>
                <c:pt idx="39">
                  <c:v>0.74000000000000032</c:v>
                </c:pt>
                <c:pt idx="40">
                  <c:v>0.76000000000000034</c:v>
                </c:pt>
                <c:pt idx="41">
                  <c:v>0.78000000000000036</c:v>
                </c:pt>
                <c:pt idx="42">
                  <c:v>0.80000000000000038</c:v>
                </c:pt>
                <c:pt idx="43">
                  <c:v>0.8200000000000004</c:v>
                </c:pt>
                <c:pt idx="44">
                  <c:v>0.84000000000000041</c:v>
                </c:pt>
                <c:pt idx="45">
                  <c:v>0.86000000000000043</c:v>
                </c:pt>
                <c:pt idx="46">
                  <c:v>0.88000000000000045</c:v>
                </c:pt>
                <c:pt idx="47">
                  <c:v>0.90000000000000047</c:v>
                </c:pt>
                <c:pt idx="48">
                  <c:v>0.92000000000000048</c:v>
                </c:pt>
                <c:pt idx="49">
                  <c:v>0.9400000000000005</c:v>
                </c:pt>
                <c:pt idx="50">
                  <c:v>0.96000000000000052</c:v>
                </c:pt>
                <c:pt idx="51">
                  <c:v>0.98000000000000054</c:v>
                </c:pt>
                <c:pt idx="52">
                  <c:v>1.0000000000000004</c:v>
                </c:pt>
              </c:numCache>
            </c:numRef>
          </c:xVal>
          <c:yVal>
            <c:numRef>
              <c:f>Hoja1!$G$7:$G$59</c:f>
              <c:numCache>
                <c:formatCode>00,000</c:formatCode>
                <c:ptCount val="53"/>
                <c:pt idx="0">
                  <c:v>4.0000090803640961E-2</c:v>
                </c:pt>
                <c:pt idx="1">
                  <c:v>4.0000090511360463E-2</c:v>
                </c:pt>
                <c:pt idx="2">
                  <c:v>4.0000089753027782E-2</c:v>
                </c:pt>
                <c:pt idx="3">
                  <c:v>4.0000088648573524E-2</c:v>
                </c:pt>
                <c:pt idx="4">
                  <c:v>4.0000087202431152E-2</c:v>
                </c:pt>
                <c:pt idx="5">
                  <c:v>4.0000085420411807E-2</c:v>
                </c:pt>
                <c:pt idx="6">
                  <c:v>4.0000083309666062E-2</c:v>
                </c:pt>
                <c:pt idx="7">
                  <c:v>4.0000080878660083E-2</c:v>
                </c:pt>
                <c:pt idx="8">
                  <c:v>4.0000078137112531E-2</c:v>
                </c:pt>
                <c:pt idx="9">
                  <c:v>4.0000075096019376E-2</c:v>
                </c:pt>
                <c:pt idx="10">
                  <c:v>4.0000071767504954E-2</c:v>
                </c:pt>
                <c:pt idx="11">
                  <c:v>4.0000068164882913E-2</c:v>
                </c:pt>
                <c:pt idx="12">
                  <c:v>4.000006430250691E-2</c:v>
                </c:pt>
                <c:pt idx="13">
                  <c:v>4.0000060195806389E-2</c:v>
                </c:pt>
                <c:pt idx="14">
                  <c:v>4.0000055861110287E-2</c:v>
                </c:pt>
                <c:pt idx="15">
                  <c:v>4.0000051315675335E-2</c:v>
                </c:pt>
                <c:pt idx="16">
                  <c:v>4.0000046577574194E-2</c:v>
                </c:pt>
                <c:pt idx="17">
                  <c:v>4.0000041665621489E-2</c:v>
                </c:pt>
                <c:pt idx="18">
                  <c:v>4.0000036599347526E-2</c:v>
                </c:pt>
                <c:pt idx="19">
                  <c:v>4.0000031398811864E-2</c:v>
                </c:pt>
                <c:pt idx="20">
                  <c:v>4.000002608465416E-2</c:v>
                </c:pt>
                <c:pt idx="21">
                  <c:v>4.0000020677921716E-2</c:v>
                </c:pt>
                <c:pt idx="22">
                  <c:v>4.0000015199995881E-2</c:v>
                </c:pt>
                <c:pt idx="23">
                  <c:v>4.0000009672556347E-2</c:v>
                </c:pt>
                <c:pt idx="24" formatCode="General">
                  <c:v>4.0000006895522973E-2</c:v>
                </c:pt>
                <c:pt idx="25" formatCode="General">
                  <c:v>4.0000006804904981E-2</c:v>
                </c:pt>
                <c:pt idx="27" formatCode="General">
                  <c:v>3.9999990354595394E-2</c:v>
                </c:pt>
                <c:pt idx="28" formatCode="General">
                  <c:v>3.9999990250043707E-2</c:v>
                </c:pt>
                <c:pt idx="29">
                  <c:v>3.9999987505360754E-2</c:v>
                </c:pt>
                <c:pt idx="30">
                  <c:v>3.9999982058544319E-2</c:v>
                </c:pt>
                <c:pt idx="31">
                  <c:v>3.9999976692937575E-2</c:v>
                </c:pt>
                <c:pt idx="32">
                  <c:v>3.9999971429649638E-2</c:v>
                </c:pt>
                <c:pt idx="33">
                  <c:v>3.9999966289382904E-2</c:v>
                </c:pt>
                <c:pt idx="34">
                  <c:v>3.999996129229353E-2</c:v>
                </c:pt>
                <c:pt idx="35">
                  <c:v>3.9999956458032331E-2</c:v>
                </c:pt>
                <c:pt idx="36">
                  <c:v>3.9999951805540224E-2</c:v>
                </c:pt>
                <c:pt idx="37">
                  <c:v>3.9999947353040181E-2</c:v>
                </c:pt>
                <c:pt idx="38">
                  <c:v>3.9999943118001299E-2</c:v>
                </c:pt>
                <c:pt idx="39">
                  <c:v>3.9999939116950503E-2</c:v>
                </c:pt>
                <c:pt idx="40">
                  <c:v>3.9999935365551055E-2</c:v>
                </c:pt>
                <c:pt idx="41">
                  <c:v>3.9999931878466691E-2</c:v>
                </c:pt>
                <c:pt idx="42">
                  <c:v>3.9999928669302097E-2</c:v>
                </c:pt>
                <c:pt idx="43">
                  <c:v>3.9999925750538123E-2</c:v>
                </c:pt>
                <c:pt idx="44">
                  <c:v>3.9999923133556187E-2</c:v>
                </c:pt>
                <c:pt idx="45">
                  <c:v>3.9999920828561512E-2</c:v>
                </c:pt>
                <c:pt idx="46">
                  <c:v>3.9999918844485442E-2</c:v>
                </c:pt>
                <c:pt idx="47">
                  <c:v>3.9999917189048648E-2</c:v>
                </c:pt>
                <c:pt idx="48">
                  <c:v>3.9999915868673047E-2</c:v>
                </c:pt>
                <c:pt idx="49">
                  <c:v>3.9999914888464785E-2</c:v>
                </c:pt>
                <c:pt idx="50">
                  <c:v>3.9999914252228159E-2</c:v>
                </c:pt>
                <c:pt idx="51">
                  <c:v>3.9999913962416957E-2</c:v>
                </c:pt>
                <c:pt idx="52">
                  <c:v>3.9999913904454606E-2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68224"/>
        <c:axId val="220268800"/>
      </c:scatterChart>
      <c:valAx>
        <c:axId val="220268224"/>
        <c:scaling>
          <c:orientation val="minMax"/>
          <c:max val="1"/>
          <c:min val="0"/>
        </c:scaling>
        <c:delete val="0"/>
        <c:axPos val="b"/>
        <c:numFmt formatCode="0,000" sourceLinked="1"/>
        <c:majorTickMark val="out"/>
        <c:minorTickMark val="none"/>
        <c:tickLblPos val="nextTo"/>
        <c:crossAx val="220268800"/>
        <c:crosses val="autoZero"/>
        <c:crossBetween val="midCat"/>
      </c:valAx>
      <c:valAx>
        <c:axId val="220268800"/>
        <c:scaling>
          <c:orientation val="minMax"/>
          <c:min val="0"/>
        </c:scaling>
        <c:delete val="0"/>
        <c:axPos val="l"/>
        <c:majorGridlines/>
        <c:numFmt formatCode="00,000" sourceLinked="1"/>
        <c:majorTickMark val="out"/>
        <c:minorTickMark val="none"/>
        <c:tickLblPos val="nextTo"/>
        <c:crossAx val="220268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9525</xdr:colOff>
          <xdr:row>66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6</xdr:row>
      <xdr:rowOff>42862</xdr:rowOff>
    </xdr:from>
    <xdr:to>
      <xdr:col>22</xdr:col>
      <xdr:colOff>0</xdr:colOff>
      <xdr:row>20</xdr:row>
      <xdr:rowOff>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21</xdr:row>
      <xdr:rowOff>0</xdr:rowOff>
    </xdr:from>
    <xdr:to>
      <xdr:col>22</xdr:col>
      <xdr:colOff>0</xdr:colOff>
      <xdr:row>34</xdr:row>
      <xdr:rowOff>147638</xdr:rowOff>
    </xdr:to>
    <xdr:graphicFrame macro="">
      <xdr:nvGraphicFramePr>
        <xdr:cNvPr id="11" name="10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0</xdr:colOff>
      <xdr:row>49</xdr:row>
      <xdr:rowOff>147638</xdr:rowOff>
    </xdr:to>
    <xdr:graphicFrame macro="">
      <xdr:nvGraphicFramePr>
        <xdr:cNvPr id="12" name="1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51</xdr:row>
      <xdr:rowOff>0</xdr:rowOff>
    </xdr:from>
    <xdr:to>
      <xdr:col>22</xdr:col>
      <xdr:colOff>0</xdr:colOff>
      <xdr:row>64</xdr:row>
      <xdr:rowOff>147638</xdr:rowOff>
    </xdr:to>
    <xdr:graphicFrame macro="">
      <xdr:nvGraphicFramePr>
        <xdr:cNvPr id="13" name="1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64"/>
  <sheetViews>
    <sheetView tabSelected="1" topLeftCell="A24" workbookViewId="0">
      <selection activeCell="G64" sqref="G64"/>
    </sheetView>
  </sheetViews>
  <sheetFormatPr baseColWidth="10" defaultRowHeight="15" x14ac:dyDescent="0.25"/>
  <cols>
    <col min="1" max="1" width="11.85546875" bestFit="1" customWidth="1"/>
    <col min="4" max="4" width="12.7109375" bestFit="1" customWidth="1"/>
    <col min="5" max="5" width="11.7109375" bestFit="1" customWidth="1"/>
    <col min="6" max="6" width="12.85546875" bestFit="1" customWidth="1"/>
    <col min="7" max="7" width="12" bestFit="1" customWidth="1"/>
    <col min="8" max="8" width="12.28515625" bestFit="1" customWidth="1"/>
  </cols>
  <sheetData>
    <row r="1" spans="1:10" x14ac:dyDescent="0.25">
      <c r="A1" t="s">
        <v>0</v>
      </c>
      <c r="B1">
        <v>0.02</v>
      </c>
      <c r="C1" t="s">
        <v>2</v>
      </c>
    </row>
    <row r="2" spans="1:10" x14ac:dyDescent="0.25">
      <c r="A2" t="s">
        <v>3</v>
      </c>
      <c r="B2" s="2">
        <v>210000000000</v>
      </c>
      <c r="C2" t="s">
        <v>4</v>
      </c>
    </row>
    <row r="3" spans="1:10" x14ac:dyDescent="0.25">
      <c r="A3" t="s">
        <v>5</v>
      </c>
      <c r="B3">
        <f>0.1*0.3^3/12</f>
        <v>2.2500000000000002E-4</v>
      </c>
      <c r="C3" t="s">
        <v>6</v>
      </c>
    </row>
    <row r="5" spans="1:10" x14ac:dyDescent="0.25">
      <c r="A5" s="1"/>
      <c r="B5" s="1"/>
      <c r="C5" s="1"/>
      <c r="D5" s="1" t="s">
        <v>11</v>
      </c>
      <c r="E5" s="1" t="s">
        <v>7</v>
      </c>
      <c r="F5" s="1" t="s">
        <v>9</v>
      </c>
      <c r="G5" s="1" t="s">
        <v>10</v>
      </c>
      <c r="H5" s="1" t="s">
        <v>8</v>
      </c>
      <c r="I5" s="1"/>
    </row>
    <row r="6" spans="1:10" x14ac:dyDescent="0.25">
      <c r="A6" s="1" t="s">
        <v>1</v>
      </c>
      <c r="B6" s="1" t="s">
        <v>8</v>
      </c>
      <c r="C6" s="1"/>
      <c r="D6" s="8">
        <f ca="1">2*D7-D8</f>
        <v>7.0434244310385502E-13</v>
      </c>
      <c r="E6" s="5"/>
      <c r="F6" s="1"/>
      <c r="G6" s="1"/>
      <c r="H6" s="1"/>
      <c r="I6" s="1"/>
    </row>
    <row r="7" spans="1:10" x14ac:dyDescent="0.25">
      <c r="A7" s="11">
        <v>0</v>
      </c>
      <c r="B7" s="3">
        <v>0</v>
      </c>
      <c r="C7" s="1"/>
      <c r="D7" s="6">
        <v>0</v>
      </c>
      <c r="E7" s="5">
        <f t="shared" ref="E7:E59" ca="1" si="0">(D8-D6)/(2*delta)</f>
        <v>-3.5217122155192752E-11</v>
      </c>
      <c r="F7" s="7">
        <f t="shared" ref="F7:F59" ca="1" si="1">E*I*(D8-2*D7+D6)/delta^2</f>
        <v>0</v>
      </c>
      <c r="G7" s="10">
        <f ca="1">(F8-F7)/delta</f>
        <v>4.0000090803640961E-2</v>
      </c>
      <c r="H7" s="10">
        <f ca="1">(G8-G7)/delta</f>
        <v>-1.4590587418816803E-8</v>
      </c>
      <c r="I7" s="1"/>
    </row>
    <row r="8" spans="1:10" x14ac:dyDescent="0.25">
      <c r="A8" s="11">
        <f t="shared" ref="A8:A11" si="2">+A7+delta</f>
        <v>0.02</v>
      </c>
      <c r="B8" s="3">
        <v>0</v>
      </c>
      <c r="C8" s="1"/>
      <c r="D8" s="9">
        <f t="shared" ref="D8:D41" ca="1" si="3">((B8*delta^4/(E*I))-D6+4*D7+4*D9-D10)/6</f>
        <v>-7.0434244308402853E-13</v>
      </c>
      <c r="E8" s="5">
        <f t="shared" ca="1" si="0"/>
        <v>-3.5047809600537215E-11</v>
      </c>
      <c r="F8" s="7">
        <f t="shared" ca="1" si="1"/>
        <v>8.0000181606339649E-4</v>
      </c>
      <c r="G8" s="7">
        <f t="shared" ref="G8:H21" ca="1" si="4">(F9-F7)/(2*delta)</f>
        <v>4.0000090511360463E-2</v>
      </c>
      <c r="H8" s="7">
        <f t="shared" ca="1" si="4"/>
        <v>-2.6253610570237118E-8</v>
      </c>
      <c r="I8" s="1"/>
      <c r="J8" s="4"/>
    </row>
    <row r="9" spans="1:10" x14ac:dyDescent="0.25">
      <c r="A9" s="11">
        <f t="shared" si="2"/>
        <v>0.04</v>
      </c>
      <c r="B9" s="3">
        <v>0</v>
      </c>
      <c r="C9" s="1"/>
      <c r="D9" s="9">
        <f t="shared" ca="1" si="3"/>
        <v>-1.401912383981915E-12</v>
      </c>
      <c r="E9" s="5">
        <f t="shared" ca="1" si="0"/>
        <v>-3.4539871940040232E-11</v>
      </c>
      <c r="F9" s="7">
        <f t="shared" ca="1" si="1"/>
        <v>1.6000036204355727E-3</v>
      </c>
      <c r="G9" s="7">
        <f t="shared" ca="1" si="4"/>
        <v>4.0000089753027782E-2</v>
      </c>
      <c r="H9" s="7">
        <f t="shared" ca="1" si="4"/>
        <v>-4.6558252912720643E-8</v>
      </c>
      <c r="I9" s="1"/>
      <c r="J9" s="4"/>
    </row>
    <row r="10" spans="1:10" x14ac:dyDescent="0.25">
      <c r="A10" s="11">
        <f t="shared" si="2"/>
        <v>0.06</v>
      </c>
      <c r="B10" s="3">
        <v>0</v>
      </c>
      <c r="C10" s="1"/>
      <c r="D10" s="9">
        <f t="shared" ca="1" si="3"/>
        <v>-2.0859373206264776E-12</v>
      </c>
      <c r="E10" s="5">
        <f t="shared" ca="1" si="0"/>
        <v>-3.3693309180131515E-11</v>
      </c>
      <c r="F10" s="7">
        <f t="shared" ca="1" si="1"/>
        <v>2.400005406156478E-3</v>
      </c>
      <c r="G10" s="7">
        <f t="shared" ca="1" si="4"/>
        <v>4.0000088648573524E-2</v>
      </c>
      <c r="H10" s="7">
        <f t="shared" ca="1" si="4"/>
        <v>-6.3753539079891564E-8</v>
      </c>
      <c r="I10" s="1"/>
      <c r="J10" s="4"/>
    </row>
    <row r="11" spans="1:10" x14ac:dyDescent="0.25">
      <c r="A11" s="11">
        <f t="shared" si="2"/>
        <v>0.08</v>
      </c>
      <c r="B11" s="3">
        <v>0</v>
      </c>
      <c r="C11" s="1"/>
      <c r="D11" s="9">
        <f t="shared" ca="1" si="3"/>
        <v>-2.7496447511086663E-12</v>
      </c>
      <c r="E11" s="5">
        <f t="shared" ca="1" si="0"/>
        <v>-3.2508121330174758E-11</v>
      </c>
      <c r="F11" s="7">
        <f t="shared" ca="1" si="1"/>
        <v>3.2000071663413478E-3</v>
      </c>
      <c r="G11" s="7">
        <f t="shared" ca="1" si="4"/>
        <v>4.0000087202431152E-2</v>
      </c>
      <c r="H11" s="7">
        <f t="shared" ca="1" si="4"/>
        <v>-8.0692950064908953E-8</v>
      </c>
      <c r="I11" s="1"/>
      <c r="J11" s="4"/>
    </row>
    <row r="12" spans="1:10" x14ac:dyDescent="0.25">
      <c r="A12" s="11">
        <f t="shared" ref="A12:A59" si="5">+A11+delta</f>
        <v>0.1</v>
      </c>
      <c r="B12" s="3">
        <v>0</v>
      </c>
      <c r="C12" s="1"/>
      <c r="D12" s="9">
        <f t="shared" ca="1" si="3"/>
        <v>-3.3862621737359252E-12</v>
      </c>
      <c r="E12" s="5">
        <f t="shared" ca="1" si="0"/>
        <v>-3.0984308402430113E-11</v>
      </c>
      <c r="F12" s="7">
        <f t="shared" ca="1" si="1"/>
        <v>4.0000088942076361E-3</v>
      </c>
      <c r="G12" s="7">
        <f t="shared" ca="1" si="4"/>
        <v>4.0000085420411807E-2</v>
      </c>
      <c r="H12" s="7">
        <f t="shared" ca="1" si="4"/>
        <v>-9.7308153548802956E-8</v>
      </c>
      <c r="I12" s="1"/>
      <c r="J12" s="4"/>
    </row>
    <row r="13" spans="1:10" x14ac:dyDescent="0.25">
      <c r="A13" s="11">
        <f t="shared" si="5"/>
        <v>0.12000000000000001</v>
      </c>
      <c r="B13" s="3">
        <v>0</v>
      </c>
      <c r="C13" s="1"/>
      <c r="D13" s="9">
        <f t="shared" ca="1" si="3"/>
        <v>-3.9890170870896859E-12</v>
      </c>
      <c r="E13" s="5">
        <f t="shared" ca="1" si="0"/>
        <v>-2.9121870412004871E-11</v>
      </c>
      <c r="F13" s="7">
        <f t="shared" ca="1" si="1"/>
        <v>4.8000105831029535E-3</v>
      </c>
      <c r="G13" s="7">
        <f t="shared" ca="1" si="4"/>
        <v>4.0000083309666062E-2</v>
      </c>
      <c r="H13" s="7">
        <f t="shared" ca="1" si="4"/>
        <v>-1.1353323680490801E-7</v>
      </c>
      <c r="I13" s="1"/>
      <c r="J13" s="4"/>
    </row>
    <row r="14" spans="1:10" x14ac:dyDescent="0.25">
      <c r="A14" s="11">
        <f t="shared" si="5"/>
        <v>0.14000000000000001</v>
      </c>
      <c r="B14" s="3">
        <v>0</v>
      </c>
      <c r="C14" s="1"/>
      <c r="D14" s="9">
        <f t="shared" ca="1" si="3"/>
        <v>-4.5511369900817597E-12</v>
      </c>
      <c r="E14" s="5">
        <f t="shared" ca="1" si="0"/>
        <v>-2.6920807376792873E-11</v>
      </c>
      <c r="F14" s="7">
        <f t="shared" ca="1" si="1"/>
        <v>5.6000122265311104E-3</v>
      </c>
      <c r="G14" s="7">
        <f t="shared" ca="1" si="4"/>
        <v>4.0000080878660083E-2</v>
      </c>
      <c r="H14" s="7">
        <f t="shared" ca="1" si="4"/>
        <v>-1.2930358068985459E-7</v>
      </c>
      <c r="I14" s="1"/>
      <c r="J14" s="4" t="s">
        <v>12</v>
      </c>
    </row>
    <row r="15" spans="1:10" x14ac:dyDescent="0.25">
      <c r="A15" s="11">
        <f t="shared" si="5"/>
        <v>0.16</v>
      </c>
      <c r="B15" s="3">
        <v>0</v>
      </c>
      <c r="C15" s="1"/>
      <c r="D15" s="9">
        <f t="shared" ca="1" si="3"/>
        <v>-5.0658493820094008E-12</v>
      </c>
      <c r="E15" s="5">
        <f t="shared" ca="1" si="0"/>
        <v>-2.4381119317402727E-11</v>
      </c>
      <c r="F15" s="7">
        <f t="shared" ca="1" si="1"/>
        <v>6.4000138181773145E-3</v>
      </c>
      <c r="G15" s="7">
        <f t="shared" ca="1" si="4"/>
        <v>4.0000078137112531E-2</v>
      </c>
      <c r="H15" s="7">
        <f t="shared" ca="1" si="4"/>
        <v>-1.4455647616429257E-7</v>
      </c>
      <c r="I15" s="1"/>
      <c r="J15" s="4"/>
    </row>
    <row r="16" spans="1:10" x14ac:dyDescent="0.25">
      <c r="A16" s="11">
        <f t="shared" si="5"/>
        <v>0.18</v>
      </c>
      <c r="B16" s="3">
        <v>0</v>
      </c>
      <c r="C16" s="1"/>
      <c r="D16" s="9">
        <f t="shared" ca="1" si="3"/>
        <v>-5.5263817626088396E-12</v>
      </c>
      <c r="E16" s="5">
        <f t="shared" ca="1" si="0"/>
        <v>-2.1502806257075447E-11</v>
      </c>
      <c r="F16" s="7">
        <f t="shared" ca="1" si="1"/>
        <v>7.200015351935935E-3</v>
      </c>
      <c r="G16" s="7">
        <f t="shared" ca="1" si="4"/>
        <v>4.0000075096019376E-2</v>
      </c>
      <c r="H16" s="7">
        <f t="shared" ca="1" si="4"/>
        <v>-1.5923070639800585E-7</v>
      </c>
      <c r="I16" s="1"/>
      <c r="J16" s="4"/>
    </row>
    <row r="17" spans="1:10" x14ac:dyDescent="0.25">
      <c r="A17" s="11">
        <f t="shared" si="5"/>
        <v>0.19999999999999998</v>
      </c>
      <c r="B17" s="3">
        <v>0</v>
      </c>
      <c r="C17" s="1"/>
      <c r="D17" s="9">
        <f t="shared" ca="1" si="3"/>
        <v>-5.9259616321070349E-12</v>
      </c>
      <c r="E17" s="5">
        <f t="shared" ca="1" si="0"/>
        <v>-1.8285868221591102E-11</v>
      </c>
      <c r="F17" s="7">
        <f t="shared" ca="1" si="1"/>
        <v>8.0000168219306837E-3</v>
      </c>
      <c r="G17" s="7">
        <f t="shared" ca="1" si="4"/>
        <v>4.0000071767504954E-2</v>
      </c>
      <c r="H17" s="7">
        <f t="shared" ca="1" si="4"/>
        <v>-1.7326958513808055E-7</v>
      </c>
      <c r="I17" s="1"/>
      <c r="J17" s="4"/>
    </row>
    <row r="18" spans="1:10" x14ac:dyDescent="0.25">
      <c r="A18" s="11">
        <f t="shared" si="5"/>
        <v>0.21999999999999997</v>
      </c>
      <c r="B18" s="3">
        <v>0</v>
      </c>
      <c r="C18" s="1"/>
      <c r="D18" s="9">
        <f t="shared" ca="1" si="3"/>
        <v>-6.2578164912714869E-12</v>
      </c>
      <c r="E18" s="5">
        <f t="shared" ca="1" si="0"/>
        <v>-1.4730305239166161E-11</v>
      </c>
      <c r="F18" s="7">
        <f t="shared" ca="1" si="1"/>
        <v>8.8000182225416671E-3</v>
      </c>
      <c r="G18" s="7">
        <f t="shared" ca="1" si="4"/>
        <v>4.0000068164882913E-2</v>
      </c>
      <c r="H18" s="7">
        <f t="shared" ca="1" si="4"/>
        <v>-1.8661648233664341E-7</v>
      </c>
      <c r="I18" s="1"/>
      <c r="J18" s="4"/>
    </row>
    <row r="19" spans="1:10" x14ac:dyDescent="0.25">
      <c r="A19" s="11">
        <f t="shared" si="5"/>
        <v>0.23999999999999996</v>
      </c>
      <c r="B19" s="3">
        <v>0</v>
      </c>
      <c r="C19" s="1"/>
      <c r="D19" s="9">
        <f t="shared" ca="1" si="3"/>
        <v>-6.515173841457872E-12</v>
      </c>
      <c r="E19" s="5">
        <f t="shared" ca="1" si="0"/>
        <v>-1.0836117340340553E-11</v>
      </c>
      <c r="F19" s="7">
        <f t="shared" ca="1" si="1"/>
        <v>9.6000195484243784E-3</v>
      </c>
      <c r="G19" s="7">
        <f t="shared" ca="1" si="4"/>
        <v>4.000006430250691E-2</v>
      </c>
      <c r="H19" s="7">
        <f t="shared" ca="1" si="4"/>
        <v>-1.9921909937686832E-7</v>
      </c>
      <c r="I19" s="1"/>
      <c r="J19" s="4"/>
    </row>
    <row r="20" spans="1:10" x14ac:dyDescent="0.25">
      <c r="A20" s="11">
        <f t="shared" si="5"/>
        <v>0.25999999999999995</v>
      </c>
      <c r="B20" s="3">
        <v>0</v>
      </c>
      <c r="C20" s="1"/>
      <c r="D20" s="9">
        <f t="shared" ca="1" si="3"/>
        <v>-6.6912611846553491E-12</v>
      </c>
      <c r="E20" s="5">
        <f t="shared" ca="1" si="0"/>
        <v>-6.6033045578560305E-12</v>
      </c>
      <c r="F20" s="7">
        <f t="shared" ca="1" si="1"/>
        <v>1.0400020794534214E-2</v>
      </c>
      <c r="G20" s="7">
        <f t="shared" ca="1" si="4"/>
        <v>4.0000060195806389E-2</v>
      </c>
      <c r="H20" s="7">
        <f t="shared" ca="1" si="4"/>
        <v>-2.1102781952442307E-7</v>
      </c>
      <c r="I20" s="1"/>
      <c r="J20" s="4"/>
    </row>
    <row r="21" spans="1:10" x14ac:dyDescent="0.25">
      <c r="A21" s="11">
        <f t="shared" si="5"/>
        <v>0.27999999999999997</v>
      </c>
      <c r="B21" s="3">
        <v>0</v>
      </c>
      <c r="C21" s="1"/>
      <c r="D21" s="9">
        <f t="shared" ca="1" si="3"/>
        <v>-6.779306023529318E-12</v>
      </c>
      <c r="E21" s="5">
        <f t="shared" ca="1" si="0"/>
        <v>-2.031866926525385E-12</v>
      </c>
      <c r="F21" s="7">
        <f t="shared" ca="1" si="1"/>
        <v>1.1200021956142702E-2</v>
      </c>
      <c r="G21" s="7">
        <f t="shared" ca="1" si="4"/>
        <v>4.0000055861110287E-2</v>
      </c>
      <c r="H21" s="7">
        <f t="shared" ca="1" si="4"/>
        <v>-2.219967158018088E-7</v>
      </c>
      <c r="I21" s="1"/>
      <c r="J21" s="4"/>
    </row>
    <row r="22" spans="1:10" x14ac:dyDescent="0.25">
      <c r="A22" s="11">
        <f t="shared" si="5"/>
        <v>0.3</v>
      </c>
      <c r="B22" s="3">
        <v>0</v>
      </c>
      <c r="C22" s="1"/>
      <c r="D22" s="9">
        <f t="shared" ca="1" si="3"/>
        <v>-6.7725358614614991E-12</v>
      </c>
      <c r="E22" s="5">
        <f t="shared" ca="1" si="0"/>
        <v>2.8781955169060654E-12</v>
      </c>
      <c r="F22" s="7">
        <f t="shared" ref="F22" ca="1" si="6">E*I*(D23-2*D22+D21)/delta^2</f>
        <v>1.2000023028858969E-2</v>
      </c>
      <c r="G22" s="7">
        <f t="shared" ref="G22:H39" ca="1" si="7">(F23-F21)/(2*delta)</f>
        <v>4.0000051315675335E-2</v>
      </c>
      <c r="H22" s="7">
        <f t="shared" ca="1" si="7"/>
        <v>-2.3208255629791896E-7</v>
      </c>
      <c r="I22" s="1"/>
      <c r="J22" s="4"/>
    </row>
    <row r="23" spans="1:10" x14ac:dyDescent="0.25">
      <c r="A23" s="11">
        <f t="shared" si="5"/>
        <v>0.32</v>
      </c>
      <c r="B23" s="3">
        <v>0</v>
      </c>
      <c r="C23" s="1"/>
      <c r="D23" s="9">
        <f t="shared" ca="1" si="3"/>
        <v>-6.6641782025871545E-12</v>
      </c>
      <c r="E23" s="5">
        <f t="shared" ca="1" si="0"/>
        <v>8.1268827339066686E-12</v>
      </c>
      <c r="F23" s="7">
        <f t="shared" ref="F23:F52" ca="1" si="8">E*I*(D24-2*D23+D22)/delta^2</f>
        <v>1.2800024008645097E-2</v>
      </c>
      <c r="G23" s="7">
        <f t="shared" ca="1" si="7"/>
        <v>4.0000046577574194E-2</v>
      </c>
      <c r="H23" s="7">
        <f t="shared" ca="1" si="7"/>
        <v>-2.4124585783907859E-7</v>
      </c>
      <c r="I23" s="1"/>
      <c r="J23" s="4"/>
    </row>
    <row r="24" spans="1:10" x14ac:dyDescent="0.25">
      <c r="A24" s="11">
        <f t="shared" si="5"/>
        <v>0.34</v>
      </c>
      <c r="B24" s="3">
        <v>0</v>
      </c>
      <c r="C24" s="1"/>
      <c r="D24" s="9">
        <f t="shared" ca="1" si="3"/>
        <v>-6.4474605518293103E-12</v>
      </c>
      <c r="E24" s="5">
        <f t="shared" ca="1" si="0"/>
        <v>1.3714194684311757E-11</v>
      </c>
      <c r="F24" s="7">
        <f t="shared" ca="1" si="8"/>
        <v>1.3600024891832355E-2</v>
      </c>
      <c r="G24" s="7">
        <f t="shared" ca="1" si="7"/>
        <v>4.0000041665621489E-2</v>
      </c>
      <c r="H24" s="7">
        <f t="shared" ca="1" si="7"/>
        <v>-2.4945113474839076E-7</v>
      </c>
      <c r="I24" s="1"/>
      <c r="J24" s="4"/>
    </row>
    <row r="25" spans="1:10" x14ac:dyDescent="0.25">
      <c r="A25" s="11">
        <f t="shared" si="5"/>
        <v>0.36000000000000004</v>
      </c>
      <c r="B25" s="3">
        <v>0</v>
      </c>
      <c r="C25" s="1"/>
      <c r="D25" s="9">
        <f t="shared" ca="1" si="3"/>
        <v>-6.1156104149298595E-12</v>
      </c>
      <c r="E25" s="5">
        <f t="shared" ca="1" si="0"/>
        <v>1.9640131326482986E-11</v>
      </c>
      <c r="F25" s="7">
        <f t="shared" ca="1" si="8"/>
        <v>1.4400025675136846E-2</v>
      </c>
      <c r="G25" s="7">
        <f t="shared" ca="1" si="7"/>
        <v>4.0000036599347526E-2</v>
      </c>
      <c r="H25" s="7">
        <f t="shared" ca="1" si="7"/>
        <v>-2.5666594596213121E-7</v>
      </c>
      <c r="I25" s="1"/>
      <c r="J25" s="4"/>
    </row>
    <row r="26" spans="1:10" x14ac:dyDescent="0.25">
      <c r="A26" s="11">
        <f t="shared" si="5"/>
        <v>0.38000000000000006</v>
      </c>
      <c r="B26" s="3">
        <v>0</v>
      </c>
      <c r="C26" s="1"/>
      <c r="D26" s="9">
        <f t="shared" ca="1" si="3"/>
        <v>-5.6618552984773919E-12</v>
      </c>
      <c r="E26" s="5">
        <f t="shared" ca="1" si="0"/>
        <v>2.5904692617474068E-11</v>
      </c>
      <c r="F26" s="7">
        <f t="shared" ca="1" si="8"/>
        <v>1.5200026355669517E-2</v>
      </c>
      <c r="G26" s="7">
        <f t="shared" ca="1" si="7"/>
        <v>4.0000031398811864E-2</v>
      </c>
      <c r="H26" s="7">
        <f t="shared" ca="1" si="7"/>
        <v>-2.6286387667245892E-7</v>
      </c>
      <c r="I26" s="1"/>
      <c r="J26" s="4"/>
    </row>
    <row r="27" spans="1:10" x14ac:dyDescent="0.25">
      <c r="A27" s="11">
        <f t="shared" si="5"/>
        <v>0.40000000000000008</v>
      </c>
      <c r="B27" s="3">
        <v>0</v>
      </c>
      <c r="C27" s="1"/>
      <c r="D27" s="9">
        <f t="shared" ca="1" si="3"/>
        <v>-5.0794227099316835E-12</v>
      </c>
      <c r="E27" s="5">
        <f t="shared" ca="1" si="0"/>
        <v>3.2507878513200665E-11</v>
      </c>
      <c r="F27" s="7">
        <f t="shared" ca="1" si="8"/>
        <v>1.6000026930949526E-2</v>
      </c>
      <c r="G27" s="7">
        <f t="shared" ca="1" si="7"/>
        <v>4.000002608465416E-2</v>
      </c>
      <c r="H27" s="7">
        <f t="shared" ca="1" si="7"/>
        <v>-2.6801963200900891E-7</v>
      </c>
      <c r="I27" s="1"/>
      <c r="J27" s="4"/>
    </row>
    <row r="28" spans="1:10" x14ac:dyDescent="0.25">
      <c r="A28" s="11">
        <f t="shared" si="5"/>
        <v>0.4200000000000001</v>
      </c>
      <c r="B28" s="3">
        <v>0</v>
      </c>
      <c r="C28" s="1"/>
      <c r="D28" s="9">
        <f t="shared" ca="1" si="3"/>
        <v>-4.3615401576447238E-12</v>
      </c>
      <c r="E28" s="5">
        <f t="shared" ca="1" si="0"/>
        <v>3.9449688968615396E-11</v>
      </c>
      <c r="F28" s="7">
        <f t="shared" ca="1" si="8"/>
        <v>1.6800027398913505E-2</v>
      </c>
      <c r="G28" s="7">
        <f t="shared" ca="1" si="7"/>
        <v>4.0000020677921716E-2</v>
      </c>
      <c r="H28" s="7">
        <f t="shared" ca="1" si="7"/>
        <v>-2.7211448806047089E-7</v>
      </c>
      <c r="I28" s="1"/>
      <c r="J28" s="4"/>
    </row>
    <row r="29" spans="1:10" x14ac:dyDescent="0.25">
      <c r="A29" s="11">
        <f t="shared" si="5"/>
        <v>0.44000000000000011</v>
      </c>
      <c r="B29" s="3">
        <v>0</v>
      </c>
      <c r="C29" s="1"/>
      <c r="D29" s="9">
        <f t="shared" ca="1" si="3"/>
        <v>-3.5014351508782034E-12</v>
      </c>
      <c r="E29" s="5">
        <f t="shared" ca="1" si="0"/>
        <v>4.6730123937886275E-11</v>
      </c>
      <c r="F29" s="7">
        <f t="shared" ca="1" si="8"/>
        <v>1.7600027757922215E-2</v>
      </c>
      <c r="G29" s="7">
        <f t="shared" ca="1" si="7"/>
        <v>4.0000015199995881E-2</v>
      </c>
      <c r="H29" s="7">
        <f t="shared" ca="1" si="7"/>
        <v>-2.7513291124547923E-7</v>
      </c>
      <c r="J29" s="4" t="s">
        <v>13</v>
      </c>
    </row>
    <row r="30" spans="1:10" x14ac:dyDescent="0.25">
      <c r="A30" s="11">
        <f t="shared" si="5"/>
        <v>0.46000000000000013</v>
      </c>
      <c r="B30" s="3">
        <v>0</v>
      </c>
      <c r="C30" s="1"/>
      <c r="D30" s="9">
        <f ca="1">((B30*delta^4/(E*I))-D28+4*D29+4*D31-D33)/6</f>
        <v>-2.4923351998174067E-12</v>
      </c>
      <c r="E30" s="5">
        <f t="shared" ca="1" si="0"/>
        <v>5.4349183374577999E-11</v>
      </c>
      <c r="F30" s="7">
        <f t="shared" ca="1" si="8"/>
        <v>1.8400028006767873E-2</v>
      </c>
      <c r="G30" s="7">
        <f t="shared" ca="1" si="7"/>
        <v>4.0000009672556347E-2</v>
      </c>
      <c r="H30" s="7">
        <f t="shared" ca="1" si="7"/>
        <v>-2.0761098569466174E-7</v>
      </c>
      <c r="J30" s="4"/>
    </row>
    <row r="31" spans="1:10" x14ac:dyDescent="0.25">
      <c r="A31" s="11">
        <f t="shared" si="5"/>
        <v>0.48000000000000015</v>
      </c>
      <c r="B31" s="3">
        <v>-50</v>
      </c>
      <c r="C31" s="1"/>
      <c r="D31" s="12">
        <f ca="1">((B31*delta^4/(E*I))-D29+4*D30+4*D33-D35)/6</f>
        <v>-1.3274678155814485E-12</v>
      </c>
      <c r="E31" s="1">
        <f ca="1">(D33-D30)/(2*delta)</f>
        <v>6.2306867231835652E-11</v>
      </c>
      <c r="F31">
        <f ca="1">E*I*(D33-2*D31+D30)/(delta^2)</f>
        <v>1.9200028144678333E-2</v>
      </c>
      <c r="G31" s="13">
        <f ca="1">(F31-F30)/delta</f>
        <v>4.0000006895522973E-2</v>
      </c>
      <c r="H31" s="13">
        <f ca="1">(G31-G30)/delta</f>
        <v>-1.3885166870453158E-7</v>
      </c>
      <c r="J31" s="4"/>
    </row>
    <row r="32" spans="1:10" x14ac:dyDescent="0.25">
      <c r="A32" s="11">
        <v>0.499</v>
      </c>
      <c r="B32" s="3"/>
      <c r="C32" s="1"/>
      <c r="D32" s="14">
        <f t="shared" ref="D32:E32" ca="1" si="9">lagrange($A32,$A29:$A31,D29:D31)</f>
        <v>-7.6564215578807273E-14</v>
      </c>
      <c r="E32" s="14">
        <f t="shared" ca="1" si="9"/>
        <v>7.0180317765779544E-11</v>
      </c>
      <c r="F32" s="14">
        <f ca="1">lagrange($A32,$A29:$A31,F29:F31)</f>
        <v>1.9960028172939542E-2</v>
      </c>
      <c r="G32" s="14">
        <f t="shared" ref="G32:H32" ca="1" si="10">lagrange($A32,$A29:$A31,G29:G31)</f>
        <v>4.0000006804904981E-2</v>
      </c>
      <c r="H32" s="14">
        <f t="shared" ca="1" si="10"/>
        <v>-7.2384183743245203E-8</v>
      </c>
      <c r="J32" s="4"/>
    </row>
    <row r="33" spans="1:10" x14ac:dyDescent="0.25">
      <c r="A33" s="11">
        <f>+A31+delta</f>
        <v>0.50000000000000011</v>
      </c>
      <c r="B33" s="3">
        <v>0</v>
      </c>
      <c r="C33" s="1"/>
      <c r="D33" s="12">
        <f ca="1">((B33*delta^4/(E*I))-D30+4*D31+4*D35-D36)/6</f>
        <v>-6.0510229816199444E-17</v>
      </c>
      <c r="E33" s="1">
        <f ca="1">(D35-D31)/(2*delta)</f>
        <v>6.6370371229765623E-11</v>
      </c>
      <c r="F33">
        <f ca="1">E*I*(D35-2*D33+D31)/(delta^2)</f>
        <v>2.817131944222681E-8</v>
      </c>
      <c r="G33" s="14"/>
      <c r="H33" s="14"/>
      <c r="J33" s="4"/>
    </row>
    <row r="34" spans="1:10" x14ac:dyDescent="0.25">
      <c r="A34" s="11">
        <v>0.501</v>
      </c>
      <c r="B34" s="3"/>
      <c r="C34" s="1"/>
      <c r="D34" s="14">
        <f t="shared" ref="D34:E34" ca="1" si="11">lagrange($A34,$A35:$A37,D35:D37)</f>
        <v>7.6443192809370891E-14</v>
      </c>
      <c r="E34" s="14">
        <f t="shared" ca="1" si="11"/>
        <v>7.0180318874000638E-11</v>
      </c>
      <c r="F34" s="14">
        <f ca="1">lagrange($A34,$A35:$A37,F35:F37)</f>
        <v>-1.9959971829225688E-2</v>
      </c>
      <c r="G34" s="14">
        <f t="shared" ref="G34:H34" ca="1" si="12">lagrange($A34,$A35:$A37,G35:G37)</f>
        <v>3.9999990354595394E-2</v>
      </c>
      <c r="H34" s="14">
        <f t="shared" ca="1" si="12"/>
        <v>-7.1183796803005801E-8</v>
      </c>
      <c r="J34" s="4"/>
    </row>
    <row r="35" spans="1:10" x14ac:dyDescent="0.25">
      <c r="A35" s="11">
        <f>+A33+delta</f>
        <v>0.52000000000000013</v>
      </c>
      <c r="B35" s="3">
        <v>50</v>
      </c>
      <c r="C35" s="1"/>
      <c r="D35" s="12">
        <f ca="1">((B35*delta^4/(E*I))-D31+4*D33+4*D36-D37)/6</f>
        <v>1.327347033922631E-12</v>
      </c>
      <c r="E35" s="1">
        <f ca="1">(D36-D33)/(2*delta)</f>
        <v>6.2306891088425786E-11</v>
      </c>
      <c r="F35">
        <f ca="1">E*I*(D36-2*D35+D33)/(delta^2)</f>
        <v>-1.9199971913203783E-2</v>
      </c>
      <c r="G35" s="13">
        <f ca="1">(F36-F35)/delta</f>
        <v>3.9999990250043707E-2</v>
      </c>
      <c r="H35" s="13">
        <f ca="1">(G36-G35)/delta</f>
        <v>-1.3723728334302798E-7</v>
      </c>
      <c r="J35" s="4"/>
    </row>
    <row r="36" spans="1:10" x14ac:dyDescent="0.25">
      <c r="A36" s="11">
        <f t="shared" si="5"/>
        <v>0.54000000000000015</v>
      </c>
      <c r="B36" s="3">
        <v>0</v>
      </c>
      <c r="C36" s="1"/>
      <c r="D36" s="9">
        <f ca="1">((B36*delta^4/(E*I))-D33+4*D35+4*D37-D38)/6</f>
        <v>2.4922151336187236E-12</v>
      </c>
      <c r="E36" s="5">
        <f t="shared" ca="1" si="0"/>
        <v>5.4349230993619956E-11</v>
      </c>
      <c r="F36" s="7">
        <f t="shared" ca="1" si="8"/>
        <v>-1.8399972108347616E-2</v>
      </c>
      <c r="G36" s="7">
        <f t="shared" ca="1" si="7"/>
        <v>3.9999987505360754E-2</v>
      </c>
      <c r="H36" s="7">
        <f t="shared" ca="1" si="7"/>
        <v>-2.0478975286397638E-7</v>
      </c>
      <c r="J36" s="4"/>
    </row>
    <row r="37" spans="1:10" x14ac:dyDescent="0.25">
      <c r="A37" s="11">
        <f t="shared" si="5"/>
        <v>0.56000000000000016</v>
      </c>
      <c r="B37" s="3">
        <v>0</v>
      </c>
      <c r="C37" s="1"/>
      <c r="D37" s="9">
        <f t="shared" ca="1" si="3"/>
        <v>3.5013162739757639E-12</v>
      </c>
      <c r="E37" s="5">
        <f t="shared" ca="1" si="0"/>
        <v>4.6730195131474761E-11</v>
      </c>
      <c r="F37" s="7">
        <f t="shared" ca="1" si="8"/>
        <v>-1.7599972413132534E-2</v>
      </c>
      <c r="G37" s="7">
        <f t="shared" ca="1" si="7"/>
        <v>3.9999982058544319E-2</v>
      </c>
      <c r="H37" s="7">
        <f t="shared" ca="1" si="7"/>
        <v>-2.7031353509732181E-7</v>
      </c>
      <c r="J37" s="4"/>
    </row>
    <row r="38" spans="1:10" x14ac:dyDescent="0.25">
      <c r="A38" s="11">
        <f t="shared" si="5"/>
        <v>0.58000000000000018</v>
      </c>
      <c r="B38" s="3">
        <v>0</v>
      </c>
      <c r="C38" s="1"/>
      <c r="D38" s="9">
        <f t="shared" ca="1" si="3"/>
        <v>4.3614229391816617E-12</v>
      </c>
      <c r="E38" s="5">
        <f t="shared" ca="1" si="0"/>
        <v>3.9449783455819338E-11</v>
      </c>
      <c r="F38" s="7">
        <f t="shared" ca="1" si="8"/>
        <v>-1.679997282614697E-2</v>
      </c>
      <c r="G38" s="7">
        <f t="shared" ca="1" si="7"/>
        <v>3.9999976692937575E-2</v>
      </c>
      <c r="H38" s="7">
        <f t="shared" ca="1" si="7"/>
        <v>-2.6572612391723149E-7</v>
      </c>
      <c r="J38" s="4"/>
    </row>
    <row r="39" spans="1:10" x14ac:dyDescent="0.25">
      <c r="A39" s="11">
        <f t="shared" si="5"/>
        <v>0.6000000000000002</v>
      </c>
      <c r="B39" s="3">
        <v>0</v>
      </c>
      <c r="C39" s="1"/>
      <c r="D39" s="9">
        <f t="shared" ca="1" si="3"/>
        <v>5.0793076125069017E-12</v>
      </c>
      <c r="E39" s="5">
        <f t="shared" ca="1" si="0"/>
        <v>3.2507995921171315E-11</v>
      </c>
      <c r="F39" s="7">
        <f t="shared" ca="1" si="8"/>
        <v>-1.5999973345553489E-2</v>
      </c>
      <c r="G39" s="7">
        <f t="shared" ca="1" si="7"/>
        <v>3.9999971429649638E-2</v>
      </c>
      <c r="H39" s="7">
        <f t="shared" ca="1" si="7"/>
        <v>-2.600935201588217E-7</v>
      </c>
      <c r="J39" s="4"/>
    </row>
    <row r="40" spans="1:10" x14ac:dyDescent="0.25">
      <c r="A40" s="11">
        <f t="shared" si="5"/>
        <v>0.62000000000000022</v>
      </c>
      <c r="B40" s="3">
        <v>0</v>
      </c>
      <c r="C40" s="1"/>
      <c r="D40" s="9">
        <f t="shared" ca="1" si="3"/>
        <v>5.6617427763201205E-12</v>
      </c>
      <c r="E40" s="5">
        <f t="shared" ca="1" si="0"/>
        <v>2.5904832482915735E-11</v>
      </c>
      <c r="F40" s="7">
        <f t="shared" ca="1" si="8"/>
        <v>-1.5199973969096099E-2</v>
      </c>
      <c r="G40" s="7">
        <f t="shared" ref="G40:H55" ca="1" si="13">(F41-F39)/(2*delta)</f>
        <v>3.9999966289382904E-2</v>
      </c>
      <c r="H40" s="7">
        <f t="shared" ca="1" si="13"/>
        <v>-2.5343861349835795E-7</v>
      </c>
      <c r="J40" s="4"/>
    </row>
    <row r="41" spans="1:10" x14ac:dyDescent="0.25">
      <c r="A41" s="11">
        <f t="shared" si="5"/>
        <v>0.64000000000000024</v>
      </c>
      <c r="B41" s="3">
        <v>0</v>
      </c>
      <c r="C41" s="1"/>
      <c r="D41" s="9">
        <f t="shared" ca="1" si="3"/>
        <v>6.1155009121072371E-12</v>
      </c>
      <c r="E41" s="5">
        <f t="shared" ca="1" si="0"/>
        <v>1.9640293097480728E-11</v>
      </c>
      <c r="F41" s="7">
        <f t="shared" ca="1" si="8"/>
        <v>-1.4399974694109852E-2</v>
      </c>
      <c r="G41" s="7">
        <f t="shared" ca="1" si="13"/>
        <v>3.999996129229353E-2</v>
      </c>
      <c r="H41" s="7">
        <f t="shared" ca="1" si="13"/>
        <v>-2.4578966899974075E-7</v>
      </c>
      <c r="J41" s="4"/>
    </row>
    <row r="42" spans="1:10" x14ac:dyDescent="0.25">
      <c r="A42" s="11">
        <f t="shared" si="5"/>
        <v>0.66000000000000025</v>
      </c>
      <c r="B42" s="3">
        <v>0</v>
      </c>
      <c r="C42" s="1"/>
      <c r="D42" s="9">
        <f t="shared" ref="D42:D58" ca="1" si="14">((B42*delta^4/(E*I))-D40+4*D41+4*D43-D44)/6</f>
        <v>6.447354500494039E-12</v>
      </c>
      <c r="E42" s="5">
        <f t="shared" ca="1" si="0"/>
        <v>1.3714377722508021E-11</v>
      </c>
      <c r="F42" s="7">
        <f t="shared" ca="1" si="8"/>
        <v>-1.3599975517531554E-2</v>
      </c>
      <c r="G42" s="7">
        <f t="shared" ca="1" si="13"/>
        <v>3.9999956458032331E-2</v>
      </c>
      <c r="H42" s="7">
        <f t="shared" ca="1" si="13"/>
        <v>-2.371752143640049E-7</v>
      </c>
      <c r="J42" s="4"/>
    </row>
    <row r="43" spans="1:10" x14ac:dyDescent="0.25">
      <c r="A43" s="11">
        <f t="shared" si="5"/>
        <v>0.68000000000000027</v>
      </c>
      <c r="B43" s="3">
        <v>0</v>
      </c>
      <c r="C43" s="1"/>
      <c r="D43" s="9">
        <f t="shared" ca="1" si="14"/>
        <v>6.664076021272154E-12</v>
      </c>
      <c r="E43" s="5">
        <f t="shared" ca="1" si="0"/>
        <v>8.1270863170198051E-12</v>
      </c>
      <c r="F43" s="7">
        <f t="shared" ca="1" si="8"/>
        <v>-1.2799976435911079E-2</v>
      </c>
      <c r="G43" s="7">
        <f t="shared" ca="1" si="13"/>
        <v>3.9999951805540224E-2</v>
      </c>
      <c r="H43" s="7">
        <f t="shared" ca="1" si="13"/>
        <v>-2.2763172215223282E-7</v>
      </c>
      <c r="J43" s="4"/>
    </row>
    <row r="44" spans="1:10" x14ac:dyDescent="0.25">
      <c r="A44" s="11">
        <f t="shared" si="5"/>
        <v>0.70000000000000029</v>
      </c>
      <c r="B44" s="3">
        <v>0</v>
      </c>
      <c r="C44" s="1"/>
      <c r="D44" s="9">
        <f t="shared" ca="1" si="14"/>
        <v>6.7724379534282975E-12</v>
      </c>
      <c r="E44" s="5">
        <f t="shared" ca="1" si="0"/>
        <v>2.8784188415791728E-12</v>
      </c>
      <c r="F44" s="7">
        <f t="shared" ca="1" si="8"/>
        <v>-1.1999977445427312E-2</v>
      </c>
      <c r="G44" s="7">
        <f t="shared" ca="1" si="13"/>
        <v>3.9999947353040181E-2</v>
      </c>
      <c r="H44" s="7">
        <f t="shared" ca="1" si="13"/>
        <v>-2.1719622524118964E-7</v>
      </c>
      <c r="J44" s="4" t="s">
        <v>14</v>
      </c>
    </row>
    <row r="45" spans="1:10" x14ac:dyDescent="0.25">
      <c r="A45" s="11">
        <f t="shared" si="5"/>
        <v>0.72000000000000031</v>
      </c>
      <c r="B45" s="3">
        <v>0</v>
      </c>
      <c r="C45" s="1"/>
      <c r="D45" s="9">
        <f t="shared" ca="1" si="14"/>
        <v>6.7792127751766614E-12</v>
      </c>
      <c r="E45" s="5">
        <f t="shared" ca="1" si="0"/>
        <v>-2.0316247415554869E-12</v>
      </c>
      <c r="F45" s="7">
        <f t="shared" ca="1" si="8"/>
        <v>-1.1199978541900637E-2</v>
      </c>
      <c r="G45" s="7">
        <f t="shared" ca="1" si="13"/>
        <v>3.9999943118001299E-2</v>
      </c>
      <c r="H45" s="7">
        <f t="shared" ca="1" si="13"/>
        <v>-2.0590999513098174E-7</v>
      </c>
      <c r="J45" s="4"/>
    </row>
    <row r="46" spans="1:10" x14ac:dyDescent="0.25">
      <c r="A46" s="11">
        <f t="shared" si="5"/>
        <v>0.74000000000000032</v>
      </c>
      <c r="B46" s="3">
        <v>0</v>
      </c>
      <c r="C46" s="1"/>
      <c r="D46" s="9">
        <f t="shared" ca="1" si="14"/>
        <v>6.6911729639943508E-12</v>
      </c>
      <c r="E46" s="5">
        <f t="shared" ca="1" si="0"/>
        <v>-6.6030444682821963E-12</v>
      </c>
      <c r="F46" s="7">
        <f t="shared" ca="1" si="8"/>
        <v>-1.0399979720812507E-2</v>
      </c>
      <c r="G46" s="7">
        <f t="shared" ca="1" si="13"/>
        <v>3.9999939116950503E-2</v>
      </c>
      <c r="H46" s="7">
        <f t="shared" ca="1" si="13"/>
        <v>-1.9381942561319532E-7</v>
      </c>
      <c r="J46" s="4"/>
    </row>
    <row r="47" spans="1:10" x14ac:dyDescent="0.25">
      <c r="A47" s="11">
        <f t="shared" si="5"/>
        <v>0.76000000000000034</v>
      </c>
      <c r="B47" s="3">
        <v>0</v>
      </c>
      <c r="C47" s="1"/>
      <c r="D47" s="9">
        <f t="shared" ca="1" si="14"/>
        <v>6.5150909966596868E-12</v>
      </c>
      <c r="E47" s="5">
        <f t="shared" ca="1" si="0"/>
        <v>-1.0835840372515461E-11</v>
      </c>
      <c r="F47" s="7">
        <f t="shared" ca="1" si="8"/>
        <v>-9.5999809773211851E-3</v>
      </c>
      <c r="G47" s="7">
        <f t="shared" ca="1" si="13"/>
        <v>3.9999935365551055E-2</v>
      </c>
      <c r="H47" s="7">
        <f t="shared" ca="1" si="13"/>
        <v>-1.8097086225410397E-7</v>
      </c>
      <c r="J47" s="4"/>
    </row>
    <row r="48" spans="1:10" x14ac:dyDescent="0.25">
      <c r="A48" s="11">
        <f t="shared" si="5"/>
        <v>0.78000000000000036</v>
      </c>
      <c r="B48" s="3">
        <v>0</v>
      </c>
      <c r="C48" s="1"/>
      <c r="D48" s="9">
        <f t="shared" ca="1" si="14"/>
        <v>6.2577393492932493E-12</v>
      </c>
      <c r="E48" s="5">
        <f t="shared" ca="1" si="0"/>
        <v>-1.4730012486053571E-11</v>
      </c>
      <c r="F48" s="7">
        <f t="shared" ca="1" si="8"/>
        <v>-8.7999823062822613E-3</v>
      </c>
      <c r="G48" s="7">
        <f t="shared" ca="1" si="13"/>
        <v>3.9999931878466691E-2</v>
      </c>
      <c r="H48" s="7">
        <f t="shared" ca="1" si="13"/>
        <v>-1.674154695083252E-7</v>
      </c>
    </row>
    <row r="49" spans="1:10" x14ac:dyDescent="0.25">
      <c r="A49" s="11">
        <f t="shared" si="5"/>
        <v>0.80000000000000038</v>
      </c>
      <c r="B49" s="3">
        <v>0</v>
      </c>
      <c r="C49" s="1"/>
      <c r="D49" s="9">
        <f t="shared" ca="1" si="14"/>
        <v>5.9258904974014858E-12</v>
      </c>
      <c r="E49" s="5">
        <f t="shared" ca="1" si="0"/>
        <v>-1.8285560838454236E-11</v>
      </c>
      <c r="F49" s="7">
        <f t="shared" ca="1" si="8"/>
        <v>-7.9999837022671563E-3</v>
      </c>
      <c r="G49" s="7">
        <f t="shared" ca="1" si="13"/>
        <v>3.9999928669302097E-2</v>
      </c>
      <c r="H49" s="7">
        <f t="shared" ca="1" si="13"/>
        <v>-1.5320787607325803E-7</v>
      </c>
    </row>
    <row r="50" spans="1:10" x14ac:dyDescent="0.25">
      <c r="A50" s="11">
        <f t="shared" si="5"/>
        <v>0.8200000000000004</v>
      </c>
      <c r="B50" s="3">
        <v>0</v>
      </c>
      <c r="C50" s="1"/>
      <c r="D50" s="9">
        <f t="shared" ca="1" si="14"/>
        <v>5.5263169159227284E-12</v>
      </c>
      <c r="E50" s="5">
        <f t="shared" ca="1" si="0"/>
        <v>-2.1502485456919261E-11</v>
      </c>
      <c r="F50" s="7">
        <f t="shared" ca="1" si="8"/>
        <v>-7.1999851595870874E-3</v>
      </c>
      <c r="G50" s="7">
        <f t="shared" ca="1" si="13"/>
        <v>3.9999925750538123E-2</v>
      </c>
      <c r="H50" s="7">
        <f t="shared" ca="1" si="13"/>
        <v>-1.3840360784528327E-7</v>
      </c>
    </row>
    <row r="51" spans="1:10" x14ac:dyDescent="0.25">
      <c r="A51" s="11">
        <f t="shared" si="5"/>
        <v>0.84000000000000041</v>
      </c>
      <c r="B51" s="3">
        <v>0</v>
      </c>
      <c r="C51" s="1"/>
      <c r="D51" s="9">
        <f t="shared" ca="1" si="14"/>
        <v>5.0657910792754189E-12</v>
      </c>
      <c r="E51" s="5">
        <f t="shared" ca="1" si="0"/>
        <v>-2.4380786366188759E-11</v>
      </c>
      <c r="F51" s="7">
        <f t="shared" ca="1" si="8"/>
        <v>-6.399986672315003E-3</v>
      </c>
      <c r="G51" s="7">
        <f t="shared" ca="1" si="13"/>
        <v>3.9999923133556187E-2</v>
      </c>
      <c r="H51" s="7">
        <f t="shared" ca="1" si="13"/>
        <v>-1.2305985275934406E-7</v>
      </c>
    </row>
    <row r="52" spans="1:10" x14ac:dyDescent="0.25">
      <c r="A52" s="11">
        <f t="shared" si="5"/>
        <v>0.86000000000000043</v>
      </c>
      <c r="B52" s="3">
        <v>0</v>
      </c>
      <c r="C52" s="1"/>
      <c r="D52" s="9">
        <f t="shared" ca="1" si="14"/>
        <v>4.5510854614083493E-12</v>
      </c>
      <c r="E52" s="5">
        <f t="shared" ca="1" si="0"/>
        <v>-2.6920463588444696E-11</v>
      </c>
      <c r="F52" s="7">
        <f t="shared" ca="1" si="8"/>
        <v>-5.5999882343060053E-3</v>
      </c>
      <c r="G52" s="7">
        <f t="shared" ca="1" si="13"/>
        <v>3.9999920828561512E-2</v>
      </c>
      <c r="H52" s="7">
        <f t="shared" ca="1" si="13"/>
        <v>-1.0723732561668253E-7</v>
      </c>
    </row>
    <row r="53" spans="1:10" x14ac:dyDescent="0.25">
      <c r="A53" s="11">
        <f t="shared" ref="A53:A58" si="15">+A52+delta</f>
        <v>0.88000000000000045</v>
      </c>
      <c r="B53" s="3">
        <v>0</v>
      </c>
      <c r="C53" s="1"/>
      <c r="D53" s="9">
        <f t="shared" ca="1" si="14"/>
        <v>3.988972535852753E-12</v>
      </c>
      <c r="E53" s="5">
        <f t="shared" ca="1" si="0"/>
        <v>-2.9121517143224361E-11</v>
      </c>
      <c r="F53" s="7">
        <f t="shared" ref="F53:F58" ca="1" si="16">E*I*(D54-2*D53+D52)/delta^2</f>
        <v>-4.7999898392254055E-3</v>
      </c>
      <c r="G53" s="7">
        <f t="shared" ca="1" si="13"/>
        <v>3.9999918844485442E-2</v>
      </c>
      <c r="H53" s="7">
        <f t="shared" ca="1" si="13"/>
        <v>-9.0998586443902241E-8</v>
      </c>
    </row>
    <row r="54" spans="1:10" x14ac:dyDescent="0.25">
      <c r="A54" s="11">
        <f t="shared" si="15"/>
        <v>0.90000000000000047</v>
      </c>
      <c r="B54" s="3">
        <v>0</v>
      </c>
      <c r="C54" s="1"/>
      <c r="D54" s="9">
        <f t="shared" ca="1" si="14"/>
        <v>3.386224775776E-12</v>
      </c>
      <c r="E54" s="5">
        <f t="shared" ca="1" si="0"/>
        <v>-3.0983947047344719E-11</v>
      </c>
      <c r="F54" s="7">
        <f t="shared" ca="1" si="16"/>
        <v>-3.9999914805709585E-3</v>
      </c>
      <c r="G54" s="7">
        <f t="shared" ca="1" si="13"/>
        <v>3.9999917189048648E-2</v>
      </c>
      <c r="H54" s="7">
        <f t="shared" ca="1" si="13"/>
        <v>-7.4406313402275437E-8</v>
      </c>
    </row>
    <row r="55" spans="1:10" x14ac:dyDescent="0.25">
      <c r="A55" s="11">
        <f t="shared" si="15"/>
        <v>0.92000000000000048</v>
      </c>
      <c r="B55" s="3">
        <v>0</v>
      </c>
      <c r="C55" s="1"/>
      <c r="D55" s="9">
        <f t="shared" ca="1" si="14"/>
        <v>2.7496146540367164E-12</v>
      </c>
      <c r="E55" s="5">
        <f t="shared" ca="1" si="0"/>
        <v>-3.2507753314836969E-11</v>
      </c>
      <c r="F55" s="7">
        <f t="shared" ca="1" si="16"/>
        <v>-3.1999931516989081E-3</v>
      </c>
      <c r="G55" s="7">
        <f t="shared" ca="1" si="13"/>
        <v>3.9999915868673047E-2</v>
      </c>
      <c r="H55" s="7">
        <f t="shared" ca="1" si="13"/>
        <v>-5.7525599735097632E-8</v>
      </c>
    </row>
    <row r="56" spans="1:10" x14ac:dyDescent="0.25">
      <c r="A56" s="11">
        <f t="shared" si="15"/>
        <v>0.9400000000000005</v>
      </c>
      <c r="B56" s="3">
        <v>0</v>
      </c>
      <c r="C56" s="1"/>
      <c r="D56" s="9">
        <f t="shared" ca="1" si="14"/>
        <v>2.0859146432411001E-12</v>
      </c>
      <c r="E56" s="5">
        <f t="shared" ca="1" si="0"/>
        <v>-3.3692935956892087E-11</v>
      </c>
      <c r="F56" s="7">
        <f t="shared" ca="1" si="16"/>
        <v>-2.3999948458508021E-3</v>
      </c>
      <c r="G56" s="7">
        <f t="shared" ref="G56:H58" ca="1" si="17">(F57-F55)/(2*delta)</f>
        <v>3.9999914888464785E-2</v>
      </c>
      <c r="H56" s="7">
        <f t="shared" ca="1" si="17"/>
        <v>-4.0422259636740954E-8</v>
      </c>
    </row>
    <row r="57" spans="1:10" x14ac:dyDescent="0.25">
      <c r="A57" s="11">
        <f t="shared" si="15"/>
        <v>0.96000000000000052</v>
      </c>
      <c r="B57" s="3">
        <v>0</v>
      </c>
      <c r="C57" s="1"/>
      <c r="D57" s="9">
        <f t="shared" ca="1" si="14"/>
        <v>1.4018972158002117E-12</v>
      </c>
      <c r="E57" s="5">
        <f t="shared" ca="1" si="0"/>
        <v>-3.4539494981817591E-11</v>
      </c>
      <c r="F57" s="7">
        <f t="shared" ca="1" si="16"/>
        <v>-1.5999965561782079E-3</v>
      </c>
      <c r="G57" s="7">
        <f t="shared" ca="1" si="17"/>
        <v>3.9999914252228159E-2</v>
      </c>
      <c r="H57" s="7">
        <f t="shared" ca="1" si="17"/>
        <v>-2.3162370112184139E-8</v>
      </c>
    </row>
    <row r="58" spans="1:10" x14ac:dyDescent="0.25">
      <c r="A58" s="11">
        <f t="shared" si="15"/>
        <v>0.98000000000000054</v>
      </c>
      <c r="B58" s="3">
        <v>0</v>
      </c>
      <c r="C58" s="1"/>
      <c r="D58" s="9">
        <f t="shared" ca="1" si="14"/>
        <v>7.043348439880238E-13</v>
      </c>
      <c r="E58" s="5">
        <f t="shared" ca="1" si="0"/>
        <v>-3.504743039500529E-11</v>
      </c>
      <c r="F58" s="7">
        <f t="shared" ca="1" si="16"/>
        <v>-7.9999827577062162E-4</v>
      </c>
      <c r="G58" s="7">
        <f t="shared" ca="1" si="17"/>
        <v>3.9999913962416957E-2</v>
      </c>
      <c r="H58" s="7">
        <f t="shared" ca="1" si="17"/>
        <v>-8.7055210262754201E-9</v>
      </c>
    </row>
    <row r="59" spans="1:10" x14ac:dyDescent="0.25">
      <c r="A59" s="11">
        <f t="shared" si="5"/>
        <v>1.0000000000000004</v>
      </c>
      <c r="B59" s="3">
        <v>0</v>
      </c>
      <c r="C59" s="1"/>
      <c r="D59" s="6">
        <v>0</v>
      </c>
      <c r="E59" s="5">
        <f t="shared" ca="1" si="0"/>
        <v>-3.5216742198910508E-11</v>
      </c>
      <c r="F59" s="7">
        <f t="shared" ca="1" si="1"/>
        <v>2.3184704677068408E-12</v>
      </c>
      <c r="G59" s="10">
        <f ca="1">(F59-F58)/delta</f>
        <v>3.9999913904454606E-2</v>
      </c>
      <c r="H59" s="10">
        <f ca="1">(G59-G58)/delta</f>
        <v>-2.8981175098641287E-9</v>
      </c>
      <c r="J59" s="4" t="s">
        <v>15</v>
      </c>
    </row>
    <row r="60" spans="1:10" x14ac:dyDescent="0.25">
      <c r="A60" s="1"/>
      <c r="B60" s="1"/>
      <c r="C60" s="1"/>
      <c r="D60" s="8">
        <f ca="1">2*D59-D58</f>
        <v>-7.043348439880238E-13</v>
      </c>
      <c r="E60" s="5"/>
      <c r="F60" s="1"/>
      <c r="G60" s="1"/>
      <c r="H60" s="1"/>
    </row>
    <row r="62" spans="1:10" x14ac:dyDescent="0.25">
      <c r="F62" t="s">
        <v>16</v>
      </c>
      <c r="G62" s="15">
        <f ca="1">G7</f>
        <v>4.0000090803640961E-2</v>
      </c>
      <c r="H62" t="s">
        <v>18</v>
      </c>
    </row>
    <row r="63" spans="1:10" x14ac:dyDescent="0.25">
      <c r="F63" t="s">
        <v>17</v>
      </c>
      <c r="G63" s="15">
        <f ca="1">-G59</f>
        <v>-3.9999913904454606E-2</v>
      </c>
      <c r="H63" t="s">
        <v>18</v>
      </c>
    </row>
    <row r="64" spans="1:10" x14ac:dyDescent="0.25">
      <c r="D64">
        <f ca="1">10000000000*SUM(D8:D58)</f>
        <v>-2.0464988314436809E-5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Macro1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9525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calcular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Hoja1</vt:lpstr>
      <vt:lpstr>Hoja2</vt:lpstr>
      <vt:lpstr>Hoja3</vt:lpstr>
      <vt:lpstr>delta</vt:lpstr>
      <vt:lpstr>E</vt:lpstr>
      <vt:lpstr>I</vt:lpstr>
    </vt:vector>
  </TitlesOfParts>
  <Company>WindowsXP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XP</dc:creator>
  <cp:lastModifiedBy>User</cp:lastModifiedBy>
  <dcterms:created xsi:type="dcterms:W3CDTF">2010-05-04T01:33:20Z</dcterms:created>
  <dcterms:modified xsi:type="dcterms:W3CDTF">2014-11-18T15:18:54Z</dcterms:modified>
</cp:coreProperties>
</file>