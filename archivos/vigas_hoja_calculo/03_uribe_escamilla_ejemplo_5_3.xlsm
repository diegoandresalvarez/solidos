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alman\Desktop\vigas_clase\"/>
    </mc:Choice>
  </mc:AlternateContent>
  <bookViews>
    <workbookView xWindow="0" yWindow="0" windowWidth="21600" windowHeight="9630"/>
  </bookViews>
  <sheets>
    <sheet name="Hoja1" sheetId="1" r:id="rId1"/>
  </sheets>
  <functionGroups builtInGroupCount="18"/>
  <definedNames>
    <definedName name="delta">Hoja1!$B$1</definedName>
    <definedName name="E">Hoja1!$B$2</definedName>
    <definedName name="I">Hoja1!$B$3</definedName>
  </definedNames>
  <calcPr calcId="162913" calcMode="manual" iterate="1" iterateCount="3" iterateDelta="9.9999999999999995E-21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0" i="1" l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4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6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70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B3" i="1"/>
  <c r="C8" i="1"/>
  <c r="D9" i="1"/>
  <c r="E9" i="1"/>
  <c r="F9" i="1"/>
  <c r="G9" i="1"/>
  <c r="C10" i="1"/>
  <c r="D10" i="1"/>
  <c r="E10" i="1"/>
  <c r="F10" i="1"/>
  <c r="G10" i="1"/>
  <c r="C11" i="1"/>
  <c r="D11" i="1"/>
  <c r="E11" i="1"/>
  <c r="F11" i="1"/>
  <c r="G11" i="1"/>
  <c r="C12" i="1"/>
  <c r="D12" i="1"/>
  <c r="E12" i="1"/>
  <c r="F12" i="1"/>
  <c r="G12" i="1"/>
  <c r="C13" i="1"/>
  <c r="D13" i="1"/>
  <c r="E13" i="1"/>
  <c r="F13" i="1"/>
  <c r="G13" i="1"/>
  <c r="C14" i="1"/>
  <c r="D14" i="1"/>
  <c r="E14" i="1"/>
  <c r="F14" i="1"/>
  <c r="G14" i="1"/>
  <c r="C15" i="1"/>
  <c r="D15" i="1"/>
  <c r="E15" i="1"/>
  <c r="F15" i="1"/>
  <c r="G15" i="1"/>
  <c r="C16" i="1"/>
  <c r="D16" i="1"/>
  <c r="E16" i="1"/>
  <c r="F16" i="1"/>
  <c r="G16" i="1"/>
  <c r="C17" i="1"/>
  <c r="D17" i="1"/>
  <c r="E17" i="1"/>
  <c r="F17" i="1"/>
  <c r="G17" i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5" i="1"/>
  <c r="D25" i="1"/>
  <c r="E25" i="1"/>
  <c r="F25" i="1"/>
  <c r="G25" i="1"/>
  <c r="C26" i="1"/>
  <c r="D26" i="1"/>
  <c r="E26" i="1"/>
  <c r="F26" i="1"/>
  <c r="G26" i="1"/>
  <c r="C27" i="1"/>
  <c r="D27" i="1"/>
  <c r="E27" i="1"/>
  <c r="F27" i="1"/>
  <c r="G27" i="1"/>
  <c r="C28" i="1"/>
  <c r="D28" i="1"/>
  <c r="E28" i="1"/>
  <c r="F28" i="1"/>
  <c r="G28" i="1"/>
  <c r="C29" i="1"/>
  <c r="D29" i="1"/>
  <c r="E29" i="1"/>
  <c r="F29" i="1"/>
  <c r="G29" i="1"/>
  <c r="C30" i="1"/>
  <c r="D30" i="1"/>
  <c r="E30" i="1"/>
  <c r="F30" i="1"/>
  <c r="G30" i="1"/>
  <c r="C31" i="1"/>
  <c r="D31" i="1"/>
  <c r="E31" i="1"/>
  <c r="F31" i="1"/>
  <c r="G31" i="1"/>
  <c r="C32" i="1"/>
  <c r="D32" i="1"/>
  <c r="E32" i="1"/>
  <c r="F32" i="1"/>
  <c r="G32" i="1"/>
  <c r="C33" i="1"/>
  <c r="D33" i="1"/>
  <c r="E33" i="1"/>
  <c r="F33" i="1"/>
  <c r="G33" i="1"/>
  <c r="D34" i="1"/>
  <c r="E34" i="1"/>
  <c r="C35" i="1"/>
  <c r="D35" i="1"/>
  <c r="E35" i="1"/>
  <c r="F35" i="1"/>
  <c r="G35" i="1"/>
  <c r="C36" i="1"/>
  <c r="D36" i="1"/>
  <c r="E36" i="1"/>
  <c r="F36" i="1"/>
  <c r="G36" i="1"/>
  <c r="C37" i="1"/>
  <c r="D37" i="1"/>
  <c r="E37" i="1"/>
  <c r="F37" i="1"/>
  <c r="G37" i="1"/>
  <c r="C38" i="1"/>
  <c r="D38" i="1"/>
  <c r="E38" i="1"/>
  <c r="F38" i="1"/>
  <c r="G38" i="1"/>
  <c r="C39" i="1"/>
  <c r="D39" i="1"/>
  <c r="E39" i="1"/>
  <c r="F39" i="1"/>
  <c r="G39" i="1"/>
  <c r="C40" i="1"/>
  <c r="D40" i="1"/>
  <c r="E40" i="1"/>
  <c r="F40" i="1"/>
  <c r="G40" i="1"/>
  <c r="C41" i="1"/>
  <c r="D41" i="1"/>
  <c r="E41" i="1"/>
  <c r="F41" i="1"/>
  <c r="G41" i="1"/>
  <c r="C42" i="1"/>
  <c r="D42" i="1"/>
  <c r="E42" i="1"/>
  <c r="F42" i="1"/>
  <c r="G42" i="1"/>
  <c r="C43" i="1"/>
  <c r="D43" i="1"/>
  <c r="E43" i="1"/>
  <c r="F43" i="1"/>
  <c r="G43" i="1"/>
  <c r="C44" i="1"/>
  <c r="D44" i="1"/>
  <c r="E44" i="1"/>
  <c r="F44" i="1"/>
  <c r="G44" i="1"/>
  <c r="C45" i="1"/>
  <c r="D45" i="1"/>
  <c r="E45" i="1"/>
  <c r="F45" i="1"/>
  <c r="G45" i="1"/>
  <c r="C46" i="1"/>
  <c r="D46" i="1"/>
  <c r="E46" i="1"/>
  <c r="F46" i="1"/>
  <c r="G46" i="1"/>
  <c r="C47" i="1"/>
  <c r="D47" i="1"/>
  <c r="E47" i="1"/>
  <c r="F47" i="1"/>
  <c r="G47" i="1"/>
  <c r="C48" i="1"/>
  <c r="D48" i="1"/>
  <c r="E48" i="1"/>
  <c r="F48" i="1"/>
  <c r="G48" i="1"/>
  <c r="C49" i="1"/>
  <c r="D49" i="1"/>
  <c r="E49" i="1"/>
  <c r="F49" i="1"/>
  <c r="G49" i="1"/>
  <c r="C50" i="1"/>
  <c r="D50" i="1"/>
  <c r="E50" i="1"/>
  <c r="F50" i="1"/>
  <c r="G50" i="1"/>
  <c r="C51" i="1"/>
  <c r="D51" i="1"/>
  <c r="E51" i="1"/>
  <c r="F51" i="1"/>
  <c r="G51" i="1"/>
  <c r="C52" i="1"/>
  <c r="D52" i="1"/>
  <c r="E52" i="1"/>
  <c r="F52" i="1"/>
  <c r="G52" i="1"/>
  <c r="C53" i="1"/>
  <c r="D53" i="1"/>
  <c r="E53" i="1"/>
  <c r="F53" i="1"/>
  <c r="G53" i="1"/>
  <c r="C54" i="1"/>
  <c r="D54" i="1"/>
  <c r="E54" i="1"/>
  <c r="F54" i="1"/>
  <c r="G54" i="1"/>
  <c r="C55" i="1"/>
  <c r="D55" i="1"/>
  <c r="E55" i="1"/>
  <c r="F55" i="1"/>
  <c r="G55" i="1"/>
  <c r="D56" i="1"/>
  <c r="E56" i="1"/>
  <c r="C57" i="1"/>
  <c r="D57" i="1"/>
  <c r="E57" i="1"/>
  <c r="F57" i="1"/>
  <c r="G57" i="1"/>
  <c r="C58" i="1"/>
  <c r="D58" i="1"/>
  <c r="E58" i="1"/>
  <c r="F58" i="1"/>
  <c r="G58" i="1"/>
  <c r="C59" i="1"/>
  <c r="D59" i="1"/>
  <c r="E59" i="1"/>
  <c r="F59" i="1"/>
  <c r="G59" i="1"/>
  <c r="C60" i="1"/>
  <c r="D60" i="1"/>
  <c r="E60" i="1"/>
  <c r="F60" i="1"/>
  <c r="G60" i="1"/>
  <c r="C61" i="1"/>
  <c r="D61" i="1"/>
  <c r="E61" i="1"/>
  <c r="F61" i="1"/>
  <c r="G61" i="1"/>
  <c r="C62" i="1"/>
  <c r="D62" i="1"/>
  <c r="E62" i="1"/>
  <c r="F62" i="1"/>
  <c r="G62" i="1"/>
  <c r="C63" i="1"/>
  <c r="D63" i="1"/>
  <c r="E63" i="1"/>
  <c r="F63" i="1"/>
  <c r="G63" i="1"/>
  <c r="C64" i="1"/>
  <c r="D64" i="1"/>
  <c r="E64" i="1"/>
  <c r="F64" i="1"/>
  <c r="G64" i="1"/>
  <c r="C65" i="1"/>
  <c r="D65" i="1"/>
  <c r="E65" i="1"/>
  <c r="F65" i="1"/>
  <c r="G65" i="1"/>
  <c r="C66" i="1"/>
  <c r="D66" i="1"/>
  <c r="E66" i="1"/>
  <c r="F66" i="1"/>
  <c r="G66" i="1"/>
  <c r="C67" i="1"/>
  <c r="D67" i="1"/>
  <c r="E67" i="1"/>
  <c r="F67" i="1"/>
  <c r="G67" i="1"/>
  <c r="C68" i="1"/>
  <c r="D68" i="1"/>
  <c r="E68" i="1"/>
  <c r="F68" i="1"/>
  <c r="G68" i="1"/>
  <c r="C69" i="1"/>
  <c r="D69" i="1"/>
  <c r="E69" i="1"/>
  <c r="F69" i="1"/>
  <c r="G69" i="1"/>
  <c r="C70" i="1"/>
  <c r="D70" i="1"/>
  <c r="E70" i="1"/>
  <c r="C71" i="1"/>
  <c r="D71" i="1"/>
  <c r="E71" i="1"/>
  <c r="F71" i="1"/>
  <c r="G71" i="1"/>
  <c r="C72" i="1"/>
  <c r="D72" i="1"/>
  <c r="E72" i="1"/>
  <c r="F72" i="1"/>
  <c r="G72" i="1"/>
  <c r="C73" i="1"/>
  <c r="D73" i="1"/>
  <c r="E73" i="1"/>
  <c r="F73" i="1"/>
  <c r="G73" i="1"/>
  <c r="C74" i="1"/>
  <c r="D74" i="1"/>
  <c r="E74" i="1"/>
  <c r="F74" i="1"/>
  <c r="G74" i="1"/>
  <c r="C75" i="1"/>
  <c r="D75" i="1"/>
  <c r="E75" i="1"/>
  <c r="F75" i="1"/>
  <c r="G75" i="1"/>
  <c r="C76" i="1"/>
  <c r="D76" i="1"/>
  <c r="E76" i="1"/>
  <c r="F76" i="1"/>
  <c r="G76" i="1"/>
  <c r="C77" i="1"/>
  <c r="D77" i="1"/>
  <c r="E77" i="1"/>
  <c r="F77" i="1"/>
  <c r="G77" i="1"/>
  <c r="C78" i="1"/>
  <c r="D78" i="1"/>
  <c r="E78" i="1"/>
  <c r="F78" i="1"/>
  <c r="G78" i="1"/>
  <c r="C79" i="1"/>
  <c r="D79" i="1"/>
  <c r="E79" i="1"/>
  <c r="F79" i="1"/>
  <c r="G79" i="1"/>
  <c r="C80" i="1"/>
  <c r="D80" i="1"/>
  <c r="E80" i="1"/>
  <c r="F80" i="1"/>
  <c r="G80" i="1"/>
  <c r="C81" i="1"/>
  <c r="D81" i="1"/>
  <c r="E81" i="1"/>
  <c r="F81" i="1"/>
  <c r="G81" i="1"/>
  <c r="C82" i="1"/>
  <c r="D82" i="1"/>
  <c r="E82" i="1"/>
  <c r="F82" i="1"/>
  <c r="G82" i="1"/>
  <c r="D83" i="1"/>
  <c r="E83" i="1"/>
  <c r="F83" i="1"/>
  <c r="G83" i="1"/>
  <c r="C84" i="1"/>
</calcChain>
</file>

<file path=xl/sharedStrings.xml><?xml version="1.0" encoding="utf-8"?>
<sst xmlns="http://schemas.openxmlformats.org/spreadsheetml/2006/main" count="13" uniqueCount="12">
  <si>
    <t xml:space="preserve">delta = </t>
  </si>
  <si>
    <t>m</t>
  </si>
  <si>
    <t>E =</t>
  </si>
  <si>
    <t>Pa</t>
  </si>
  <si>
    <t xml:space="preserve">I = </t>
  </si>
  <si>
    <t>m^4</t>
  </si>
  <si>
    <t>Eje X</t>
  </si>
  <si>
    <t>q(x) [N/m]</t>
  </si>
  <si>
    <t>v(x) [m]</t>
  </si>
  <si>
    <t>M(x) [N*m]</t>
  </si>
  <si>
    <t>V(x) [N]</t>
  </si>
  <si>
    <t>theta(x) [rad]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</si>
</sst>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1" fontId="0" fillId="0" borderId="0" xfId="0" applyNumberFormat="1"/>
    <xf numFmtId="0" fontId="1" fillId="0" borderId="0" xfId="0" applyFont="1" applyAlignment="1">
      <alignment horizontal="center"/>
    </xf>
    <xf numFmtId="2" fontId="0" fillId="0" borderId="0" xfId="0" applyNumberFormat="1"/>
    <xf numFmtId="16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2" fontId="0" fillId="3" borderId="0" xfId="0" applyNumberFormat="1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Hoja1!$A$9:$A$83</c:f>
              <c:numCache>
                <c:formatCode>0.00</c:formatCode>
                <c:ptCount val="7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 formatCode="0,000">
                  <c:v>5.9989999999999997</c:v>
                </c:pt>
                <c:pt idx="25">
                  <c:v>6</c:v>
                </c:pt>
                <c:pt idx="26" formatCode="0,000">
                  <c:v>6.0010000000000003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  <c:pt idx="43">
                  <c:v>10.25</c:v>
                </c:pt>
                <c:pt idx="44">
                  <c:v>10.5</c:v>
                </c:pt>
                <c:pt idx="45">
                  <c:v>10.75</c:v>
                </c:pt>
                <c:pt idx="46" formatCode="0,000">
                  <c:v>10.999000000000001</c:v>
                </c:pt>
                <c:pt idx="47">
                  <c:v>11</c:v>
                </c:pt>
                <c:pt idx="48" formatCode="0,000">
                  <c:v>11.000999999999999</c:v>
                </c:pt>
                <c:pt idx="49">
                  <c:v>11.25</c:v>
                </c:pt>
                <c:pt idx="50">
                  <c:v>11.5</c:v>
                </c:pt>
                <c:pt idx="51">
                  <c:v>11.75</c:v>
                </c:pt>
                <c:pt idx="52">
                  <c:v>12</c:v>
                </c:pt>
                <c:pt idx="53">
                  <c:v>12.25</c:v>
                </c:pt>
                <c:pt idx="54">
                  <c:v>12.5</c:v>
                </c:pt>
                <c:pt idx="55">
                  <c:v>12.75</c:v>
                </c:pt>
                <c:pt idx="56">
                  <c:v>13</c:v>
                </c:pt>
                <c:pt idx="57">
                  <c:v>13.25</c:v>
                </c:pt>
                <c:pt idx="58">
                  <c:v>13.5</c:v>
                </c:pt>
                <c:pt idx="59">
                  <c:v>13.75</c:v>
                </c:pt>
                <c:pt idx="60" formatCode="0,000">
                  <c:v>13.999000000000001</c:v>
                </c:pt>
                <c:pt idx="61">
                  <c:v>14</c:v>
                </c:pt>
                <c:pt idx="62" formatCode="0,000">
                  <c:v>14.000999999999999</c:v>
                </c:pt>
                <c:pt idx="63">
                  <c:v>14.25</c:v>
                </c:pt>
                <c:pt idx="64">
                  <c:v>14.5</c:v>
                </c:pt>
                <c:pt idx="65">
                  <c:v>14.75</c:v>
                </c:pt>
                <c:pt idx="66">
                  <c:v>15</c:v>
                </c:pt>
                <c:pt idx="67">
                  <c:v>15.25</c:v>
                </c:pt>
                <c:pt idx="68">
                  <c:v>15.5</c:v>
                </c:pt>
                <c:pt idx="69">
                  <c:v>15.75</c:v>
                </c:pt>
                <c:pt idx="70">
                  <c:v>16</c:v>
                </c:pt>
                <c:pt idx="71">
                  <c:v>16.25</c:v>
                </c:pt>
                <c:pt idx="72">
                  <c:v>16.5</c:v>
                </c:pt>
                <c:pt idx="73">
                  <c:v>16.75</c:v>
                </c:pt>
                <c:pt idx="74">
                  <c:v>17</c:v>
                </c:pt>
              </c:numCache>
            </c:numRef>
          </c:xVal>
          <c:yVal>
            <c:numRef>
              <c:f>Hoja1!$C$9:$C$83</c:f>
              <c:numCache>
                <c:formatCode>General</c:formatCode>
                <c:ptCount val="75"/>
                <c:pt idx="0">
                  <c:v>0</c:v>
                </c:pt>
                <c:pt idx="1">
                  <c:v>-2.9745769226650134E-6</c:v>
                </c:pt>
                <c:pt idx="2">
                  <c:v>-1.0471326514886152E-5</c:v>
                </c:pt>
                <c:pt idx="3">
                  <c:v>-2.1187275537397453E-5</c:v>
                </c:pt>
                <c:pt idx="4">
                  <c:v>-3.3943458687440871E-5</c:v>
                </c:pt>
                <c:pt idx="5">
                  <c:v>-4.768491859876628E-5</c:v>
                </c:pt>
                <c:pt idx="6">
                  <c:v>-6.1480705841631468E-5</c:v>
                </c:pt>
                <c:pt idx="7">
                  <c:v>-7.4523878922802138E-5</c:v>
                </c:pt>
                <c:pt idx="8">
                  <c:v>-8.6131504285551853E-5</c:v>
                </c:pt>
                <c:pt idx="9">
                  <c:v>-9.5744656309662064E-5</c:v>
                </c:pt>
                <c:pt idx="10">
                  <c:v>-1.029284173114221E-4</c:v>
                </c:pt>
                <c:pt idx="11">
                  <c:v>-1.0737187754362911E-4</c:v>
                </c:pt>
                <c:pt idx="12">
                  <c:v>-1.088881351955881E-4</c:v>
                </c:pt>
                <c:pt idx="13">
                  <c:v>-1.0741429639311196E-4</c:v>
                </c:pt>
                <c:pt idx="14">
                  <c:v>-1.0301147519852141E-4</c:v>
                </c:pt>
                <c:pt idx="15">
                  <c:v>-9.586479361064503E-5</c:v>
                </c:pt>
                <c:pt idx="16">
                  <c:v>-8.6283381564819251E-5</c:v>
                </c:pt>
                <c:pt idx="17">
                  <c:v>-7.470037693288833E-5</c:v>
                </c:pt>
                <c:pt idx="18">
                  <c:v>-6.1672925523204437E-5</c:v>
                </c:pt>
                <c:pt idx="19">
                  <c:v>-4.7882181080627537E-5</c:v>
                </c:pt>
                <c:pt idx="20">
                  <c:v>-3.413330528652549E-5</c:v>
                </c:pt>
                <c:pt idx="21">
                  <c:v>-2.1355467758774071E-5</c:v>
                </c:pt>
                <c:pt idx="22">
                  <c:v>-1.0601846051756966E-5</c:v>
                </c:pt>
                <c:pt idx="23">
                  <c:v>-3.0496256563657678E-6</c:v>
                </c:pt>
                <c:pt idx="24">
                  <c:v>-1.3817044756498861E-9</c:v>
                </c:pt>
                <c:pt idx="25">
                  <c:v>0</c:v>
                </c:pt>
                <c:pt idx="26">
                  <c:v>-8.489356422155224E-10</c:v>
                </c:pt>
                <c:pt idx="27">
                  <c:v>-2.878170446567119E-6</c:v>
                </c:pt>
                <c:pt idx="28">
                  <c:v>-1.0049980603719786E-5</c:v>
                </c:pt>
                <c:pt idx="29">
                  <c:v>-2.0046617994454578E-5</c:v>
                </c:pt>
                <c:pt idx="30">
                  <c:v>-3.1564614057111987E-5</c:v>
                </c:pt>
                <c:pt idx="31">
                  <c:v>-4.3465844145376421E-5</c:v>
                </c:pt>
                <c:pt idx="32">
                  <c:v>-5.4777527528276224E-5</c:v>
                </c:pt>
                <c:pt idx="33">
                  <c:v>-6.4692227390183665E-5</c:v>
                </c:pt>
                <c:pt idx="34">
                  <c:v>-7.2567850830814953E-5</c:v>
                </c:pt>
                <c:pt idx="35">
                  <c:v>-7.7927648865230197E-5</c:v>
                </c:pt>
                <c:pt idx="36">
                  <c:v>-8.0460216423833416E-5</c:v>
                </c:pt>
                <c:pt idx="37">
                  <c:v>-8.0019492352372597E-5</c:v>
                </c:pt>
                <c:pt idx="38">
                  <c:v>-7.6624759411939627E-5</c:v>
                </c:pt>
                <c:pt idx="39">
                  <c:v>-7.0460644278970316E-5</c:v>
                </c:pt>
                <c:pt idx="40">
                  <c:v>-6.187711754524443E-5</c:v>
                </c:pt>
                <c:pt idx="41">
                  <c:v>-5.1389493717885604E-5</c:v>
                </c:pt>
                <c:pt idx="42">
                  <c:v>-3.9678431219361429E-5</c:v>
                </c:pt>
                <c:pt idx="43">
                  <c:v>-2.7589932387483407E-5</c:v>
                </c:pt>
                <c:pt idx="44">
                  <c:v>-1.6135343475406951E-5</c:v>
                </c:pt>
                <c:pt idx="45">
                  <c:v>-6.4913546516313997E-6</c:v>
                </c:pt>
                <c:pt idx="46">
                  <c:v>-1.7742580477750022E-8</c:v>
                </c:pt>
                <c:pt idx="47">
                  <c:v>0</c:v>
                </c:pt>
                <c:pt idx="48">
                  <c:v>1.6138406314381704E-8</c:v>
                </c:pt>
                <c:pt idx="49">
                  <c:v>1.8313424803000873E-6</c:v>
                </c:pt>
                <c:pt idx="50">
                  <c:v>-2.927541593977271E-7</c:v>
                </c:pt>
                <c:pt idx="51">
                  <c:v>-5.6677168677600319E-6</c:v>
                </c:pt>
                <c:pt idx="52">
                  <c:v>-1.3588972593453416E-5</c:v>
                </c:pt>
                <c:pt idx="53">
                  <c:v>-2.3351948285144464E-5</c:v>
                </c:pt>
                <c:pt idx="54">
                  <c:v>-3.4252070891499753E-5</c:v>
                </c:pt>
                <c:pt idx="55">
                  <c:v>-4.5584767361185847E-5</c:v>
                </c:pt>
                <c:pt idx="56">
                  <c:v>-5.6645464642869269E-5</c:v>
                </c:pt>
                <c:pt idx="57">
                  <c:v>-6.67295896852165E-5</c:v>
                </c:pt>
                <c:pt idx="58">
                  <c:v>-7.5132569436893985E-5</c:v>
                </c:pt>
                <c:pt idx="59">
                  <c:v>-8.1149830846568118E-5</c:v>
                </c:pt>
                <c:pt idx="60">
                  <c:v>-8.4072182644961578E-5</c:v>
                </c:pt>
                <c:pt idx="61">
                  <c:v>-8.4076800862905248E-5</c:v>
                </c:pt>
                <c:pt idx="62">
                  <c:v>-8.4080476542911815E-5</c:v>
                </c:pt>
                <c:pt idx="63">
                  <c:v>-8.3208906434571655E-5</c:v>
                </c:pt>
                <c:pt idx="64">
                  <c:v>-7.9164325832984864E-5</c:v>
                </c:pt>
                <c:pt idx="65">
                  <c:v>-7.2561237329562278E-5</c:v>
                </c:pt>
                <c:pt idx="66">
                  <c:v>-6.4017819195721302E-5</c:v>
                </c:pt>
                <c:pt idx="67">
                  <c:v>-5.4152249702879256E-5</c:v>
                </c:pt>
                <c:pt idx="68">
                  <c:v>-4.3582707122453369E-5</c:v>
                </c:pt>
                <c:pt idx="69">
                  <c:v>-3.2927369725860867E-5</c:v>
                </c:pt>
                <c:pt idx="70">
                  <c:v>-2.280441578451894E-5</c:v>
                </c:pt>
                <c:pt idx="71">
                  <c:v>-1.3832023569844748E-5</c:v>
                </c:pt>
                <c:pt idx="72">
                  <c:v>-6.6283713532554377E-6</c:v>
                </c:pt>
                <c:pt idx="73">
                  <c:v>-1.8116374061681431E-6</c:v>
                </c:pt>
                <c:pt idx="7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33-4170-ABAB-0E6C3B068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6614112"/>
        <c:axId val="1046617856"/>
      </c:scatterChart>
      <c:valAx>
        <c:axId val="104661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17856"/>
        <c:crosses val="autoZero"/>
        <c:crossBetween val="midCat"/>
      </c:valAx>
      <c:valAx>
        <c:axId val="104661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v(x)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14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Hoja1!$A$9:$A$83</c:f>
              <c:numCache>
                <c:formatCode>0.00</c:formatCode>
                <c:ptCount val="7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 formatCode="0,000">
                  <c:v>5.9989999999999997</c:v>
                </c:pt>
                <c:pt idx="25">
                  <c:v>6</c:v>
                </c:pt>
                <c:pt idx="26" formatCode="0,000">
                  <c:v>6.0010000000000003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  <c:pt idx="43">
                  <c:v>10.25</c:v>
                </c:pt>
                <c:pt idx="44">
                  <c:v>10.5</c:v>
                </c:pt>
                <c:pt idx="45">
                  <c:v>10.75</c:v>
                </c:pt>
                <c:pt idx="46" formatCode="0,000">
                  <c:v>10.999000000000001</c:v>
                </c:pt>
                <c:pt idx="47">
                  <c:v>11</c:v>
                </c:pt>
                <c:pt idx="48" formatCode="0,000">
                  <c:v>11.000999999999999</c:v>
                </c:pt>
                <c:pt idx="49">
                  <c:v>11.25</c:v>
                </c:pt>
                <c:pt idx="50">
                  <c:v>11.5</c:v>
                </c:pt>
                <c:pt idx="51">
                  <c:v>11.75</c:v>
                </c:pt>
                <c:pt idx="52">
                  <c:v>12</c:v>
                </c:pt>
                <c:pt idx="53">
                  <c:v>12.25</c:v>
                </c:pt>
                <c:pt idx="54">
                  <c:v>12.5</c:v>
                </c:pt>
                <c:pt idx="55">
                  <c:v>12.75</c:v>
                </c:pt>
                <c:pt idx="56">
                  <c:v>13</c:v>
                </c:pt>
                <c:pt idx="57">
                  <c:v>13.25</c:v>
                </c:pt>
                <c:pt idx="58">
                  <c:v>13.5</c:v>
                </c:pt>
                <c:pt idx="59">
                  <c:v>13.75</c:v>
                </c:pt>
                <c:pt idx="60" formatCode="0,000">
                  <c:v>13.999000000000001</c:v>
                </c:pt>
                <c:pt idx="61">
                  <c:v>14</c:v>
                </c:pt>
                <c:pt idx="62" formatCode="0,000">
                  <c:v>14.000999999999999</c:v>
                </c:pt>
                <c:pt idx="63">
                  <c:v>14.25</c:v>
                </c:pt>
                <c:pt idx="64">
                  <c:v>14.5</c:v>
                </c:pt>
                <c:pt idx="65">
                  <c:v>14.75</c:v>
                </c:pt>
                <c:pt idx="66">
                  <c:v>15</c:v>
                </c:pt>
                <c:pt idx="67">
                  <c:v>15.25</c:v>
                </c:pt>
                <c:pt idx="68">
                  <c:v>15.5</c:v>
                </c:pt>
                <c:pt idx="69">
                  <c:v>15.75</c:v>
                </c:pt>
                <c:pt idx="70">
                  <c:v>16</c:v>
                </c:pt>
                <c:pt idx="71">
                  <c:v>16.25</c:v>
                </c:pt>
                <c:pt idx="72">
                  <c:v>16.5</c:v>
                </c:pt>
                <c:pt idx="73">
                  <c:v>16.75</c:v>
                </c:pt>
                <c:pt idx="74">
                  <c:v>17</c:v>
                </c:pt>
              </c:numCache>
            </c:numRef>
          </c:xVal>
          <c:yVal>
            <c:numRef>
              <c:f>Hoja1!$D$9:$D$83</c:f>
              <c:numCache>
                <c:formatCode>General</c:formatCode>
                <c:ptCount val="75"/>
                <c:pt idx="0">
                  <c:v>0</c:v>
                </c:pt>
                <c:pt idx="1">
                  <c:v>-2.0942653029772303E-5</c:v>
                </c:pt>
                <c:pt idx="2">
                  <c:v>-3.6425397229464875E-5</c:v>
                </c:pt>
                <c:pt idx="3">
                  <c:v>-4.6944264345109438E-5</c:v>
                </c:pt>
                <c:pt idx="4">
                  <c:v>-5.2995286122737655E-5</c:v>
                </c:pt>
                <c:pt idx="5">
                  <c:v>-5.5074494308381196E-5</c:v>
                </c:pt>
                <c:pt idx="6">
                  <c:v>-5.3677920648071716E-5</c:v>
                </c:pt>
                <c:pt idx="7">
                  <c:v>-4.930159688784077E-5</c:v>
                </c:pt>
                <c:pt idx="8">
                  <c:v>-4.2441554773719851E-5</c:v>
                </c:pt>
                <c:pt idx="9">
                  <c:v>-3.3593826051740494E-5</c:v>
                </c:pt>
                <c:pt idx="10">
                  <c:v>-2.3254442467934096E-5</c:v>
                </c:pt>
                <c:pt idx="11">
                  <c:v>-1.1919435768332001E-5</c:v>
                </c:pt>
                <c:pt idx="12">
                  <c:v>-8.4837698965690165E-8</c:v>
                </c:pt>
                <c:pt idx="13">
                  <c:v>1.1753319994133385E-5</c:v>
                </c:pt>
                <c:pt idx="14">
                  <c:v>2.3099005564933853E-5</c:v>
                </c:pt>
                <c:pt idx="15">
                  <c:v>3.3456187267404315E-5</c:v>
                </c:pt>
                <c:pt idx="16">
                  <c:v>4.23288333555134E-5</c:v>
                </c:pt>
                <c:pt idx="17">
                  <c:v>4.9220912083229628E-5</c:v>
                </c:pt>
                <c:pt idx="18">
                  <c:v>5.3636391704521588E-5</c:v>
                </c:pt>
                <c:pt idx="19">
                  <c:v>5.5079240473357893E-5</c:v>
                </c:pt>
                <c:pt idx="20">
                  <c:v>5.3053426643706931E-5</c:v>
                </c:pt>
                <c:pt idx="21">
                  <c:v>4.706291846953705E-5</c:v>
                </c:pt>
                <c:pt idx="22">
                  <c:v>3.6611684204816609E-5</c:v>
                </c:pt>
                <c:pt idx="23">
                  <c:v>2.1203692103513931E-5</c:v>
                </c:pt>
                <c:pt idx="24">
                  <c:v>4.378729158800238E-7</c:v>
                </c:pt>
                <c:pt idx="25">
                  <c:v>3.4291041959729749E-7</c:v>
                </c:pt>
                <c:pt idx="26">
                  <c:v>2.4790015484904223E-7</c:v>
                </c:pt>
                <c:pt idx="27">
                  <c:v>-2.0099961207439572E-5</c:v>
                </c:pt>
                <c:pt idx="28">
                  <c:v>-3.4336895095774916E-5</c:v>
                </c:pt>
                <c:pt idx="29">
                  <c:v>-4.3029266906784405E-5</c:v>
                </c:pt>
                <c:pt idx="30">
                  <c:v>-4.6838452301843685E-5</c:v>
                </c:pt>
                <c:pt idx="31">
                  <c:v>-4.6425826942328473E-5</c:v>
                </c:pt>
                <c:pt idx="32">
                  <c:v>-4.2452766489614488E-5</c:v>
                </c:pt>
                <c:pt idx="33">
                  <c:v>-3.5580646605077459E-5</c:v>
                </c:pt>
                <c:pt idx="34">
                  <c:v>-2.6470842950093064E-5</c:v>
                </c:pt>
                <c:pt idx="35">
                  <c:v>-1.5784731186036926E-5</c:v>
                </c:pt>
                <c:pt idx="36">
                  <c:v>-4.1836869742848011E-6</c:v>
                </c:pt>
                <c:pt idx="37">
                  <c:v>7.6709140237875783E-6</c:v>
                </c:pt>
                <c:pt idx="38">
                  <c:v>1.9117696146804563E-5</c:v>
                </c:pt>
                <c:pt idx="39">
                  <c:v>2.9495283733390395E-5</c:v>
                </c:pt>
                <c:pt idx="40">
                  <c:v>3.8142301122169424E-5</c:v>
                </c:pt>
                <c:pt idx="41">
                  <c:v>4.4397372651766001E-5</c:v>
                </c:pt>
                <c:pt idx="42">
                  <c:v>4.7599122660804395E-5</c:v>
                </c:pt>
                <c:pt idx="43">
                  <c:v>4.7086175487908957E-5</c:v>
                </c:pt>
                <c:pt idx="44">
                  <c:v>4.2197155471704015E-5</c:v>
                </c:pt>
                <c:pt idx="45">
                  <c:v>3.2270686950813902E-5</c:v>
                </c:pt>
                <c:pt idx="46">
                  <c:v>1.6720124042614087E-5</c:v>
                </c:pt>
                <c:pt idx="47">
                  <c:v>1.6645394263862972E-5</c:v>
                </c:pt>
                <c:pt idx="48">
                  <c:v>1.6570856615459371E-5</c:v>
                </c:pt>
                <c:pt idx="49">
                  <c:v>-5.8550831879545419E-7</c:v>
                </c:pt>
                <c:pt idx="50">
                  <c:v>-1.4998118696120239E-5</c:v>
                </c:pt>
                <c:pt idx="51">
                  <c:v>-2.6592436868111377E-5</c:v>
                </c:pt>
                <c:pt idx="52">
                  <c:v>-3.536846283476886E-5</c:v>
                </c:pt>
                <c:pt idx="53">
                  <c:v>-4.1326196596092674E-5</c:v>
                </c:pt>
                <c:pt idx="54">
                  <c:v>-4.4465638152082767E-5</c:v>
                </c:pt>
                <c:pt idx="55">
                  <c:v>-4.4786787502739032E-5</c:v>
                </c:pt>
                <c:pt idx="56">
                  <c:v>-4.2289644648061306E-5</c:v>
                </c:pt>
                <c:pt idx="57">
                  <c:v>-3.6974209588049432E-5</c:v>
                </c:pt>
                <c:pt idx="58">
                  <c:v>-2.8840482322703236E-5</c:v>
                </c:pt>
                <c:pt idx="59">
                  <c:v>-1.7888462852022526E-5</c:v>
                </c:pt>
                <c:pt idx="60">
                  <c:v>-4.1788464607842095E-6</c:v>
                </c:pt>
                <c:pt idx="61">
                  <c:v>-4.1181511760070733E-6</c:v>
                </c:pt>
                <c:pt idx="62">
                  <c:v>-4.0574531265968509E-6</c:v>
                </c:pt>
                <c:pt idx="63">
                  <c:v>9.8249500598407685E-6</c:v>
                </c:pt>
                <c:pt idx="64">
                  <c:v>2.1295338210018753E-5</c:v>
                </c:pt>
                <c:pt idx="65">
                  <c:v>3.0293013274527124E-5</c:v>
                </c:pt>
                <c:pt idx="66">
                  <c:v>3.6817975253366044E-5</c:v>
                </c:pt>
                <c:pt idx="67">
                  <c:v>4.0870224146535866E-5</c:v>
                </c:pt>
                <c:pt idx="68">
                  <c:v>4.2449759954036779E-5</c:v>
                </c:pt>
                <c:pt idx="69">
                  <c:v>4.1556582675868858E-5</c:v>
                </c:pt>
                <c:pt idx="70">
                  <c:v>3.8190692312032238E-5</c:v>
                </c:pt>
                <c:pt idx="71">
                  <c:v>3.2352088862527001E-5</c:v>
                </c:pt>
                <c:pt idx="72">
                  <c:v>2.4040772327353208E-5</c:v>
                </c:pt>
                <c:pt idx="73">
                  <c:v>1.3256742706510875E-5</c:v>
                </c:pt>
                <c:pt idx="7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AD-4427-99FB-E04CA30A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6614112"/>
        <c:axId val="1046617856"/>
      </c:scatterChart>
      <c:valAx>
        <c:axId val="104661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17856"/>
        <c:crosses val="autoZero"/>
        <c:crossBetween val="midCat"/>
      </c:valAx>
      <c:valAx>
        <c:axId val="104661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theta(x) [rad]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14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Hoja1!$A$9:$A$83</c:f>
              <c:numCache>
                <c:formatCode>0.00</c:formatCode>
                <c:ptCount val="7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 formatCode="0,000">
                  <c:v>5.9989999999999997</c:v>
                </c:pt>
                <c:pt idx="25">
                  <c:v>6</c:v>
                </c:pt>
                <c:pt idx="26" formatCode="0,000">
                  <c:v>6.0010000000000003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  <c:pt idx="43">
                  <c:v>10.25</c:v>
                </c:pt>
                <c:pt idx="44">
                  <c:v>10.5</c:v>
                </c:pt>
                <c:pt idx="45">
                  <c:v>10.75</c:v>
                </c:pt>
                <c:pt idx="46" formatCode="0,000">
                  <c:v>10.999000000000001</c:v>
                </c:pt>
                <c:pt idx="47">
                  <c:v>11</c:v>
                </c:pt>
                <c:pt idx="48" formatCode="0,000">
                  <c:v>11.000999999999999</c:v>
                </c:pt>
                <c:pt idx="49">
                  <c:v>11.25</c:v>
                </c:pt>
                <c:pt idx="50">
                  <c:v>11.5</c:v>
                </c:pt>
                <c:pt idx="51">
                  <c:v>11.75</c:v>
                </c:pt>
                <c:pt idx="52">
                  <c:v>12</c:v>
                </c:pt>
                <c:pt idx="53">
                  <c:v>12.25</c:v>
                </c:pt>
                <c:pt idx="54">
                  <c:v>12.5</c:v>
                </c:pt>
                <c:pt idx="55">
                  <c:v>12.75</c:v>
                </c:pt>
                <c:pt idx="56">
                  <c:v>13</c:v>
                </c:pt>
                <c:pt idx="57">
                  <c:v>13.25</c:v>
                </c:pt>
                <c:pt idx="58">
                  <c:v>13.5</c:v>
                </c:pt>
                <c:pt idx="59">
                  <c:v>13.75</c:v>
                </c:pt>
                <c:pt idx="60" formatCode="0,000">
                  <c:v>13.999000000000001</c:v>
                </c:pt>
                <c:pt idx="61">
                  <c:v>14</c:v>
                </c:pt>
                <c:pt idx="62" formatCode="0,000">
                  <c:v>14.000999999999999</c:v>
                </c:pt>
                <c:pt idx="63">
                  <c:v>14.25</c:v>
                </c:pt>
                <c:pt idx="64">
                  <c:v>14.5</c:v>
                </c:pt>
                <c:pt idx="65">
                  <c:v>14.75</c:v>
                </c:pt>
                <c:pt idx="66">
                  <c:v>15</c:v>
                </c:pt>
                <c:pt idx="67">
                  <c:v>15.25</c:v>
                </c:pt>
                <c:pt idx="68">
                  <c:v>15.5</c:v>
                </c:pt>
                <c:pt idx="69">
                  <c:v>15.75</c:v>
                </c:pt>
                <c:pt idx="70">
                  <c:v>16</c:v>
                </c:pt>
                <c:pt idx="71">
                  <c:v>16.25</c:v>
                </c:pt>
                <c:pt idx="72">
                  <c:v>16.5</c:v>
                </c:pt>
                <c:pt idx="73">
                  <c:v>16.75</c:v>
                </c:pt>
                <c:pt idx="74">
                  <c:v>17</c:v>
                </c:pt>
              </c:numCache>
            </c:numRef>
          </c:xVal>
          <c:yVal>
            <c:numRef>
              <c:f>Hoja1!$E$9:$E$83</c:f>
              <c:numCache>
                <c:formatCode>General</c:formatCode>
                <c:ptCount val="75"/>
                <c:pt idx="0">
                  <c:v>-4497.5603070695006</c:v>
                </c:pt>
                <c:pt idx="1">
                  <c:v>-3418.7625381844309</c:v>
                </c:pt>
                <c:pt idx="2">
                  <c:v>-2433.7147692993631</c:v>
                </c:pt>
                <c:pt idx="3">
                  <c:v>-1542.4170004142809</c:v>
                </c:pt>
                <c:pt idx="4">
                  <c:v>-744.86923152918553</c:v>
                </c:pt>
                <c:pt idx="5">
                  <c:v>-41.071462644073044</c:v>
                </c:pt>
                <c:pt idx="6">
                  <c:v>568.97630624105648</c:v>
                </c:pt>
                <c:pt idx="7">
                  <c:v>1085.2740751262413</c:v>
                </c:pt>
                <c:pt idx="8">
                  <c:v>1507.8218440114663</c:v>
                </c:pt>
                <c:pt idx="9">
                  <c:v>1836.6196128967313</c:v>
                </c:pt>
                <c:pt idx="10">
                  <c:v>2071.6673817820879</c:v>
                </c:pt>
                <c:pt idx="11">
                  <c:v>2212.9651506675045</c:v>
                </c:pt>
                <c:pt idx="12">
                  <c:v>2260.5129195529616</c:v>
                </c:pt>
                <c:pt idx="13">
                  <c:v>2214.3106884384893</c:v>
                </c:pt>
                <c:pt idx="14">
                  <c:v>2074.3584573240882</c:v>
                </c:pt>
                <c:pt idx="15">
                  <c:v>1840.6562262097473</c:v>
                </c:pt>
                <c:pt idx="16">
                  <c:v>1513.2039950954875</c:v>
                </c:pt>
                <c:pt idx="17">
                  <c:v>1092.0017639812472</c:v>
                </c:pt>
                <c:pt idx="18">
                  <c:v>577.04953286711884</c:v>
                </c:pt>
                <c:pt idx="19">
                  <c:v>-31.652698246989978</c:v>
                </c:pt>
                <c:pt idx="20">
                  <c:v>-734.10492936107414</c:v>
                </c:pt>
                <c:pt idx="21">
                  <c:v>-1530.3071604751387</c:v>
                </c:pt>
                <c:pt idx="22">
                  <c:v>-2420.2593915891862</c:v>
                </c:pt>
                <c:pt idx="23">
                  <c:v>-3403.9616227032257</c:v>
                </c:pt>
                <c:pt idx="24">
                  <c:v>-4476.9172948928117</c:v>
                </c:pt>
                <c:pt idx="25">
                  <c:v>-4481.4138538172638</c:v>
                </c:pt>
                <c:pt idx="26">
                  <c:v>-4476.2231648868074</c:v>
                </c:pt>
                <c:pt idx="27">
                  <c:v>-3245.9916212026747</c:v>
                </c:pt>
                <c:pt idx="28">
                  <c:v>-2135.5693885880869</c:v>
                </c:pt>
                <c:pt idx="29">
                  <c:v>-1150.147155973498</c:v>
                </c:pt>
                <c:pt idx="30">
                  <c:v>-289.72492335891121</c:v>
                </c:pt>
                <c:pt idx="31">
                  <c:v>445.6973092556612</c:v>
                </c:pt>
                <c:pt idx="32">
                  <c:v>1056.1195418702255</c:v>
                </c:pt>
                <c:pt idx="33">
                  <c:v>1541.5417744847716</c:v>
                </c:pt>
                <c:pt idx="34">
                  <c:v>1901.9640070993303</c:v>
                </c:pt>
                <c:pt idx="35">
                  <c:v>2137.386239713891</c:v>
                </c:pt>
                <c:pt idx="36">
                  <c:v>2247.8084723284128</c:v>
                </c:pt>
                <c:pt idx="37">
                  <c:v>2233.2307049429473</c:v>
                </c:pt>
                <c:pt idx="38">
                  <c:v>2093.6529375574737</c:v>
                </c:pt>
                <c:pt idx="39">
                  <c:v>1829.0751701719714</c:v>
                </c:pt>
                <c:pt idx="40">
                  <c:v>1439.4974027865021</c:v>
                </c:pt>
                <c:pt idx="41">
                  <c:v>924.91963540100437</c:v>
                </c:pt>
                <c:pt idx="42">
                  <c:v>285.34186801550879</c:v>
                </c:pt>
                <c:pt idx="43">
                  <c:v>-479.23589936998462</c:v>
                </c:pt>
                <c:pt idx="44">
                  <c:v>-1368.8136667554834</c:v>
                </c:pt>
                <c:pt idx="45">
                  <c:v>-2383.3914341409791</c:v>
                </c:pt>
                <c:pt idx="46">
                  <c:v>-3518.1618904569114</c:v>
                </c:pt>
                <c:pt idx="47">
                  <c:v>-3522.9692015264727</c:v>
                </c:pt>
                <c:pt idx="48">
                  <c:v>-3520.83857261924</c:v>
                </c:pt>
                <c:pt idx="49">
                  <c:v>-2990.3119747184141</c:v>
                </c:pt>
                <c:pt idx="50">
                  <c:v>-2457.6547479103551</c:v>
                </c:pt>
                <c:pt idx="51">
                  <c:v>-1924.9975211022961</c:v>
                </c:pt>
                <c:pt idx="52">
                  <c:v>-1392.3402942942344</c:v>
                </c:pt>
                <c:pt idx="53">
                  <c:v>-859.68306748616624</c:v>
                </c:pt>
                <c:pt idx="54">
                  <c:v>-327.02584067808925</c:v>
                </c:pt>
                <c:pt idx="55">
                  <c:v>205.6313861300211</c:v>
                </c:pt>
                <c:pt idx="56">
                  <c:v>738.28861293815964</c:v>
                </c:pt>
                <c:pt idx="57">
                  <c:v>1270.9458397463288</c:v>
                </c:pt>
                <c:pt idx="58">
                  <c:v>1803.6030665545341</c:v>
                </c:pt>
                <c:pt idx="59">
                  <c:v>2336.260293362775</c:v>
                </c:pt>
                <c:pt idx="60">
                  <c:v>2866.7868912638169</c:v>
                </c:pt>
                <c:pt idx="61">
                  <c:v>2868.9175201710673</c:v>
                </c:pt>
                <c:pt idx="62">
                  <c:v>2867.048149078094</c:v>
                </c:pt>
                <c:pt idx="63">
                  <c:v>2401.5747469794178</c:v>
                </c:pt>
                <c:pt idx="64">
                  <c:v>1934.2319737878609</c:v>
                </c:pt>
                <c:pt idx="65">
                  <c:v>1466.8892005963039</c:v>
                </c:pt>
                <c:pt idx="66">
                  <c:v>999.54642740480836</c:v>
                </c:pt>
                <c:pt idx="67">
                  <c:v>532.20365421338454</c:v>
                </c:pt>
                <c:pt idx="68">
                  <c:v>64.860881021960722</c:v>
                </c:pt>
                <c:pt idx="69">
                  <c:v>-402.48189216943234</c:v>
                </c:pt>
                <c:pt idx="70">
                  <c:v>-869.82466536080494</c:v>
                </c:pt>
                <c:pt idx="71">
                  <c:v>-1337.1674385521699</c:v>
                </c:pt>
                <c:pt idx="72">
                  <c:v>-1804.5102117435245</c:v>
                </c:pt>
                <c:pt idx="73">
                  <c:v>-2271.8529849348788</c:v>
                </c:pt>
                <c:pt idx="74">
                  <c:v>-2739.1957581262327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DC-4216-84EA-B4824BF7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6614112"/>
        <c:axId val="1046617856"/>
      </c:scatterChart>
      <c:valAx>
        <c:axId val="104661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17856"/>
        <c:crosses val="autoZero"/>
        <c:crossBetween val="midCat"/>
      </c:valAx>
      <c:valAx>
        <c:axId val="104661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M(x) [N*m]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14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Hoja1!$A$9:$A$83</c:f>
              <c:numCache>
                <c:formatCode>0.00</c:formatCode>
                <c:ptCount val="7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 formatCode="0.000">
                  <c:v>5.9989999999999997</c:v>
                </c:pt>
                <c:pt idx="25">
                  <c:v>6</c:v>
                </c:pt>
                <c:pt idx="26" formatCode="0.000">
                  <c:v>6.0010000000000003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  <c:pt idx="43">
                  <c:v>10.25</c:v>
                </c:pt>
                <c:pt idx="44">
                  <c:v>10.5</c:v>
                </c:pt>
                <c:pt idx="45">
                  <c:v>10.75</c:v>
                </c:pt>
                <c:pt idx="46" formatCode="0.000">
                  <c:v>10.999000000000001</c:v>
                </c:pt>
                <c:pt idx="47">
                  <c:v>11</c:v>
                </c:pt>
                <c:pt idx="48" formatCode="0.000">
                  <c:v>11.000999999999999</c:v>
                </c:pt>
                <c:pt idx="49">
                  <c:v>11.25</c:v>
                </c:pt>
                <c:pt idx="50">
                  <c:v>11.5</c:v>
                </c:pt>
                <c:pt idx="51">
                  <c:v>11.75</c:v>
                </c:pt>
                <c:pt idx="52">
                  <c:v>12</c:v>
                </c:pt>
                <c:pt idx="53">
                  <c:v>12.25</c:v>
                </c:pt>
                <c:pt idx="54">
                  <c:v>12.5</c:v>
                </c:pt>
                <c:pt idx="55">
                  <c:v>12.75</c:v>
                </c:pt>
                <c:pt idx="56">
                  <c:v>13</c:v>
                </c:pt>
                <c:pt idx="57">
                  <c:v>13.25</c:v>
                </c:pt>
                <c:pt idx="58">
                  <c:v>13.5</c:v>
                </c:pt>
                <c:pt idx="59">
                  <c:v>13.75</c:v>
                </c:pt>
                <c:pt idx="60" formatCode="0.000">
                  <c:v>13.999000000000001</c:v>
                </c:pt>
                <c:pt idx="61">
                  <c:v>14</c:v>
                </c:pt>
                <c:pt idx="62" formatCode="0.000">
                  <c:v>14.000999999999999</c:v>
                </c:pt>
                <c:pt idx="63">
                  <c:v>14.25</c:v>
                </c:pt>
                <c:pt idx="64">
                  <c:v>14.5</c:v>
                </c:pt>
                <c:pt idx="65">
                  <c:v>14.75</c:v>
                </c:pt>
                <c:pt idx="66">
                  <c:v>15</c:v>
                </c:pt>
                <c:pt idx="67">
                  <c:v>15.25</c:v>
                </c:pt>
                <c:pt idx="68">
                  <c:v>15.5</c:v>
                </c:pt>
                <c:pt idx="69">
                  <c:v>15.75</c:v>
                </c:pt>
                <c:pt idx="70">
                  <c:v>16</c:v>
                </c:pt>
                <c:pt idx="71">
                  <c:v>16.25</c:v>
                </c:pt>
                <c:pt idx="72">
                  <c:v>16.5</c:v>
                </c:pt>
                <c:pt idx="73">
                  <c:v>16.75</c:v>
                </c:pt>
                <c:pt idx="74">
                  <c:v>17</c:v>
                </c:pt>
              </c:numCache>
            </c:numRef>
          </c:xVal>
          <c:yVal>
            <c:numRef>
              <c:f>Hoja1!$F$9:$F$83</c:f>
              <c:numCache>
                <c:formatCode>General</c:formatCode>
                <c:ptCount val="75"/>
                <c:pt idx="0">
                  <c:v>4502.691075540286</c:v>
                </c:pt>
                <c:pt idx="1">
                  <c:v>4127.6910755402751</c:v>
                </c:pt>
                <c:pt idx="2">
                  <c:v>3752.6910755403001</c:v>
                </c:pt>
                <c:pt idx="3">
                  <c:v>3377.6910755403551</c:v>
                </c:pt>
                <c:pt idx="4">
                  <c:v>3002.6910755404156</c:v>
                </c:pt>
                <c:pt idx="5">
                  <c:v>2627.6910755404842</c:v>
                </c:pt>
                <c:pt idx="6">
                  <c:v>2252.6910755406288</c:v>
                </c:pt>
                <c:pt idx="7">
                  <c:v>1877.6910755408196</c:v>
                </c:pt>
                <c:pt idx="8">
                  <c:v>1502.6910755409799</c:v>
                </c:pt>
                <c:pt idx="9">
                  <c:v>1127.6910755412432</c:v>
                </c:pt>
                <c:pt idx="10">
                  <c:v>752.69107554154652</c:v>
                </c:pt>
                <c:pt idx="11">
                  <c:v>377.69107554174752</c:v>
                </c:pt>
                <c:pt idx="12">
                  <c:v>2.6910755419694397</c:v>
                </c:pt>
                <c:pt idx="13">
                  <c:v>-372.3089244577468</c:v>
                </c:pt>
                <c:pt idx="14">
                  <c:v>-747.30892445748395</c:v>
                </c:pt>
                <c:pt idx="15">
                  <c:v>-1122.3089244572016</c:v>
                </c:pt>
                <c:pt idx="16">
                  <c:v>-1497.3089244570001</c:v>
                </c:pt>
                <c:pt idx="17">
                  <c:v>-1872.3089244567373</c:v>
                </c:pt>
                <c:pt idx="18">
                  <c:v>-2247.3089244564744</c:v>
                </c:pt>
                <c:pt idx="19">
                  <c:v>-2622.3089244563862</c:v>
                </c:pt>
                <c:pt idx="20">
                  <c:v>-2997.3089244562975</c:v>
                </c:pt>
                <c:pt idx="21">
                  <c:v>-3372.3089244562243</c:v>
                </c:pt>
                <c:pt idx="22">
                  <c:v>-3747.3089244561738</c:v>
                </c:pt>
                <c:pt idx="23">
                  <c:v>-4122.3089244561552</c:v>
                </c:pt>
                <c:pt idx="24">
                  <c:v>-4495.8089244561743</c:v>
                </c:pt>
                <c:pt idx="26">
                  <c:v>5189.6889304584347</c:v>
                </c:pt>
                <c:pt idx="27">
                  <c:v>4691.6889304583538</c:v>
                </c:pt>
                <c:pt idx="28">
                  <c:v>4191.6889304583528</c:v>
                </c:pt>
                <c:pt idx="29">
                  <c:v>3691.6889304583515</c:v>
                </c:pt>
                <c:pt idx="30">
                  <c:v>3191.6889304583183</c:v>
                </c:pt>
                <c:pt idx="31">
                  <c:v>2691.6889304582733</c:v>
                </c:pt>
                <c:pt idx="32">
                  <c:v>2191.688930458221</c:v>
                </c:pt>
                <c:pt idx="33">
                  <c:v>1691.6889304582096</c:v>
                </c:pt>
                <c:pt idx="34">
                  <c:v>1191.6889304582387</c:v>
                </c:pt>
                <c:pt idx="35">
                  <c:v>691.68893045816503</c:v>
                </c:pt>
                <c:pt idx="36">
                  <c:v>191.68893045811274</c:v>
                </c:pt>
                <c:pt idx="37">
                  <c:v>-308.31106954187817</c:v>
                </c:pt>
                <c:pt idx="38">
                  <c:v>-808.31106954195184</c:v>
                </c:pt>
                <c:pt idx="39">
                  <c:v>-1308.3110695419432</c:v>
                </c:pt>
                <c:pt idx="40">
                  <c:v>-1808.3110695419341</c:v>
                </c:pt>
                <c:pt idx="41">
                  <c:v>-2308.3110695419864</c:v>
                </c:pt>
                <c:pt idx="42">
                  <c:v>-2808.3110695419782</c:v>
                </c:pt>
                <c:pt idx="43">
                  <c:v>-3308.3110695419846</c:v>
                </c:pt>
                <c:pt idx="44">
                  <c:v>-3808.3110695419891</c:v>
                </c:pt>
                <c:pt idx="45">
                  <c:v>-4308.3110695419782</c:v>
                </c:pt>
                <c:pt idx="46">
                  <c:v>-4806.3110695419382</c:v>
                </c:pt>
                <c:pt idx="48">
                  <c:v>2130.6289072322152</c:v>
                </c:pt>
                <c:pt idx="49">
                  <c:v>2130.6289072322352</c:v>
                </c:pt>
                <c:pt idx="50">
                  <c:v>2130.6289072322361</c:v>
                </c:pt>
                <c:pt idx="51">
                  <c:v>2130.6289072322415</c:v>
                </c:pt>
                <c:pt idx="52">
                  <c:v>2130.6289072322597</c:v>
                </c:pt>
                <c:pt idx="53">
                  <c:v>2130.6289072322902</c:v>
                </c:pt>
                <c:pt idx="54">
                  <c:v>2130.6289072323748</c:v>
                </c:pt>
                <c:pt idx="55">
                  <c:v>2130.628907232498</c:v>
                </c:pt>
                <c:pt idx="56">
                  <c:v>2130.6289072326153</c:v>
                </c:pt>
                <c:pt idx="57">
                  <c:v>2130.628907232749</c:v>
                </c:pt>
                <c:pt idx="58">
                  <c:v>2130.6289072328923</c:v>
                </c:pt>
                <c:pt idx="59">
                  <c:v>2130.6289072330665</c:v>
                </c:pt>
                <c:pt idx="60">
                  <c:v>2130.6289072333184</c:v>
                </c:pt>
                <c:pt idx="62">
                  <c:v>-1869.3710927673246</c:v>
                </c:pt>
                <c:pt idx="63">
                  <c:v>-1869.3710927664129</c:v>
                </c:pt>
                <c:pt idx="64">
                  <c:v>-1869.3710927662278</c:v>
                </c:pt>
                <c:pt idx="65">
                  <c:v>-1869.371092766105</c:v>
                </c:pt>
                <c:pt idx="66">
                  <c:v>-1869.3710927658387</c:v>
                </c:pt>
                <c:pt idx="67">
                  <c:v>-1869.3710927656953</c:v>
                </c:pt>
                <c:pt idx="68">
                  <c:v>-1869.3710927656339</c:v>
                </c:pt>
                <c:pt idx="69">
                  <c:v>-1869.3710927655313</c:v>
                </c:pt>
                <c:pt idx="70">
                  <c:v>-1869.3710927654752</c:v>
                </c:pt>
                <c:pt idx="71">
                  <c:v>-1869.371092765439</c:v>
                </c:pt>
                <c:pt idx="72">
                  <c:v>-1869.3710927654179</c:v>
                </c:pt>
                <c:pt idx="73">
                  <c:v>-1869.3710927654165</c:v>
                </c:pt>
                <c:pt idx="74">
                  <c:v>-1869.3710927654156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EF-428F-86E0-32C750A25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6614112"/>
        <c:axId val="1046617856"/>
      </c:scatterChart>
      <c:valAx>
        <c:axId val="104661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17856"/>
        <c:crosses val="autoZero"/>
        <c:crossBetween val="midCat"/>
      </c:valAx>
      <c:valAx>
        <c:axId val="104661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V(x) [N]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14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12637</xdr:colOff>
      <xdr:row>30</xdr:row>
      <xdr:rowOff>120345</xdr:rowOff>
    </xdr:from>
    <xdr:to>
      <xdr:col>21</xdr:col>
      <xdr:colOff>716036</xdr:colOff>
      <xdr:row>58</xdr:row>
      <xdr:rowOff>167970</xdr:rowOff>
    </xdr:to>
    <xdr:pic>
      <xdr:nvPicPr>
        <xdr:cNvPr id="2" name="8 Imagen" descr="ej_5_3_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944406" y="5835345"/>
          <a:ext cx="6037399" cy="5381625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7</xdr:row>
      <xdr:rowOff>0</xdr:rowOff>
    </xdr:from>
    <xdr:to>
      <xdr:col>14</xdr:col>
      <xdr:colOff>1</xdr:colOff>
      <xdr:row>15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16</xdr:row>
      <xdr:rowOff>0</xdr:rowOff>
    </xdr:from>
    <xdr:to>
      <xdr:col>14</xdr:col>
      <xdr:colOff>1</xdr:colOff>
      <xdr:row>24</xdr:row>
      <xdr:rowOff>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25</xdr:row>
      <xdr:rowOff>0</xdr:rowOff>
    </xdr:from>
    <xdr:to>
      <xdr:col>14</xdr:col>
      <xdr:colOff>1</xdr:colOff>
      <xdr:row>34</xdr:row>
      <xdr:rowOff>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36</xdr:row>
      <xdr:rowOff>0</xdr:rowOff>
    </xdr:from>
    <xdr:to>
      <xdr:col>14</xdr:col>
      <xdr:colOff>1</xdr:colOff>
      <xdr:row>44</xdr:row>
      <xdr:rowOff>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G84"/>
  <sheetViews>
    <sheetView tabSelected="1" topLeftCell="A6" zoomScale="130" zoomScaleNormal="130" workbookViewId="0">
      <pane xSplit="1" ySplit="1" topLeftCell="C73" activePane="bottomRight" state="frozen"/>
      <selection activeCell="A6" sqref="A6"/>
      <selection pane="topRight" activeCell="B6" sqref="B6"/>
      <selection pane="bottomLeft" activeCell="A7" sqref="A7"/>
      <selection pane="bottomRight" activeCell="H83" sqref="H83"/>
    </sheetView>
  </sheetViews>
  <sheetFormatPr baseColWidth="10" defaultRowHeight="15" x14ac:dyDescent="0.25"/>
  <cols>
    <col min="1" max="1" width="11.85546875" bestFit="1" customWidth="1"/>
    <col min="3" max="4" width="13.140625" bestFit="1" customWidth="1"/>
  </cols>
  <sheetData>
    <row r="1" spans="1:7" x14ac:dyDescent="0.25">
      <c r="A1" t="s">
        <v>0</v>
      </c>
      <c r="B1">
        <v>0.25</v>
      </c>
      <c r="C1" t="s">
        <v>1</v>
      </c>
    </row>
    <row r="2" spans="1:7" x14ac:dyDescent="0.25">
      <c r="A2" t="s">
        <v>2</v>
      </c>
      <c r="B2" s="1">
        <v>210000000000</v>
      </c>
      <c r="C2" t="s">
        <v>3</v>
      </c>
    </row>
    <row r="3" spans="1:7" x14ac:dyDescent="0.25">
      <c r="A3" t="s">
        <v>4</v>
      </c>
      <c r="B3">
        <f>0.1*0.3^3/12</f>
        <v>2.2500000000000002E-4</v>
      </c>
      <c r="C3" t="s">
        <v>5</v>
      </c>
    </row>
    <row r="6" spans="1:7" x14ac:dyDescent="0.25">
      <c r="A6" s="2" t="s">
        <v>6</v>
      </c>
      <c r="B6" s="2" t="s">
        <v>7</v>
      </c>
      <c r="C6" s="2" t="s">
        <v>8</v>
      </c>
      <c r="D6" s="2" t="s">
        <v>11</v>
      </c>
      <c r="E6" s="2" t="s">
        <v>9</v>
      </c>
      <c r="F6" s="2" t="s">
        <v>10</v>
      </c>
      <c r="G6" s="2" t="s">
        <v>7</v>
      </c>
    </row>
    <row r="8" spans="1:7" x14ac:dyDescent="0.25">
      <c r="C8" s="7">
        <f ca="1">C10</f>
        <v>-2.9745769226650134E-6</v>
      </c>
    </row>
    <row r="9" spans="1:7" x14ac:dyDescent="0.25">
      <c r="A9" s="3">
        <v>0</v>
      </c>
      <c r="B9">
        <v>-1500</v>
      </c>
      <c r="C9" s="6">
        <v>0</v>
      </c>
      <c r="D9">
        <f t="shared" ref="D9:D31" ca="1" si="0">(C10-C8)/(2*delta)</f>
        <v>0</v>
      </c>
      <c r="E9">
        <f t="shared" ref="E9:E31" ca="1" si="1">E*I*(C10-2*C9+C8)/(delta^2)</f>
        <v>-4497.5603070695006</v>
      </c>
      <c r="F9" s="8">
        <f ca="1">(-0.5*E11+2*E10-1.5*E9)/delta</f>
        <v>4502.691075540286</v>
      </c>
      <c r="G9" s="8">
        <f ca="1">(-0.5*F11+2*F10-1.5*F9)/delta</f>
        <v>-1500.0000000001164</v>
      </c>
    </row>
    <row r="10" spans="1:7" x14ac:dyDescent="0.25">
      <c r="A10" s="3">
        <f t="shared" ref="A10:A32" si="2">A9+delta</f>
        <v>0.25</v>
      </c>
      <c r="B10">
        <v>-1500</v>
      </c>
      <c r="C10" s="5">
        <f t="shared" ref="C10:C30" ca="1" si="3">(1/6)*(B10*delta^4/(E*I)-C8+4*C9+4*C11-C12)</f>
        <v>-2.9745769226650134E-6</v>
      </c>
      <c r="D10">
        <f t="shared" ca="1" si="0"/>
        <v>-2.0942653029772303E-5</v>
      </c>
      <c r="E10">
        <f t="shared" ca="1" si="1"/>
        <v>-3418.7625381844309</v>
      </c>
      <c r="F10">
        <f t="shared" ref="F10:G31" ca="1" si="4">(E11-E9)/(2*delta)</f>
        <v>4127.6910755402751</v>
      </c>
      <c r="G10">
        <f t="shared" ca="1" si="4"/>
        <v>-1499.9999999999718</v>
      </c>
    </row>
    <row r="11" spans="1:7" x14ac:dyDescent="0.25">
      <c r="A11" s="3">
        <f t="shared" si="2"/>
        <v>0.5</v>
      </c>
      <c r="B11">
        <v>-1500</v>
      </c>
      <c r="C11" s="5">
        <f t="shared" ca="1" si="3"/>
        <v>-1.0471326514886152E-5</v>
      </c>
      <c r="D11">
        <f t="shared" ca="1" si="0"/>
        <v>-3.6425397229464875E-5</v>
      </c>
      <c r="E11">
        <f t="shared" ca="1" si="1"/>
        <v>-2433.7147692993631</v>
      </c>
      <c r="F11">
        <f t="shared" ca="1" si="4"/>
        <v>3752.6910755403001</v>
      </c>
      <c r="G11">
        <f t="shared" ca="1" si="4"/>
        <v>-1499.9999999998399</v>
      </c>
    </row>
    <row r="12" spans="1:7" x14ac:dyDescent="0.25">
      <c r="A12" s="3">
        <f t="shared" si="2"/>
        <v>0.75</v>
      </c>
      <c r="B12">
        <v>-1500</v>
      </c>
      <c r="C12" s="5">
        <f t="shared" ca="1" si="3"/>
        <v>-2.1187275537397453E-5</v>
      </c>
      <c r="D12">
        <f t="shared" ca="1" si="0"/>
        <v>-4.6944264345109438E-5</v>
      </c>
      <c r="E12">
        <f t="shared" ca="1" si="1"/>
        <v>-1542.4170004142809</v>
      </c>
      <c r="F12">
        <f t="shared" ca="1" si="4"/>
        <v>3377.6910755403551</v>
      </c>
      <c r="G12">
        <f t="shared" ca="1" si="4"/>
        <v>-1499.999999999769</v>
      </c>
    </row>
    <row r="13" spans="1:7" x14ac:dyDescent="0.25">
      <c r="A13" s="3">
        <f t="shared" si="2"/>
        <v>1</v>
      </c>
      <c r="B13">
        <v>-1500</v>
      </c>
      <c r="C13" s="5">
        <f t="shared" ca="1" si="3"/>
        <v>-3.3943458687440871E-5</v>
      </c>
      <c r="D13">
        <f t="shared" ca="1" si="0"/>
        <v>-5.2995286122737655E-5</v>
      </c>
      <c r="E13">
        <f t="shared" ca="1" si="1"/>
        <v>-744.86923152918553</v>
      </c>
      <c r="F13">
        <f t="shared" ca="1" si="4"/>
        <v>3002.6910755404156</v>
      </c>
      <c r="G13">
        <f t="shared" ca="1" si="4"/>
        <v>-1499.9999999997417</v>
      </c>
    </row>
    <row r="14" spans="1:7" x14ac:dyDescent="0.25">
      <c r="A14" s="3">
        <f t="shared" si="2"/>
        <v>1.25</v>
      </c>
      <c r="B14">
        <v>-1500</v>
      </c>
      <c r="C14" s="5">
        <f t="shared" ca="1" si="3"/>
        <v>-4.768491859876628E-5</v>
      </c>
      <c r="D14">
        <f t="shared" ca="1" si="0"/>
        <v>-5.5074494308381196E-5</v>
      </c>
      <c r="E14">
        <f t="shared" ca="1" si="1"/>
        <v>-41.071462644073044</v>
      </c>
      <c r="F14">
        <f t="shared" ca="1" si="4"/>
        <v>2627.6910755404842</v>
      </c>
      <c r="G14">
        <f t="shared" ca="1" si="4"/>
        <v>-1499.9999999995734</v>
      </c>
    </row>
    <row r="15" spans="1:7" x14ac:dyDescent="0.25">
      <c r="A15" s="3">
        <f t="shared" si="2"/>
        <v>1.5</v>
      </c>
      <c r="B15">
        <v>-1500</v>
      </c>
      <c r="C15" s="5">
        <f t="shared" ca="1" si="3"/>
        <v>-6.1480705841631468E-5</v>
      </c>
      <c r="D15">
        <f t="shared" ca="1" si="0"/>
        <v>-5.3677920648071716E-5</v>
      </c>
      <c r="E15">
        <f t="shared" ca="1" si="1"/>
        <v>568.97630624105648</v>
      </c>
      <c r="F15">
        <f t="shared" ca="1" si="4"/>
        <v>2252.6910755406288</v>
      </c>
      <c r="G15">
        <f t="shared" ca="1" si="4"/>
        <v>-1499.9999999993292</v>
      </c>
    </row>
    <row r="16" spans="1:7" x14ac:dyDescent="0.25">
      <c r="A16" s="3">
        <f t="shared" si="2"/>
        <v>1.75</v>
      </c>
      <c r="B16">
        <v>-1500</v>
      </c>
      <c r="C16" s="5">
        <f t="shared" ca="1" si="3"/>
        <v>-7.4523878922802138E-5</v>
      </c>
      <c r="D16">
        <f t="shared" ca="1" si="0"/>
        <v>-4.930159688784077E-5</v>
      </c>
      <c r="E16">
        <f t="shared" ca="1" si="1"/>
        <v>1085.2740751262413</v>
      </c>
      <c r="F16">
        <f t="shared" ca="1" si="4"/>
        <v>1877.6910755408196</v>
      </c>
      <c r="G16">
        <f t="shared" ca="1" si="4"/>
        <v>-1499.9999999992979</v>
      </c>
    </row>
    <row r="17" spans="1:7" x14ac:dyDescent="0.25">
      <c r="A17" s="3">
        <f t="shared" si="2"/>
        <v>2</v>
      </c>
      <c r="B17">
        <v>-1500</v>
      </c>
      <c r="C17" s="5">
        <f t="shared" ca="1" si="3"/>
        <v>-8.6131504285551853E-5</v>
      </c>
      <c r="D17">
        <f t="shared" ca="1" si="0"/>
        <v>-4.2441554773719851E-5</v>
      </c>
      <c r="E17">
        <f t="shared" ca="1" si="1"/>
        <v>1507.8218440114663</v>
      </c>
      <c r="F17">
        <f t="shared" ca="1" si="4"/>
        <v>1502.6910755409799</v>
      </c>
      <c r="G17">
        <f t="shared" ca="1" si="4"/>
        <v>-1499.9999999991528</v>
      </c>
    </row>
    <row r="18" spans="1:7" x14ac:dyDescent="0.25">
      <c r="A18" s="3">
        <f t="shared" si="2"/>
        <v>2.25</v>
      </c>
      <c r="B18">
        <v>-1500</v>
      </c>
      <c r="C18" s="5">
        <f t="shared" ca="1" si="3"/>
        <v>-9.5744656309662064E-5</v>
      </c>
      <c r="D18">
        <f t="shared" ca="1" si="0"/>
        <v>-3.3593826051740494E-5</v>
      </c>
      <c r="E18">
        <f t="shared" ca="1" si="1"/>
        <v>1836.6196128967313</v>
      </c>
      <c r="F18">
        <f t="shared" ca="1" si="4"/>
        <v>1127.6910755412432</v>
      </c>
      <c r="G18">
        <f t="shared" ca="1" si="4"/>
        <v>-1499.9999999988668</v>
      </c>
    </row>
    <row r="19" spans="1:7" x14ac:dyDescent="0.25">
      <c r="A19" s="3">
        <f t="shared" si="2"/>
        <v>2.5</v>
      </c>
      <c r="B19">
        <v>-1500</v>
      </c>
      <c r="C19" s="5">
        <f t="shared" ca="1" si="3"/>
        <v>-1.029284173114221E-4</v>
      </c>
      <c r="D19">
        <f t="shared" ca="1" si="0"/>
        <v>-2.3254442467934096E-5</v>
      </c>
      <c r="E19">
        <f t="shared" ca="1" si="1"/>
        <v>2071.6673817820879</v>
      </c>
      <c r="F19">
        <f t="shared" ca="1" si="4"/>
        <v>752.69107554154652</v>
      </c>
      <c r="G19">
        <f t="shared" ca="1" si="4"/>
        <v>-1499.9999999989914</v>
      </c>
    </row>
    <row r="20" spans="1:7" x14ac:dyDescent="0.25">
      <c r="A20" s="3">
        <f t="shared" si="2"/>
        <v>2.75</v>
      </c>
      <c r="B20">
        <v>-1500</v>
      </c>
      <c r="C20" s="5">
        <f t="shared" ca="1" si="3"/>
        <v>-1.0737187754362911E-4</v>
      </c>
      <c r="D20">
        <f t="shared" ca="1" si="0"/>
        <v>-1.1919435768332001E-5</v>
      </c>
      <c r="E20">
        <f t="shared" ca="1" si="1"/>
        <v>2212.9651506675045</v>
      </c>
      <c r="F20">
        <f t="shared" ca="1" si="4"/>
        <v>377.69107554174752</v>
      </c>
      <c r="G20">
        <f t="shared" ca="1" si="4"/>
        <v>-1499.9999999991542</v>
      </c>
    </row>
    <row r="21" spans="1:7" x14ac:dyDescent="0.25">
      <c r="A21" s="3">
        <f t="shared" si="2"/>
        <v>3</v>
      </c>
      <c r="B21">
        <v>-1500</v>
      </c>
      <c r="C21" s="5">
        <f t="shared" ca="1" si="3"/>
        <v>-1.088881351955881E-4</v>
      </c>
      <c r="D21">
        <f t="shared" ca="1" si="0"/>
        <v>-8.4837698965690165E-8</v>
      </c>
      <c r="E21">
        <f t="shared" ca="1" si="1"/>
        <v>2260.5129195529616</v>
      </c>
      <c r="F21">
        <f t="shared" ca="1" si="4"/>
        <v>2.6910755419694397</v>
      </c>
      <c r="G21">
        <f t="shared" ca="1" si="4"/>
        <v>-1499.9999999989886</v>
      </c>
    </row>
    <row r="22" spans="1:7" x14ac:dyDescent="0.25">
      <c r="A22" s="3">
        <f t="shared" si="2"/>
        <v>3.25</v>
      </c>
      <c r="B22">
        <v>-1500</v>
      </c>
      <c r="C22" s="5">
        <f t="shared" ca="1" si="3"/>
        <v>-1.0741429639311196E-4</v>
      </c>
      <c r="D22">
        <f t="shared" ca="1" si="0"/>
        <v>1.1753319994133385E-5</v>
      </c>
      <c r="E22">
        <f t="shared" ca="1" si="1"/>
        <v>2214.3106884384893</v>
      </c>
      <c r="F22">
        <f t="shared" ca="1" si="4"/>
        <v>-372.3089244577468</v>
      </c>
      <c r="G22">
        <f t="shared" ca="1" si="4"/>
        <v>-1499.9999999989068</v>
      </c>
    </row>
    <row r="23" spans="1:7" x14ac:dyDescent="0.25">
      <c r="A23" s="3">
        <f t="shared" si="2"/>
        <v>3.5</v>
      </c>
      <c r="B23">
        <v>-1500</v>
      </c>
      <c r="C23" s="5">
        <f t="shared" ca="1" si="3"/>
        <v>-1.0301147519852141E-4</v>
      </c>
      <c r="D23">
        <f t="shared" ca="1" si="0"/>
        <v>2.3099005564933853E-5</v>
      </c>
      <c r="E23">
        <f t="shared" ca="1" si="1"/>
        <v>2074.3584573240882</v>
      </c>
      <c r="F23">
        <f t="shared" ca="1" si="4"/>
        <v>-747.30892445748395</v>
      </c>
      <c r="G23">
        <f t="shared" ca="1" si="4"/>
        <v>-1499.9999999989095</v>
      </c>
    </row>
    <row r="24" spans="1:7" x14ac:dyDescent="0.25">
      <c r="A24" s="3">
        <f t="shared" si="2"/>
        <v>3.75</v>
      </c>
      <c r="B24">
        <v>-1500</v>
      </c>
      <c r="C24" s="5">
        <f t="shared" ca="1" si="3"/>
        <v>-9.586479361064503E-5</v>
      </c>
      <c r="D24">
        <f t="shared" ca="1" si="0"/>
        <v>3.3456187267404315E-5</v>
      </c>
      <c r="E24">
        <f t="shared" ca="1" si="1"/>
        <v>1840.6562262097473</v>
      </c>
      <c r="F24">
        <f t="shared" ca="1" si="4"/>
        <v>-1122.3089244572016</v>
      </c>
      <c r="G24">
        <f t="shared" ca="1" si="4"/>
        <v>-1499.9999999990323</v>
      </c>
    </row>
    <row r="25" spans="1:7" x14ac:dyDescent="0.25">
      <c r="A25" s="3">
        <f t="shared" si="2"/>
        <v>4</v>
      </c>
      <c r="B25">
        <v>-1500</v>
      </c>
      <c r="C25" s="5">
        <f t="shared" ca="1" si="3"/>
        <v>-8.6283381564819251E-5</v>
      </c>
      <c r="D25">
        <f t="shared" ca="1" si="0"/>
        <v>4.23288333555134E-5</v>
      </c>
      <c r="E25">
        <f t="shared" ca="1" si="1"/>
        <v>1513.2039950954875</v>
      </c>
      <c r="F25">
        <f t="shared" ca="1" si="4"/>
        <v>-1497.3089244570001</v>
      </c>
      <c r="G25">
        <f t="shared" ca="1" si="4"/>
        <v>-1499.9999999990714</v>
      </c>
    </row>
    <row r="26" spans="1:7" x14ac:dyDescent="0.25">
      <c r="A26" s="3">
        <f t="shared" si="2"/>
        <v>4.25</v>
      </c>
      <c r="B26">
        <v>-1500</v>
      </c>
      <c r="C26" s="5">
        <f t="shared" ca="1" si="3"/>
        <v>-7.470037693288833E-5</v>
      </c>
      <c r="D26">
        <f t="shared" ca="1" si="0"/>
        <v>4.9220912083229628E-5</v>
      </c>
      <c r="E26">
        <f t="shared" ca="1" si="1"/>
        <v>1092.0017639812472</v>
      </c>
      <c r="F26">
        <f t="shared" ca="1" si="4"/>
        <v>-1872.3089244567373</v>
      </c>
      <c r="G26">
        <f t="shared" ca="1" si="4"/>
        <v>-1499.9999999989486</v>
      </c>
    </row>
    <row r="27" spans="1:7" x14ac:dyDescent="0.25">
      <c r="A27" s="3">
        <f t="shared" si="2"/>
        <v>4.5</v>
      </c>
      <c r="B27">
        <v>-1500</v>
      </c>
      <c r="C27" s="5">
        <f t="shared" ca="1" si="3"/>
        <v>-6.1672925523204437E-5</v>
      </c>
      <c r="D27">
        <f t="shared" ca="1" si="0"/>
        <v>5.3636391704521588E-5</v>
      </c>
      <c r="E27">
        <f t="shared" ca="1" si="1"/>
        <v>577.04953286711884</v>
      </c>
      <c r="F27">
        <f t="shared" ca="1" si="4"/>
        <v>-2247.3089244564744</v>
      </c>
      <c r="G27">
        <f t="shared" ca="1" si="4"/>
        <v>-1499.9999999992979</v>
      </c>
    </row>
    <row r="28" spans="1:7" x14ac:dyDescent="0.25">
      <c r="A28" s="3">
        <f t="shared" si="2"/>
        <v>4.75</v>
      </c>
      <c r="B28">
        <v>-1500</v>
      </c>
      <c r="C28" s="5">
        <f t="shared" ca="1" si="3"/>
        <v>-4.7882181080627537E-5</v>
      </c>
      <c r="D28">
        <f t="shared" ca="1" si="0"/>
        <v>5.5079240473357893E-5</v>
      </c>
      <c r="E28">
        <f t="shared" ca="1" si="1"/>
        <v>-31.652698246989978</v>
      </c>
      <c r="F28">
        <f t="shared" ca="1" si="4"/>
        <v>-2622.3089244563862</v>
      </c>
      <c r="G28">
        <f t="shared" ca="1" si="4"/>
        <v>-1499.9999999996462</v>
      </c>
    </row>
    <row r="29" spans="1:7" x14ac:dyDescent="0.25">
      <c r="A29" s="3">
        <f t="shared" si="2"/>
        <v>5</v>
      </c>
      <c r="B29">
        <v>-1500</v>
      </c>
      <c r="C29" s="5">
        <f t="shared" ca="1" si="3"/>
        <v>-3.413330528652549E-5</v>
      </c>
      <c r="D29">
        <f t="shared" ca="1" si="0"/>
        <v>5.3053426643706931E-5</v>
      </c>
      <c r="E29">
        <f t="shared" ca="1" si="1"/>
        <v>-734.10492936107414</v>
      </c>
      <c r="F29">
        <f t="shared" ca="1" si="4"/>
        <v>-2997.3089244562975</v>
      </c>
      <c r="G29">
        <f t="shared" ca="1" si="4"/>
        <v>-1499.9999999996762</v>
      </c>
    </row>
    <row r="30" spans="1:7" x14ac:dyDescent="0.25">
      <c r="A30" s="3">
        <f t="shared" si="2"/>
        <v>5.25</v>
      </c>
      <c r="B30">
        <v>-1500</v>
      </c>
      <c r="C30" s="5">
        <f t="shared" ca="1" si="3"/>
        <v>-2.1355467758774071E-5</v>
      </c>
      <c r="D30">
        <f t="shared" ca="1" si="0"/>
        <v>4.706291846953705E-5</v>
      </c>
      <c r="E30">
        <f t="shared" ca="1" si="1"/>
        <v>-1530.3071604751387</v>
      </c>
      <c r="F30">
        <f t="shared" ca="1" si="4"/>
        <v>-3372.3089244562243</v>
      </c>
      <c r="G30">
        <f t="shared" ca="1" si="4"/>
        <v>-1499.9999999997526</v>
      </c>
    </row>
    <row r="31" spans="1:7" x14ac:dyDescent="0.25">
      <c r="A31" s="3">
        <f t="shared" si="2"/>
        <v>5.5</v>
      </c>
      <c r="B31">
        <v>-1500</v>
      </c>
      <c r="C31" s="5">
        <f ca="1">(1/6)*(B31*delta^4/(E*I)-C29+4*C30+4*C32-C34)</f>
        <v>-1.0601846051756966E-5</v>
      </c>
      <c r="D31">
        <f t="shared" ca="1" si="0"/>
        <v>3.6611684204816609E-5</v>
      </c>
      <c r="E31">
        <f t="shared" ca="1" si="1"/>
        <v>-2420.2593915891862</v>
      </c>
      <c r="F31">
        <f t="shared" ca="1" si="4"/>
        <v>-3747.3089244561738</v>
      </c>
      <c r="G31">
        <f t="shared" ca="1" si="4"/>
        <v>-1499.9999999998618</v>
      </c>
    </row>
    <row r="32" spans="1:7" x14ac:dyDescent="0.25">
      <c r="A32" s="3">
        <f t="shared" si="2"/>
        <v>5.75</v>
      </c>
      <c r="B32">
        <v>-1500</v>
      </c>
      <c r="C32" s="5">
        <f ca="1">(1/6)*(B32*delta^4/(E*I)-C30+4*C31+4*C34-C36)</f>
        <v>-3.0496256563657678E-6</v>
      </c>
      <c r="D32">
        <f ca="1">(C34-C31)/(2*delta)</f>
        <v>2.1203692103513931E-5</v>
      </c>
      <c r="E32">
        <f ca="1">E*I*(C34-2*C32+C31)/(delta^2)</f>
        <v>-3403.9616227032257</v>
      </c>
      <c r="F32">
        <f ca="1">(E34-E31)/(2*delta)</f>
        <v>-4122.3089244561552</v>
      </c>
      <c r="G32">
        <f ca="1">(F34-F31)/(2*delta)</f>
        <v>7494.6178489123477</v>
      </c>
    </row>
    <row r="33" spans="1:7" x14ac:dyDescent="0.25">
      <c r="A33" s="4">
        <v>5.9989999999999997</v>
      </c>
      <c r="C33" s="10">
        <f ca="1">lagrange($A33,$A28:$A32,C28:C32)</f>
        <v>-1.3817044756498861E-9</v>
      </c>
      <c r="D33" s="10">
        <f t="shared" ref="D33:G33" ca="1" si="5">lagrange($A33,$A28:$A32,D28:D32)</f>
        <v>4.378729158800238E-7</v>
      </c>
      <c r="E33" s="10">
        <f t="shared" ca="1" si="5"/>
        <v>-4476.9172948928117</v>
      </c>
      <c r="F33" s="10">
        <f t="shared" ca="1" si="5"/>
        <v>-4495.8089244561743</v>
      </c>
      <c r="G33" s="10">
        <f t="shared" ca="1" si="5"/>
        <v>43242.652795981121</v>
      </c>
    </row>
    <row r="34" spans="1:7" x14ac:dyDescent="0.25">
      <c r="A34" s="9">
        <f>A32+delta</f>
        <v>6</v>
      </c>
      <c r="B34">
        <v>-1750</v>
      </c>
      <c r="C34" s="6">
        <v>0</v>
      </c>
      <c r="D34">
        <f ca="1">(C36-C32)/(2*delta)</f>
        <v>3.4291041959729749E-7</v>
      </c>
      <c r="E34">
        <f ca="1">E*I*(C36-2*C34+C32)/(delta^2)</f>
        <v>-4481.4138538172638</v>
      </c>
    </row>
    <row r="35" spans="1:7" x14ac:dyDescent="0.25">
      <c r="A35" s="4">
        <v>6.0010000000000003</v>
      </c>
      <c r="C35" s="10">
        <f ca="1">lagrange($A35,$A36:$A40,C36:C40)</f>
        <v>-8.489356422155224E-10</v>
      </c>
      <c r="D35" s="10">
        <f t="shared" ref="D35:F35" ca="1" si="6">lagrange($A35,$A36:$A40,D36:D40)</f>
        <v>2.4790015484904223E-7</v>
      </c>
      <c r="E35" s="10">
        <f t="shared" ca="1" si="6"/>
        <v>-4476.2231648868074</v>
      </c>
      <c r="F35" s="10">
        <f t="shared" ca="1" si="6"/>
        <v>5189.6889304584347</v>
      </c>
      <c r="G35" s="10">
        <f ca="1">lagrange($A35,$A36:$A40,G36:G40)</f>
        <v>49650.873698503252</v>
      </c>
    </row>
    <row r="36" spans="1:7" x14ac:dyDescent="0.25">
      <c r="A36" s="3">
        <f>A34+delta</f>
        <v>6.25</v>
      </c>
      <c r="B36">
        <v>-2000</v>
      </c>
      <c r="C36" s="5">
        <f ca="1">(1/6)*(B36*delta^4/(E*I)-C32+4*C34+4*C37-C38)</f>
        <v>-2.878170446567119E-6</v>
      </c>
      <c r="D36">
        <f ca="1">(C37-C34)/(2*delta)</f>
        <v>-2.0099961207439572E-5</v>
      </c>
      <c r="E36">
        <f ca="1">E*I*(C37-2*C36+C34)/(delta^2)</f>
        <v>-3245.9916212026747</v>
      </c>
      <c r="F36">
        <f ca="1">(E37-E34)/(2*delta)</f>
        <v>4691.6889304583538</v>
      </c>
      <c r="G36">
        <f ca="1">(F37-F34)/(2*delta)</f>
        <v>8383.3778609167057</v>
      </c>
    </row>
    <row r="37" spans="1:7" x14ac:dyDescent="0.25">
      <c r="A37" s="3">
        <f t="shared" ref="A37:A54" si="7">A36+delta</f>
        <v>6.5</v>
      </c>
      <c r="B37">
        <v>-2000</v>
      </c>
      <c r="C37" s="5">
        <f ca="1">(1/6)*(B37*delta^4/(E*I)-C34+4*C36+4*C38-C39)</f>
        <v>-1.0049980603719786E-5</v>
      </c>
      <c r="D37">
        <f t="shared" ref="D37:D53" ca="1" si="8">(C38-C36)/(2*delta)</f>
        <v>-3.4336895095774916E-5</v>
      </c>
      <c r="E37">
        <f t="shared" ref="E37:E53" ca="1" si="9">E*I*(C38-2*C37+C36)/(delta^2)</f>
        <v>-2135.5693885880869</v>
      </c>
      <c r="F37">
        <f t="shared" ref="F37:G53" ca="1" si="10">(E38-E36)/(2*delta)</f>
        <v>4191.6889304583528</v>
      </c>
      <c r="G37">
        <f t="shared" ca="1" si="10"/>
        <v>-2000.0000000000045</v>
      </c>
    </row>
    <row r="38" spans="1:7" x14ac:dyDescent="0.25">
      <c r="A38" s="3">
        <f t="shared" si="7"/>
        <v>6.75</v>
      </c>
      <c r="B38">
        <v>-2000</v>
      </c>
      <c r="C38" s="5">
        <f t="shared" ref="C38:C52" ca="1" si="11">(1/6)*(B38*delta^4/(E*I)-C36+4*C37+4*C39-C40)</f>
        <v>-2.0046617994454578E-5</v>
      </c>
      <c r="D38">
        <f t="shared" ca="1" si="8"/>
        <v>-4.3029266906784405E-5</v>
      </c>
      <c r="E38">
        <f t="shared" ca="1" si="9"/>
        <v>-1150.147155973498</v>
      </c>
      <c r="F38">
        <f t="shared" ca="1" si="10"/>
        <v>3691.6889304583515</v>
      </c>
      <c r="G38">
        <f t="shared" ca="1" si="10"/>
        <v>-2000.0000000000691</v>
      </c>
    </row>
    <row r="39" spans="1:7" x14ac:dyDescent="0.25">
      <c r="A39" s="3">
        <f t="shared" si="7"/>
        <v>7</v>
      </c>
      <c r="B39">
        <v>-2000</v>
      </c>
      <c r="C39" s="5">
        <f t="shared" ca="1" si="11"/>
        <v>-3.1564614057111987E-5</v>
      </c>
      <c r="D39">
        <f t="shared" ca="1" si="8"/>
        <v>-4.6838452301843685E-5</v>
      </c>
      <c r="E39">
        <f t="shared" ca="1" si="9"/>
        <v>-289.72492335891121</v>
      </c>
      <c r="F39">
        <f t="shared" ca="1" si="10"/>
        <v>3191.6889304583183</v>
      </c>
      <c r="G39">
        <f t="shared" ca="1" si="10"/>
        <v>-2000.0000000001564</v>
      </c>
    </row>
    <row r="40" spans="1:7" x14ac:dyDescent="0.25">
      <c r="A40" s="3">
        <f t="shared" si="7"/>
        <v>7.25</v>
      </c>
      <c r="B40">
        <v>-2000</v>
      </c>
      <c r="C40" s="5">
        <f t="shared" ca="1" si="11"/>
        <v>-4.3465844145376421E-5</v>
      </c>
      <c r="D40">
        <f t="shared" ca="1" si="8"/>
        <v>-4.6425826942328473E-5</v>
      </c>
      <c r="E40">
        <f t="shared" ca="1" si="9"/>
        <v>445.6973092556612</v>
      </c>
      <c r="F40">
        <f t="shared" ca="1" si="10"/>
        <v>2691.6889304582733</v>
      </c>
      <c r="G40">
        <f t="shared" ca="1" si="10"/>
        <v>-2000.0000000001946</v>
      </c>
    </row>
    <row r="41" spans="1:7" x14ac:dyDescent="0.25">
      <c r="A41" s="3">
        <f t="shared" si="7"/>
        <v>7.5</v>
      </c>
      <c r="B41">
        <v>-2000</v>
      </c>
      <c r="C41" s="5">
        <f t="shared" ca="1" si="11"/>
        <v>-5.4777527528276224E-5</v>
      </c>
      <c r="D41">
        <f t="shared" ca="1" si="8"/>
        <v>-4.2452766489614488E-5</v>
      </c>
      <c r="E41">
        <f t="shared" ca="1" si="9"/>
        <v>1056.1195418702255</v>
      </c>
      <c r="F41">
        <f t="shared" ca="1" si="10"/>
        <v>2191.688930458221</v>
      </c>
      <c r="G41">
        <f t="shared" ca="1" si="10"/>
        <v>-2000.0000000001273</v>
      </c>
    </row>
    <row r="42" spans="1:7" x14ac:dyDescent="0.25">
      <c r="A42" s="3">
        <f t="shared" si="7"/>
        <v>7.75</v>
      </c>
      <c r="B42">
        <v>-2000</v>
      </c>
      <c r="C42" s="5">
        <f t="shared" ca="1" si="11"/>
        <v>-6.4692227390183665E-5</v>
      </c>
      <c r="D42">
        <f t="shared" ca="1" si="8"/>
        <v>-3.5580646605077459E-5</v>
      </c>
      <c r="E42">
        <f t="shared" ca="1" si="9"/>
        <v>1541.5417744847716</v>
      </c>
      <c r="F42">
        <f t="shared" ca="1" si="10"/>
        <v>1691.6889304582096</v>
      </c>
      <c r="G42">
        <f t="shared" ca="1" si="10"/>
        <v>-1999.9999999999645</v>
      </c>
    </row>
    <row r="43" spans="1:7" x14ac:dyDescent="0.25">
      <c r="A43" s="3">
        <f t="shared" si="7"/>
        <v>8</v>
      </c>
      <c r="B43">
        <v>-2000</v>
      </c>
      <c r="C43" s="5">
        <f t="shared" ca="1" si="11"/>
        <v>-7.2567850830814953E-5</v>
      </c>
      <c r="D43">
        <f t="shared" ca="1" si="8"/>
        <v>-2.6470842950093064E-5</v>
      </c>
      <c r="E43">
        <f t="shared" ca="1" si="9"/>
        <v>1901.9640070993303</v>
      </c>
      <c r="F43">
        <f t="shared" ca="1" si="10"/>
        <v>1191.6889304582387</v>
      </c>
      <c r="G43">
        <f t="shared" ca="1" si="10"/>
        <v>-2000.0000000000891</v>
      </c>
    </row>
    <row r="44" spans="1:7" x14ac:dyDescent="0.25">
      <c r="A44" s="3">
        <f t="shared" si="7"/>
        <v>8.25</v>
      </c>
      <c r="B44">
        <v>-2000</v>
      </c>
      <c r="C44" s="5">
        <f t="shared" ca="1" si="11"/>
        <v>-7.7927648865230197E-5</v>
      </c>
      <c r="D44">
        <f t="shared" ca="1" si="8"/>
        <v>-1.5784731186036926E-5</v>
      </c>
      <c r="E44">
        <f t="shared" ca="1" si="9"/>
        <v>2137.386239713891</v>
      </c>
      <c r="F44">
        <f t="shared" ca="1" si="10"/>
        <v>691.68893045816503</v>
      </c>
      <c r="G44">
        <f t="shared" ca="1" si="10"/>
        <v>-2000.0000000002519</v>
      </c>
    </row>
    <row r="45" spans="1:7" x14ac:dyDescent="0.25">
      <c r="A45" s="3">
        <f t="shared" si="7"/>
        <v>8.5</v>
      </c>
      <c r="B45">
        <v>-2000</v>
      </c>
      <c r="C45" s="5">
        <f t="shared" ca="1" si="11"/>
        <v>-8.0460216423833416E-5</v>
      </c>
      <c r="D45">
        <f t="shared" ca="1" si="8"/>
        <v>-4.1836869742848011E-6</v>
      </c>
      <c r="E45">
        <f t="shared" ca="1" si="9"/>
        <v>2247.8084723284128</v>
      </c>
      <c r="F45">
        <f t="shared" ca="1" si="10"/>
        <v>191.68893045811274</v>
      </c>
      <c r="G45">
        <f t="shared" ca="1" si="10"/>
        <v>-2000.0000000000864</v>
      </c>
    </row>
    <row r="46" spans="1:7" x14ac:dyDescent="0.25">
      <c r="A46" s="3">
        <f t="shared" si="7"/>
        <v>8.75</v>
      </c>
      <c r="B46">
        <v>-2000</v>
      </c>
      <c r="C46" s="5">
        <f t="shared" ca="1" si="11"/>
        <v>-8.0019492352372597E-5</v>
      </c>
      <c r="D46">
        <f t="shared" ca="1" si="8"/>
        <v>7.6709140237875783E-6</v>
      </c>
      <c r="E46">
        <f t="shared" ca="1" si="9"/>
        <v>2233.2307049429473</v>
      </c>
      <c r="F46">
        <f t="shared" ca="1" si="10"/>
        <v>-308.31106954187817</v>
      </c>
      <c r="G46">
        <f t="shared" ca="1" si="10"/>
        <v>-2000.0000000001291</v>
      </c>
    </row>
    <row r="47" spans="1:7" x14ac:dyDescent="0.25">
      <c r="A47" s="3">
        <f t="shared" si="7"/>
        <v>9</v>
      </c>
      <c r="B47">
        <v>-2000</v>
      </c>
      <c r="C47" s="5">
        <f t="shared" ca="1" si="11"/>
        <v>-7.6624759411939627E-5</v>
      </c>
      <c r="D47">
        <f t="shared" ca="1" si="8"/>
        <v>1.9117696146804563E-5</v>
      </c>
      <c r="E47">
        <f t="shared" ca="1" si="9"/>
        <v>2093.6529375574737</v>
      </c>
      <c r="F47">
        <f t="shared" ca="1" si="10"/>
        <v>-808.31106954195184</v>
      </c>
      <c r="G47">
        <f t="shared" ca="1" si="10"/>
        <v>-2000.0000000001301</v>
      </c>
    </row>
    <row r="48" spans="1:7" x14ac:dyDescent="0.25">
      <c r="A48" s="3">
        <f t="shared" si="7"/>
        <v>9.25</v>
      </c>
      <c r="B48">
        <v>-2000</v>
      </c>
      <c r="C48" s="5">
        <f t="shared" ca="1" si="11"/>
        <v>-7.0460644278970316E-5</v>
      </c>
      <c r="D48">
        <f t="shared" ca="1" si="8"/>
        <v>2.9495283733390395E-5</v>
      </c>
      <c r="E48">
        <f t="shared" ca="1" si="9"/>
        <v>1829.0751701719714</v>
      </c>
      <c r="F48">
        <f t="shared" ca="1" si="10"/>
        <v>-1308.3110695419432</v>
      </c>
      <c r="G48">
        <f t="shared" ca="1" si="10"/>
        <v>-1999.9999999999645</v>
      </c>
    </row>
    <row r="49" spans="1:7" x14ac:dyDescent="0.25">
      <c r="A49" s="3">
        <f t="shared" si="7"/>
        <v>9.5</v>
      </c>
      <c r="B49">
        <v>-2000</v>
      </c>
      <c r="C49" s="5">
        <f t="shared" ca="1" si="11"/>
        <v>-6.187711754524443E-5</v>
      </c>
      <c r="D49">
        <f t="shared" ca="1" si="8"/>
        <v>3.8142301122169424E-5</v>
      </c>
      <c r="E49">
        <f t="shared" ca="1" si="9"/>
        <v>1439.4974027865021</v>
      </c>
      <c r="F49">
        <f t="shared" ca="1" si="10"/>
        <v>-1808.3110695419341</v>
      </c>
      <c r="G49">
        <f t="shared" ca="1" si="10"/>
        <v>-2000.0000000000864</v>
      </c>
    </row>
    <row r="50" spans="1:7" x14ac:dyDescent="0.25">
      <c r="A50" s="3">
        <f t="shared" si="7"/>
        <v>9.75</v>
      </c>
      <c r="B50">
        <v>-2000</v>
      </c>
      <c r="C50" s="5">
        <f t="shared" ca="1" si="11"/>
        <v>-5.1389493717885604E-5</v>
      </c>
      <c r="D50">
        <f t="shared" ca="1" si="8"/>
        <v>4.4397372651766001E-5</v>
      </c>
      <c r="E50">
        <f t="shared" ca="1" si="9"/>
        <v>924.91963540100437</v>
      </c>
      <c r="F50">
        <f t="shared" ca="1" si="10"/>
        <v>-2308.3110695419864</v>
      </c>
      <c r="G50">
        <f t="shared" ca="1" si="10"/>
        <v>-2000.0000000000882</v>
      </c>
    </row>
    <row r="51" spans="1:7" x14ac:dyDescent="0.25">
      <c r="A51" s="3">
        <f t="shared" si="7"/>
        <v>10</v>
      </c>
      <c r="B51">
        <v>-2000</v>
      </c>
      <c r="C51" s="5">
        <f t="shared" ca="1" si="11"/>
        <v>-3.9678431219361429E-5</v>
      </c>
      <c r="D51">
        <f t="shared" ca="1" si="8"/>
        <v>4.7599122660804395E-5</v>
      </c>
      <c r="E51">
        <f t="shared" ca="1" si="9"/>
        <v>285.34186801550879</v>
      </c>
      <c r="F51">
        <f t="shared" ca="1" si="10"/>
        <v>-2808.3110695419782</v>
      </c>
      <c r="G51">
        <f t="shared" ca="1" si="10"/>
        <v>-1999.9999999999964</v>
      </c>
    </row>
    <row r="52" spans="1:7" x14ac:dyDescent="0.25">
      <c r="A52" s="3">
        <f t="shared" si="7"/>
        <v>10.25</v>
      </c>
      <c r="B52">
        <v>-2000</v>
      </c>
      <c r="C52" s="5">
        <f t="shared" ca="1" si="11"/>
        <v>-2.7589932387483407E-5</v>
      </c>
      <c r="D52">
        <f t="shared" ca="1" si="8"/>
        <v>4.7086175487908957E-5</v>
      </c>
      <c r="E52">
        <f t="shared" ca="1" si="9"/>
        <v>-479.23589936998462</v>
      </c>
      <c r="F52">
        <f t="shared" ca="1" si="10"/>
        <v>-3308.3110695419846</v>
      </c>
      <c r="G52">
        <f t="shared" ca="1" si="10"/>
        <v>-2000.0000000000218</v>
      </c>
    </row>
    <row r="53" spans="1:7" x14ac:dyDescent="0.25">
      <c r="A53" s="3">
        <f t="shared" si="7"/>
        <v>10.5</v>
      </c>
      <c r="B53">
        <v>-2000</v>
      </c>
      <c r="C53" s="5">
        <f ca="1">(1/6)*(B53*delta^4/(E*I)-C51+4*C52+4*C54-C56)</f>
        <v>-1.6135343475406951E-5</v>
      </c>
      <c r="D53">
        <f t="shared" ca="1" si="8"/>
        <v>4.2197155471704015E-5</v>
      </c>
      <c r="E53">
        <f t="shared" ca="1" si="9"/>
        <v>-1368.8136667554834</v>
      </c>
      <c r="F53">
        <f t="shared" ca="1" si="10"/>
        <v>-3808.3110695419891</v>
      </c>
      <c r="G53">
        <f t="shared" ca="1" si="10"/>
        <v>-1999.9999999999873</v>
      </c>
    </row>
    <row r="54" spans="1:7" x14ac:dyDescent="0.25">
      <c r="A54" s="3">
        <f t="shared" si="7"/>
        <v>10.75</v>
      </c>
      <c r="B54">
        <v>-2000</v>
      </c>
      <c r="C54" s="5">
        <f ca="1">(1/6)*(B54*delta^4/(E*I)-C52+4*C53+4*C56-C58)</f>
        <v>-6.4913546516313997E-6</v>
      </c>
      <c r="D54">
        <f ca="1">(C56-C53)/(2*delta)</f>
        <v>3.2270686950813902E-5</v>
      </c>
      <c r="E54">
        <f ca="1">E*I*(C56-2*C54+C53)/(delta^2)</f>
        <v>-2383.3914341409791</v>
      </c>
      <c r="F54">
        <f ca="1">(E56-E53)/(2*delta)</f>
        <v>-4308.3110695419782</v>
      </c>
      <c r="G54">
        <f ca="1">(F56-F53)/(2*delta)</f>
        <v>7616.6221390839783</v>
      </c>
    </row>
    <row r="55" spans="1:7" x14ac:dyDescent="0.25">
      <c r="A55" s="4">
        <v>10.999000000000001</v>
      </c>
      <c r="C55" s="10">
        <f ca="1">lagrange($A55,$A50:$A54,C50:C54)</f>
        <v>-1.7742580477750022E-8</v>
      </c>
      <c r="D55" s="10">
        <f t="shared" ref="D55:G55" ca="1" si="12">lagrange($A55,$A50:$A54,D50:D54)</f>
        <v>1.6720124042614087E-5</v>
      </c>
      <c r="E55" s="10">
        <f t="shared" ca="1" si="12"/>
        <v>-3518.1618904569114</v>
      </c>
      <c r="F55" s="10">
        <f t="shared" ca="1" si="12"/>
        <v>-4806.3110695419382</v>
      </c>
      <c r="G55" s="10">
        <f t="shared" ca="1" si="12"/>
        <v>45836.738888379688</v>
      </c>
    </row>
    <row r="56" spans="1:7" x14ac:dyDescent="0.25">
      <c r="A56" s="9">
        <f>A54+delta</f>
        <v>11</v>
      </c>
      <c r="B56">
        <v>-1000</v>
      </c>
      <c r="C56" s="6">
        <v>0</v>
      </c>
      <c r="D56">
        <f ca="1">(C58-C54)/(2*delta)</f>
        <v>1.6645394263862972E-5</v>
      </c>
      <c r="E56">
        <f ca="1">E*I*(C58-2*C56+C54)/(delta^2)</f>
        <v>-3522.9692015264727</v>
      </c>
    </row>
    <row r="57" spans="1:7" x14ac:dyDescent="0.25">
      <c r="A57" s="4">
        <v>11.000999999999999</v>
      </c>
      <c r="C57" s="10">
        <f ca="1">lagrange($A57,$A58:$A62,C58:C62)</f>
        <v>1.6138406314381704E-8</v>
      </c>
      <c r="D57" s="10">
        <f t="shared" ref="D57:G57" ca="1" si="13">lagrange($A57,$A58:$A62,D58:D62)</f>
        <v>1.6570856615459371E-5</v>
      </c>
      <c r="E57" s="10">
        <f t="shared" ca="1" si="13"/>
        <v>-3520.83857261924</v>
      </c>
      <c r="F57" s="10">
        <f t="shared" ca="1" si="13"/>
        <v>2130.6289072322152</v>
      </c>
      <c r="G57" s="10">
        <f t="shared" ca="1" si="13"/>
        <v>21197.118328912962</v>
      </c>
    </row>
    <row r="58" spans="1:7" x14ac:dyDescent="0.25">
      <c r="A58" s="3">
        <f>A56+delta</f>
        <v>11.25</v>
      </c>
      <c r="C58" s="5">
        <f ca="1">(1/6)*(B58*delta^4/(E*I)-C54+4*C56+4*C59-C60)</f>
        <v>1.8313424803000873E-6</v>
      </c>
      <c r="D58">
        <f ca="1">(C59-C56)/(2*delta)</f>
        <v>-5.8550831879545419E-7</v>
      </c>
      <c r="E58">
        <f ca="1">E*I*(C59-2*C58+C56)/(delta^2)</f>
        <v>-2990.3119747184141</v>
      </c>
      <c r="F58">
        <f ca="1">(E59-E56)/(2*delta)</f>
        <v>2130.6289072322352</v>
      </c>
      <c r="G58">
        <f ca="1">(F59-F56)/(2*delta)</f>
        <v>4261.2578144644722</v>
      </c>
    </row>
    <row r="59" spans="1:7" x14ac:dyDescent="0.25">
      <c r="A59" s="3">
        <f t="shared" ref="A59:A68" si="14">A58+delta</f>
        <v>11.5</v>
      </c>
      <c r="C59" s="5">
        <f ca="1">(1/6)*(B59*delta^4/(E*I)-C56+4*C58+4*C60-C61)</f>
        <v>-2.927541593977271E-7</v>
      </c>
      <c r="D59">
        <f t="shared" ref="D59:D67" ca="1" si="15">(C60-C58)/(2*delta)</f>
        <v>-1.4998118696120239E-5</v>
      </c>
      <c r="E59">
        <f t="shared" ref="E59:E67" ca="1" si="16">E*I*(C60-2*C59+C58)/(delta^2)</f>
        <v>-2457.6547479103551</v>
      </c>
      <c r="F59">
        <f t="shared" ref="F59:G67" ca="1" si="17">(E60-E58)/(2*delta)</f>
        <v>2130.6289072322361</v>
      </c>
      <c r="G59">
        <f t="shared" ca="1" si="17"/>
        <v>1.2732925824820995E-11</v>
      </c>
    </row>
    <row r="60" spans="1:7" x14ac:dyDescent="0.25">
      <c r="A60" s="3">
        <f t="shared" si="14"/>
        <v>11.75</v>
      </c>
      <c r="C60" s="5">
        <f t="shared" ref="C60:C66" ca="1" si="18">(1/6)*(B60*delta^4/(E*I)-C58+4*C59+4*C61-C62)</f>
        <v>-5.6677168677600319E-6</v>
      </c>
      <c r="D60">
        <f t="shared" ca="1" si="15"/>
        <v>-2.6592436868111377E-5</v>
      </c>
      <c r="E60">
        <f t="shared" ca="1" si="16"/>
        <v>-1924.9975211022961</v>
      </c>
      <c r="F60">
        <f t="shared" ca="1" si="17"/>
        <v>2130.6289072322415</v>
      </c>
      <c r="G60">
        <f t="shared" ca="1" si="17"/>
        <v>4.7293724492192268E-11</v>
      </c>
    </row>
    <row r="61" spans="1:7" x14ac:dyDescent="0.25">
      <c r="A61" s="3">
        <f t="shared" si="14"/>
        <v>12</v>
      </c>
      <c r="C61" s="5">
        <f t="shared" ca="1" si="18"/>
        <v>-1.3588972593453416E-5</v>
      </c>
      <c r="D61">
        <f t="shared" ca="1" si="15"/>
        <v>-3.536846283476886E-5</v>
      </c>
      <c r="E61">
        <f t="shared" ca="1" si="16"/>
        <v>-1392.3402942942344</v>
      </c>
      <c r="F61">
        <f t="shared" ca="1" si="17"/>
        <v>2130.6289072322597</v>
      </c>
      <c r="G61">
        <f t="shared" ca="1" si="17"/>
        <v>9.7315933089703321E-11</v>
      </c>
    </row>
    <row r="62" spans="1:7" x14ac:dyDescent="0.25">
      <c r="A62" s="3">
        <f t="shared" si="14"/>
        <v>12.25</v>
      </c>
      <c r="C62" s="5">
        <f t="shared" ca="1" si="18"/>
        <v>-2.3351948285144464E-5</v>
      </c>
      <c r="D62">
        <f t="shared" ca="1" si="15"/>
        <v>-4.1326196596092674E-5</v>
      </c>
      <c r="E62">
        <f t="shared" ca="1" si="16"/>
        <v>-859.68306748616624</v>
      </c>
      <c r="F62">
        <f t="shared" ca="1" si="17"/>
        <v>2130.6289072322902</v>
      </c>
      <c r="G62">
        <f t="shared" ca="1" si="17"/>
        <v>2.3010215954855084E-10</v>
      </c>
    </row>
    <row r="63" spans="1:7" x14ac:dyDescent="0.25">
      <c r="A63" s="3">
        <f t="shared" si="14"/>
        <v>12.5</v>
      </c>
      <c r="C63" s="5">
        <f t="shared" ca="1" si="18"/>
        <v>-3.4252070891499753E-5</v>
      </c>
      <c r="D63">
        <f t="shared" ca="1" si="15"/>
        <v>-4.4465638152082767E-5</v>
      </c>
      <c r="E63">
        <f t="shared" ca="1" si="16"/>
        <v>-327.02584067808925</v>
      </c>
      <c r="F63">
        <f t="shared" ca="1" si="17"/>
        <v>2130.6289072323748</v>
      </c>
      <c r="G63">
        <f t="shared" ca="1" si="17"/>
        <v>4.156390787102282E-10</v>
      </c>
    </row>
    <row r="64" spans="1:7" x14ac:dyDescent="0.25">
      <c r="A64" s="3">
        <f t="shared" si="14"/>
        <v>12.75</v>
      </c>
      <c r="C64" s="5">
        <f t="shared" ca="1" si="18"/>
        <v>-4.5584767361185847E-5</v>
      </c>
      <c r="D64">
        <f t="shared" ca="1" si="15"/>
        <v>-4.4786787502739032E-5</v>
      </c>
      <c r="E64">
        <f t="shared" ca="1" si="16"/>
        <v>205.6313861300211</v>
      </c>
      <c r="F64">
        <f t="shared" ca="1" si="17"/>
        <v>2130.628907232498</v>
      </c>
      <c r="G64">
        <f t="shared" ca="1" si="17"/>
        <v>4.8112269723787904E-10</v>
      </c>
    </row>
    <row r="65" spans="1:7" x14ac:dyDescent="0.25">
      <c r="A65" s="3">
        <f t="shared" si="14"/>
        <v>13</v>
      </c>
      <c r="C65" s="5">
        <f t="shared" ca="1" si="18"/>
        <v>-5.6645464642869269E-5</v>
      </c>
      <c r="D65">
        <f t="shared" ca="1" si="15"/>
        <v>-4.2289644648061306E-5</v>
      </c>
      <c r="E65">
        <f t="shared" ca="1" si="16"/>
        <v>738.28861293815964</v>
      </c>
      <c r="F65">
        <f t="shared" ca="1" si="17"/>
        <v>2130.6289072326153</v>
      </c>
      <c r="G65">
        <f t="shared" ca="1" si="17"/>
        <v>5.0204107537865639E-10</v>
      </c>
    </row>
    <row r="66" spans="1:7" x14ac:dyDescent="0.25">
      <c r="A66" s="3">
        <f t="shared" si="14"/>
        <v>13.25</v>
      </c>
      <c r="C66" s="5">
        <f t="shared" ca="1" si="18"/>
        <v>-6.67295896852165E-5</v>
      </c>
      <c r="D66">
        <f t="shared" ca="1" si="15"/>
        <v>-3.6974209588049432E-5</v>
      </c>
      <c r="E66">
        <f t="shared" ca="1" si="16"/>
        <v>1270.9458397463288</v>
      </c>
      <c r="F66">
        <f t="shared" ca="1" si="17"/>
        <v>2130.628907232749</v>
      </c>
      <c r="G66">
        <f t="shared" ca="1" si="17"/>
        <v>5.538822733797133E-10</v>
      </c>
    </row>
    <row r="67" spans="1:7" x14ac:dyDescent="0.25">
      <c r="A67" s="3">
        <f t="shared" si="14"/>
        <v>13.5</v>
      </c>
      <c r="C67" s="5">
        <f ca="1">(1/6)*(B67*delta^4/(E*I)-C65+4*C66+4*C68-C70)</f>
        <v>-7.5132569436893985E-5</v>
      </c>
      <c r="D67">
        <f t="shared" ca="1" si="15"/>
        <v>-2.8840482322703236E-5</v>
      </c>
      <c r="E67">
        <f t="shared" ca="1" si="16"/>
        <v>1803.6030665545341</v>
      </c>
      <c r="F67">
        <f t="shared" ca="1" si="17"/>
        <v>2130.6289072328923</v>
      </c>
      <c r="G67">
        <f t="shared" ca="1" si="17"/>
        <v>6.3482730183750391E-10</v>
      </c>
    </row>
    <row r="68" spans="1:7" x14ac:dyDescent="0.25">
      <c r="A68" s="3">
        <f t="shared" si="14"/>
        <v>13.75</v>
      </c>
      <c r="C68" s="5">
        <f ca="1">(1/6)*(B68*delta^4/(E*I)-C66+4*C67+4*C70-C72)</f>
        <v>-8.1149830846568118E-5</v>
      </c>
      <c r="D68">
        <f ca="1">(C70-C67)/(2*delta)</f>
        <v>-1.7888462852022526E-5</v>
      </c>
      <c r="E68">
        <f ca="1">E*I*(C70-2*C68+C67)/(delta^2)</f>
        <v>2336.260293362775</v>
      </c>
      <c r="F68">
        <f ca="1">(E70-E67)/(2*delta)</f>
        <v>2130.6289072330665</v>
      </c>
      <c r="G68">
        <f ca="1">(F70-F67)/(2*delta)</f>
        <v>-4261.2578144657846</v>
      </c>
    </row>
    <row r="69" spans="1:7" x14ac:dyDescent="0.25">
      <c r="A69" s="4">
        <v>13.999000000000001</v>
      </c>
      <c r="C69" s="10">
        <f ca="1">lagrange($A69,$A64:$A68,C64:C68)</f>
        <v>-8.4072182644961578E-5</v>
      </c>
      <c r="D69" s="10">
        <f t="shared" ref="D69:G69" ca="1" si="19">lagrange($A69,$A64:$A68,D64:D68)</f>
        <v>-4.1788464607842095E-6</v>
      </c>
      <c r="E69" s="10">
        <f t="shared" ca="1" si="19"/>
        <v>2866.7868912638169</v>
      </c>
      <c r="F69" s="10">
        <f t="shared" ca="1" si="19"/>
        <v>2130.6289072333184</v>
      </c>
      <c r="G69" s="10">
        <f t="shared" ca="1" si="19"/>
        <v>-21197.118328922228</v>
      </c>
    </row>
    <row r="70" spans="1:7" x14ac:dyDescent="0.25">
      <c r="A70" s="9">
        <f>A68+delta</f>
        <v>14</v>
      </c>
      <c r="B70">
        <f>-4000/delta</f>
        <v>-16000</v>
      </c>
      <c r="C70" s="5">
        <f ca="1">(1/6)*(B70*delta^4/(E*I)-C67+4*C68+4*C72-C73)</f>
        <v>-8.4076800862905248E-5</v>
      </c>
      <c r="D70">
        <f ca="1">(C72-C68)/(2*delta)</f>
        <v>-4.1181511760070733E-6</v>
      </c>
      <c r="E70">
        <f ca="1">E*I*(C72-2*C70+C68)/(delta^2)</f>
        <v>2868.9175201710673</v>
      </c>
    </row>
    <row r="71" spans="1:7" x14ac:dyDescent="0.25">
      <c r="A71" s="4">
        <v>14.000999999999999</v>
      </c>
      <c r="C71" s="10">
        <f ca="1">lagrange($A71,$A72:$A76,C72:C76)</f>
        <v>-8.4080476542911815E-5</v>
      </c>
      <c r="D71" s="10">
        <f t="shared" ref="D71:G71" ca="1" si="20">lagrange($A71,$A72:$A76,D72:D76)</f>
        <v>-4.0574531265968509E-6</v>
      </c>
      <c r="E71" s="10">
        <f t="shared" ca="1" si="20"/>
        <v>2867.048149078094</v>
      </c>
      <c r="F71" s="10">
        <f t="shared" ca="1" si="20"/>
        <v>-1869.3710927673246</v>
      </c>
      <c r="G71" s="10">
        <f t="shared" ca="1" si="20"/>
        <v>-18597.926705825997</v>
      </c>
    </row>
    <row r="72" spans="1:7" x14ac:dyDescent="0.25">
      <c r="A72" s="3">
        <f>A70+delta</f>
        <v>14.25</v>
      </c>
      <c r="C72" s="5">
        <f ca="1">(1/6)*(B72*delta^4/(E*I)-C68+4*C70+4*C73-C74)</f>
        <v>-8.3208906434571655E-5</v>
      </c>
      <c r="D72">
        <f ca="1">(C73-C70)/(2*delta)</f>
        <v>9.8249500598407685E-6</v>
      </c>
      <c r="E72">
        <f ca="1">E*I*(C73-2*C72+C70)/(delta^2)</f>
        <v>2401.5747469794178</v>
      </c>
      <c r="F72">
        <f ca="1">(E73-E70)/(2*delta)</f>
        <v>-1869.3710927664129</v>
      </c>
      <c r="G72">
        <f ca="1">(F73-F70)/(2*delta)</f>
        <v>-3738.7421855324556</v>
      </c>
    </row>
    <row r="73" spans="1:7" x14ac:dyDescent="0.25">
      <c r="A73" s="3">
        <f t="shared" ref="A73:A83" si="21">A72+delta</f>
        <v>14.5</v>
      </c>
      <c r="C73" s="5">
        <f ca="1">(1/6)*(B73*delta^4/(E*I)-C70+4*C72+4*C74-C75)</f>
        <v>-7.9164325832984864E-5</v>
      </c>
      <c r="D73">
        <f t="shared" ref="D73:D83" ca="1" si="22">(C74-C72)/(2*delta)</f>
        <v>2.1295338210018753E-5</v>
      </c>
      <c r="E73">
        <f t="shared" ref="E73:E83" ca="1" si="23">E*I*(C74-2*C73+C72)/(delta^2)</f>
        <v>1934.2319737878609</v>
      </c>
      <c r="F73">
        <f t="shared" ref="F73:G82" ca="1" si="24">(E74-E72)/(2*delta)</f>
        <v>-1869.3710927662278</v>
      </c>
      <c r="G73">
        <f t="shared" ca="1" si="24"/>
        <v>6.1572791310027242E-10</v>
      </c>
    </row>
    <row r="74" spans="1:7" x14ac:dyDescent="0.25">
      <c r="A74" s="3">
        <f t="shared" si="21"/>
        <v>14.75</v>
      </c>
      <c r="C74" s="5">
        <f t="shared" ref="C74:C82" ca="1" si="25">(1/6)*(B74*delta^4/(E*I)-C72+4*C73+4*C75-C76)</f>
        <v>-7.2561237329562278E-5</v>
      </c>
      <c r="D74">
        <f t="shared" ca="1" si="22"/>
        <v>3.0293013274527124E-5</v>
      </c>
      <c r="E74">
        <f t="shared" ca="1" si="23"/>
        <v>1466.8892005963039</v>
      </c>
      <c r="F74">
        <f t="shared" ca="1" si="24"/>
        <v>-1869.371092766105</v>
      </c>
      <c r="G74">
        <f t="shared" ca="1" si="24"/>
        <v>7.7807271736674011E-10</v>
      </c>
    </row>
    <row r="75" spans="1:7" x14ac:dyDescent="0.25">
      <c r="A75" s="3">
        <f t="shared" si="21"/>
        <v>15</v>
      </c>
      <c r="C75" s="5">
        <f t="shared" ca="1" si="25"/>
        <v>-6.4017819195721302E-5</v>
      </c>
      <c r="D75">
        <f t="shared" ca="1" si="22"/>
        <v>3.6817975253366044E-5</v>
      </c>
      <c r="E75">
        <f t="shared" ca="1" si="23"/>
        <v>999.54642740480836</v>
      </c>
      <c r="F75">
        <f t="shared" ca="1" si="24"/>
        <v>-1869.3710927658387</v>
      </c>
      <c r="G75">
        <f t="shared" ca="1" si="24"/>
        <v>8.1945472629740834E-10</v>
      </c>
    </row>
    <row r="76" spans="1:7" x14ac:dyDescent="0.25">
      <c r="A76" s="3">
        <f t="shared" si="21"/>
        <v>15.25</v>
      </c>
      <c r="C76" s="5">
        <f t="shared" ca="1" si="25"/>
        <v>-5.4152249702879256E-5</v>
      </c>
      <c r="D76">
        <f t="shared" ca="1" si="22"/>
        <v>4.0870224146535866E-5</v>
      </c>
      <c r="E76">
        <f t="shared" ca="1" si="23"/>
        <v>532.20365421338454</v>
      </c>
      <c r="F76">
        <f t="shared" ca="1" si="24"/>
        <v>-1869.3710927656953</v>
      </c>
      <c r="G76">
        <f t="shared" ca="1" si="24"/>
        <v>4.0972736314870417E-10</v>
      </c>
    </row>
    <row r="77" spans="1:7" x14ac:dyDescent="0.25">
      <c r="A77" s="3">
        <f t="shared" si="21"/>
        <v>15.5</v>
      </c>
      <c r="C77" s="5">
        <f t="shared" ca="1" si="25"/>
        <v>-4.3582707122453369E-5</v>
      </c>
      <c r="D77">
        <f t="shared" ca="1" si="22"/>
        <v>4.2449759954036779E-5</v>
      </c>
      <c r="E77">
        <f t="shared" ca="1" si="23"/>
        <v>64.860881021960722</v>
      </c>
      <c r="F77">
        <f t="shared" ca="1" si="24"/>
        <v>-1869.3710927656339</v>
      </c>
      <c r="G77">
        <f t="shared" ca="1" si="24"/>
        <v>3.2787283998914063E-10</v>
      </c>
    </row>
    <row r="78" spans="1:7" x14ac:dyDescent="0.25">
      <c r="A78" s="3">
        <f t="shared" si="21"/>
        <v>15.75</v>
      </c>
      <c r="C78" s="5">
        <f t="shared" ca="1" si="25"/>
        <v>-3.2927369725860867E-5</v>
      </c>
      <c r="D78">
        <f t="shared" ca="1" si="22"/>
        <v>4.1556582675868858E-5</v>
      </c>
      <c r="E78">
        <f t="shared" ca="1" si="23"/>
        <v>-402.48189216943234</v>
      </c>
      <c r="F78">
        <f t="shared" ca="1" si="24"/>
        <v>-1869.3710927655313</v>
      </c>
      <c r="G78">
        <f t="shared" ca="1" si="24"/>
        <v>3.1741365091875196E-10</v>
      </c>
    </row>
    <row r="79" spans="1:7" x14ac:dyDescent="0.25">
      <c r="A79" s="3">
        <f t="shared" si="21"/>
        <v>16</v>
      </c>
      <c r="C79" s="5">
        <f t="shared" ca="1" si="25"/>
        <v>-2.280441578451894E-5</v>
      </c>
      <c r="D79">
        <f t="shared" ca="1" si="22"/>
        <v>3.8190692312032238E-5</v>
      </c>
      <c r="E79">
        <f t="shared" ca="1" si="23"/>
        <v>-869.82466536080494</v>
      </c>
      <c r="F79">
        <f t="shared" ca="1" si="24"/>
        <v>-1869.3710927654752</v>
      </c>
      <c r="G79">
        <f t="shared" ca="1" si="24"/>
        <v>1.8462742445990443E-10</v>
      </c>
    </row>
    <row r="80" spans="1:7" x14ac:dyDescent="0.25">
      <c r="A80" s="3">
        <f t="shared" si="21"/>
        <v>16.25</v>
      </c>
      <c r="C80" s="5">
        <f t="shared" ca="1" si="25"/>
        <v>-1.3832023569844748E-5</v>
      </c>
      <c r="D80">
        <f t="shared" ca="1" si="22"/>
        <v>3.2352088862527001E-5</v>
      </c>
      <c r="E80">
        <f t="shared" ca="1" si="23"/>
        <v>-1337.1674385521699</v>
      </c>
      <c r="F80">
        <f t="shared" ca="1" si="24"/>
        <v>-1869.371092765439</v>
      </c>
      <c r="G80">
        <f t="shared" ca="1" si="24"/>
        <v>1.1459633242338896E-10</v>
      </c>
    </row>
    <row r="81" spans="1:7" x14ac:dyDescent="0.25">
      <c r="A81" s="3">
        <f t="shared" si="21"/>
        <v>16.5</v>
      </c>
      <c r="C81" s="5">
        <f t="shared" ca="1" si="25"/>
        <v>-6.6283713532554377E-6</v>
      </c>
      <c r="D81">
        <f t="shared" ca="1" si="22"/>
        <v>2.4040772327353208E-5</v>
      </c>
      <c r="E81">
        <f t="shared" ca="1" si="23"/>
        <v>-1804.5102117435245</v>
      </c>
      <c r="F81">
        <f t="shared" ca="1" si="24"/>
        <v>-1869.3710927654179</v>
      </c>
      <c r="G81">
        <f t="shared" ca="1" si="24"/>
        <v>4.5019987737759948E-11</v>
      </c>
    </row>
    <row r="82" spans="1:7" x14ac:dyDescent="0.25">
      <c r="A82" s="3">
        <f t="shared" si="21"/>
        <v>16.75</v>
      </c>
      <c r="C82" s="5">
        <f t="shared" ca="1" si="25"/>
        <v>-1.8116374061681431E-6</v>
      </c>
      <c r="D82">
        <f t="shared" ca="1" si="22"/>
        <v>1.3256742706510875E-5</v>
      </c>
      <c r="E82">
        <f t="shared" ca="1" si="23"/>
        <v>-2271.8529849348788</v>
      </c>
      <c r="F82">
        <f t="shared" ca="1" si="24"/>
        <v>-1869.3710927654165</v>
      </c>
      <c r="G82">
        <f t="shared" ca="1" si="24"/>
        <v>4.5474735088646412E-12</v>
      </c>
    </row>
    <row r="83" spans="1:7" x14ac:dyDescent="0.25">
      <c r="A83" s="3">
        <f t="shared" si="21"/>
        <v>17</v>
      </c>
      <c r="C83" s="6">
        <v>0</v>
      </c>
      <c r="D83">
        <f t="shared" ca="1" si="22"/>
        <v>0</v>
      </c>
      <c r="E83">
        <f t="shared" ca="1" si="23"/>
        <v>-2739.1957581262327</v>
      </c>
      <c r="F83" s="8">
        <f ca="1">(0.5*E81-2*E82+1.5*E83)/delta</f>
        <v>-1869.3710927654156</v>
      </c>
      <c r="G83" s="8">
        <f ca="1">(0.5*F81-2*F82+1.5*F83)/delta</f>
        <v>3.637978807091713E-12</v>
      </c>
    </row>
    <row r="84" spans="1:7" x14ac:dyDescent="0.25">
      <c r="C84" s="7">
        <f ca="1">C82</f>
        <v>-1.8116374061681431E-6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4" name="Button 21">
              <controlPr defaultSize="0" print="0" autoFill="0" autoPict="0" macro="[0]!Recalculando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Hoja1</vt:lpstr>
      <vt:lpstr>delta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unalman</dc:creator>
  <cp:lastModifiedBy>unalman</cp:lastModifiedBy>
  <dcterms:created xsi:type="dcterms:W3CDTF">2019-05-03T13:12:32Z</dcterms:created>
  <dcterms:modified xsi:type="dcterms:W3CDTF">2019-05-03T14:48:38Z</dcterms:modified>
</cp:coreProperties>
</file>