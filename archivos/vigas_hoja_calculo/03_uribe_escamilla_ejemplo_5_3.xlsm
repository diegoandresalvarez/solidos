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4795" windowHeight="10485"/>
  </bookViews>
  <sheets>
    <sheet name="Hoja1" sheetId="1" r:id="rId1"/>
    <sheet name="Hoja2" sheetId="2" r:id="rId2"/>
    <sheet name="Hoja3" sheetId="3" r:id="rId3"/>
  </sheets>
  <definedNames>
    <definedName name="cortante">Hoja1!$G$7:$G$75</definedName>
    <definedName name="delta">Hoja1!$B$1</definedName>
    <definedName name="E">Hoja1!$B$2</definedName>
    <definedName name="ejeX">Hoja1!$A$7:$A$75</definedName>
    <definedName name="I">Hoja1!$B$3</definedName>
    <definedName name="momento">Hoja1!$F$7:$F$75</definedName>
    <definedName name="qs">Hoja1!$B$7:$B$75</definedName>
    <definedName name="theta">Hoja1!$E$7:$E$75</definedName>
    <definedName name="ws">Hoja1!$D$7:$D$75</definedName>
  </definedNames>
  <calcPr calcId="125725" calcMode="manual" iterate="1" iterateCount="3" iterateDelta="1E-10" calcCompleted="0" calcOnSave="0"/>
</workbook>
</file>

<file path=xl/calcChain.xml><?xml version="1.0" encoding="utf-8"?>
<calcChain xmlns="http://schemas.openxmlformats.org/spreadsheetml/2006/main">
  <c r="B63" i="1"/>
  <c r="B31"/>
  <c r="B3" l="1"/>
  <c r="A8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K2"/>
  <c r="D6"/>
  <c r="E7"/>
  <c r="F7"/>
  <c r="G7"/>
  <c r="H7"/>
  <c r="D8"/>
  <c r="E8"/>
  <c r="F8"/>
  <c r="G8"/>
  <c r="H8"/>
  <c r="D9"/>
  <c r="E9"/>
  <c r="F9"/>
  <c r="G9"/>
  <c r="H9"/>
  <c r="D10"/>
  <c r="E10"/>
  <c r="F10"/>
  <c r="G10"/>
  <c r="H10"/>
  <c r="D11"/>
  <c r="E11"/>
  <c r="F11"/>
  <c r="G11"/>
  <c r="H11"/>
  <c r="D12"/>
  <c r="E12"/>
  <c r="F12"/>
  <c r="G12"/>
  <c r="H12"/>
  <c r="D13"/>
  <c r="E13"/>
  <c r="F13"/>
  <c r="G13"/>
  <c r="H13"/>
  <c r="D14"/>
  <c r="E14"/>
  <c r="F14"/>
  <c r="G14"/>
  <c r="H14"/>
  <c r="D15"/>
  <c r="E15"/>
  <c r="F15"/>
  <c r="G15"/>
  <c r="H15"/>
  <c r="D16"/>
  <c r="E16"/>
  <c r="F16"/>
  <c r="G16"/>
  <c r="H16"/>
  <c r="D17"/>
  <c r="E17"/>
  <c r="F17"/>
  <c r="G17"/>
  <c r="H17"/>
  <c r="D18"/>
  <c r="E18"/>
  <c r="F18"/>
  <c r="G18"/>
  <c r="H18"/>
  <c r="D19"/>
  <c r="E19"/>
  <c r="F19"/>
  <c r="G19"/>
  <c r="H19"/>
  <c r="D20"/>
  <c r="E20"/>
  <c r="F20"/>
  <c r="G20"/>
  <c r="H20"/>
  <c r="D21"/>
  <c r="E21"/>
  <c r="F21"/>
  <c r="G21"/>
  <c r="H21"/>
  <c r="D22"/>
  <c r="E22"/>
  <c r="F22"/>
  <c r="G22"/>
  <c r="H22"/>
  <c r="D23"/>
  <c r="E23"/>
  <c r="F23"/>
  <c r="G23"/>
  <c r="H23"/>
  <c r="D24"/>
  <c r="E24"/>
  <c r="F24"/>
  <c r="G24"/>
  <c r="H24"/>
  <c r="D25"/>
  <c r="E25"/>
  <c r="F25"/>
  <c r="G25"/>
  <c r="H25"/>
  <c r="D26"/>
  <c r="E26"/>
  <c r="F26"/>
  <c r="G26"/>
  <c r="H26"/>
  <c r="D27"/>
  <c r="E27"/>
  <c r="F27"/>
  <c r="G27"/>
  <c r="H27"/>
  <c r="D28"/>
  <c r="E28"/>
  <c r="F28"/>
  <c r="G28"/>
  <c r="H28"/>
  <c r="D29"/>
  <c r="E29"/>
  <c r="F29"/>
  <c r="G29"/>
  <c r="H29"/>
  <c r="D30"/>
  <c r="E30"/>
  <c r="F30"/>
  <c r="G30"/>
  <c r="H30"/>
  <c r="E31"/>
  <c r="F31"/>
  <c r="G31"/>
  <c r="H31"/>
  <c r="D32"/>
  <c r="E32"/>
  <c r="F32"/>
  <c r="G32"/>
  <c r="H32"/>
  <c r="D33"/>
  <c r="E33"/>
  <c r="F33"/>
  <c r="G33"/>
  <c r="H33"/>
  <c r="D34"/>
  <c r="E34"/>
  <c r="F34"/>
  <c r="G34"/>
  <c r="H34"/>
  <c r="D35"/>
  <c r="E35"/>
  <c r="F35"/>
  <c r="G35"/>
  <c r="H35"/>
  <c r="D36"/>
  <c r="E36"/>
  <c r="F36"/>
  <c r="G36"/>
  <c r="H36"/>
  <c r="D37"/>
  <c r="E37"/>
  <c r="F37"/>
  <c r="G37"/>
  <c r="H37"/>
  <c r="D38"/>
  <c r="E38"/>
  <c r="F38"/>
  <c r="G38"/>
  <c r="H38"/>
  <c r="D39"/>
  <c r="E39"/>
  <c r="F39"/>
  <c r="G39"/>
  <c r="H39"/>
  <c r="D40"/>
  <c r="E40"/>
  <c r="F40"/>
  <c r="G40"/>
  <c r="H40"/>
  <c r="D41"/>
  <c r="E41"/>
  <c r="F41"/>
  <c r="G41"/>
  <c r="H41"/>
  <c r="D42"/>
  <c r="E42"/>
  <c r="F42"/>
  <c r="G42"/>
  <c r="H42"/>
  <c r="D43"/>
  <c r="E43"/>
  <c r="F43"/>
  <c r="G43"/>
  <c r="H43"/>
  <c r="D44"/>
  <c r="E44"/>
  <c r="F44"/>
  <c r="G44"/>
  <c r="H44"/>
  <c r="D45"/>
  <c r="E45"/>
  <c r="F45"/>
  <c r="G45"/>
  <c r="H45"/>
  <c r="D46"/>
  <c r="E46"/>
  <c r="F46"/>
  <c r="G46"/>
  <c r="H46"/>
  <c r="D47"/>
  <c r="E47"/>
  <c r="F47"/>
  <c r="G47"/>
  <c r="H47"/>
  <c r="D48"/>
  <c r="E48"/>
  <c r="F48"/>
  <c r="G48"/>
  <c r="H48"/>
  <c r="D49"/>
  <c r="E49"/>
  <c r="F49"/>
  <c r="G49"/>
  <c r="H49"/>
  <c r="D50"/>
  <c r="E50"/>
  <c r="F50"/>
  <c r="G50"/>
  <c r="H50"/>
  <c r="E51"/>
  <c r="F51"/>
  <c r="G51"/>
  <c r="H51"/>
  <c r="D52"/>
  <c r="E52"/>
  <c r="F52"/>
  <c r="G52"/>
  <c r="H52"/>
  <c r="D53"/>
  <c r="E53"/>
  <c r="F53"/>
  <c r="G53"/>
  <c r="H53"/>
  <c r="D54"/>
  <c r="E54"/>
  <c r="F54"/>
  <c r="G54"/>
  <c r="H54"/>
  <c r="D55"/>
  <c r="E55"/>
  <c r="F55"/>
  <c r="G55"/>
  <c r="H55"/>
  <c r="D56"/>
  <c r="E56"/>
  <c r="F56"/>
  <c r="G56"/>
  <c r="H56"/>
  <c r="D57"/>
  <c r="E57"/>
  <c r="F57"/>
  <c r="G57"/>
  <c r="H57"/>
  <c r="D58"/>
  <c r="E58"/>
  <c r="F58"/>
  <c r="G58"/>
  <c r="H58"/>
  <c r="D59"/>
  <c r="E59"/>
  <c r="F59"/>
  <c r="G59"/>
  <c r="H59"/>
  <c r="D60"/>
  <c r="E60"/>
  <c r="F60"/>
  <c r="G60"/>
  <c r="H60"/>
  <c r="D61"/>
  <c r="E61"/>
  <c r="F61"/>
  <c r="G61"/>
  <c r="H61"/>
  <c r="D62"/>
  <c r="E62"/>
  <c r="F62"/>
  <c r="G62"/>
  <c r="H62"/>
  <c r="D63"/>
  <c r="E63"/>
  <c r="F63"/>
  <c r="G63"/>
  <c r="H63"/>
  <c r="D64"/>
  <c r="E64"/>
  <c r="F64"/>
  <c r="G64"/>
  <c r="H64"/>
  <c r="D65"/>
  <c r="E65"/>
  <c r="F65"/>
  <c r="G65"/>
  <c r="H65"/>
  <c r="D66"/>
  <c r="E66"/>
  <c r="F66"/>
  <c r="G66"/>
  <c r="H66"/>
  <c r="D67"/>
  <c r="E67"/>
  <c r="F67"/>
  <c r="G67"/>
  <c r="H67"/>
  <c r="D68"/>
  <c r="E68"/>
  <c r="F68"/>
  <c r="G68"/>
  <c r="H68"/>
  <c r="D69"/>
  <c r="E69"/>
  <c r="F69"/>
  <c r="G69"/>
  <c r="H69"/>
  <c r="D70"/>
  <c r="E70"/>
  <c r="F70"/>
  <c r="G70"/>
  <c r="H70"/>
  <c r="D71"/>
  <c r="E71"/>
  <c r="F71"/>
  <c r="G71"/>
  <c r="H71"/>
  <c r="D72"/>
  <c r="E72"/>
  <c r="F72"/>
  <c r="G72"/>
  <c r="H72"/>
  <c r="D73"/>
  <c r="E73"/>
  <c r="F73"/>
  <c r="G73"/>
  <c r="H73"/>
  <c r="D74"/>
  <c r="E74"/>
  <c r="F74"/>
  <c r="G74"/>
  <c r="H74"/>
  <c r="E75"/>
  <c r="F75"/>
  <c r="G75"/>
  <c r="H75"/>
  <c r="D76"/>
</calcChain>
</file>

<file path=xl/sharedStrings.xml><?xml version="1.0" encoding="utf-8"?>
<sst xmlns="http://schemas.openxmlformats.org/spreadsheetml/2006/main" count="18" uniqueCount="16">
  <si>
    <t xml:space="preserve">delta = </t>
  </si>
  <si>
    <t>x</t>
  </si>
  <si>
    <t>V</t>
  </si>
  <si>
    <t>M</t>
  </si>
  <si>
    <t>w</t>
  </si>
  <si>
    <t>m</t>
  </si>
  <si>
    <t xml:space="preserve">E = </t>
  </si>
  <si>
    <t>Pa</t>
  </si>
  <si>
    <t>I =</t>
  </si>
  <si>
    <t>m^4</t>
  </si>
  <si>
    <t>q</t>
  </si>
  <si>
    <t>theta</t>
  </si>
  <si>
    <t>q (N/m)</t>
  </si>
  <si>
    <t>w (m)</t>
  </si>
  <si>
    <t>M (N-m)</t>
  </si>
  <si>
    <t>V (N)</t>
  </si>
</sst>
</file>

<file path=xl/styles.xml><?xml version="1.0" encoding="utf-8"?>
<styleSheet xmlns="http://schemas.openxmlformats.org/spreadsheetml/2006/main">
  <numFmts count="2">
    <numFmt numFmtId="164" formatCode="0.0000E+00"/>
    <numFmt numFmtId="165" formatCode="0.0000"/>
  </numFmts>
  <fonts count="4"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Hoja1!$A$7:$A$75</c:f>
              <c:numCache>
                <c:formatCode>0.00</c:formatCode>
                <c:ptCount val="6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</c:numCache>
            </c:numRef>
          </c:xVal>
          <c:yVal>
            <c:numRef>
              <c:f>Hoja1!$B$7:$B$75</c:f>
              <c:numCache>
                <c:formatCode>General</c:formatCode>
                <c:ptCount val="69"/>
                <c:pt idx="0">
                  <c:v>-0.75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-1.75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-16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yVal>
        </c:ser>
        <c:axId val="86526592"/>
        <c:axId val="87224704"/>
      </c:scatterChart>
      <c:valAx>
        <c:axId val="86526592"/>
        <c:scaling>
          <c:orientation val="minMax"/>
          <c:max val="18"/>
          <c:min val="0"/>
        </c:scaling>
        <c:axPos val="b"/>
        <c:numFmt formatCode="0.00" sourceLinked="1"/>
        <c:tickLblPos val="nextTo"/>
        <c:crossAx val="87224704"/>
        <c:crosses val="autoZero"/>
        <c:crossBetween val="midCat"/>
      </c:valAx>
      <c:valAx>
        <c:axId val="87224704"/>
        <c:scaling>
          <c:orientation val="minMax"/>
        </c:scaling>
        <c:axPos val="l"/>
        <c:majorGridlines/>
        <c:numFmt formatCode="General" sourceLinked="1"/>
        <c:tickLblPos val="nextTo"/>
        <c:crossAx val="86526592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Hoja1!$A$7:$A$75</c:f>
              <c:numCache>
                <c:formatCode>0.00</c:formatCode>
                <c:ptCount val="6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</c:numCache>
            </c:numRef>
          </c:xVal>
          <c:yVal>
            <c:numRef>
              <c:f>Hoja1!$G$7:$G$75</c:f>
              <c:numCache>
                <c:formatCode>0.0000</c:formatCode>
                <c:ptCount val="69"/>
                <c:pt idx="0">
                  <c:v>4.3151910756080145</c:v>
                </c:pt>
                <c:pt idx="1">
                  <c:v>4.1276910756078813</c:v>
                </c:pt>
                <c:pt idx="2">
                  <c:v>3.7526910756072875</c:v>
                </c:pt>
                <c:pt idx="3">
                  <c:v>3.3776910756061183</c:v>
                </c:pt>
                <c:pt idx="4">
                  <c:v>3.0026910756043095</c:v>
                </c:pt>
                <c:pt idx="5">
                  <c:v>2.6276910756017404</c:v>
                </c:pt>
                <c:pt idx="6">
                  <c:v>2.2526910755983534</c:v>
                </c:pt>
                <c:pt idx="7">
                  <c:v>1.8776910755941312</c:v>
                </c:pt>
                <c:pt idx="8">
                  <c:v>1.5026910755891989</c:v>
                </c:pt>
                <c:pt idx="9">
                  <c:v>1.1276910755835554</c:v>
                </c:pt>
                <c:pt idx="10">
                  <c:v>0.75269107557723158</c:v>
                </c:pt>
                <c:pt idx="11">
                  <c:v>0.37769107557032822</c:v>
                </c:pt>
                <c:pt idx="12">
                  <c:v>2.6910755630842331E-3</c:v>
                </c:pt>
                <c:pt idx="13">
                  <c:v>-0.37230892444425923</c:v>
                </c:pt>
                <c:pt idx="14">
                  <c:v>-0.74730892445176389</c:v>
                </c:pt>
                <c:pt idx="15">
                  <c:v>-1.1223089244590079</c:v>
                </c:pt>
                <c:pt idx="16">
                  <c:v>-1.4973089244659921</c:v>
                </c:pt>
                <c:pt idx="17">
                  <c:v>-1.8723089244724953</c:v>
                </c:pt>
                <c:pt idx="18">
                  <c:v>-2.2473089244784386</c:v>
                </c:pt>
                <c:pt idx="19">
                  <c:v>-2.6223089244836313</c:v>
                </c:pt>
                <c:pt idx="20">
                  <c:v>-2.9973089244879141</c:v>
                </c:pt>
                <c:pt idx="21">
                  <c:v>-3.3723089244911408</c:v>
                </c:pt>
                <c:pt idx="22">
                  <c:v>-3.7473089244932805</c:v>
                </c:pt>
                <c:pt idx="23">
                  <c:v>-4.1223089244942654</c:v>
                </c:pt>
                <c:pt idx="24">
                  <c:v>0.31594000295575153</c:v>
                </c:pt>
                <c:pt idx="25">
                  <c:v>4.6916889304069676</c:v>
                </c:pt>
                <c:pt idx="26">
                  <c:v>4.1916889304095637</c:v>
                </c:pt>
                <c:pt idx="27">
                  <c:v>3.6916889304132807</c:v>
                </c:pt>
                <c:pt idx="28">
                  <c:v>3.1916889304180613</c:v>
                </c:pt>
                <c:pt idx="29">
                  <c:v>2.6916889304237186</c:v>
                </c:pt>
                <c:pt idx="30">
                  <c:v>2.1916889304301344</c:v>
                </c:pt>
                <c:pt idx="31">
                  <c:v>1.6916889304372349</c:v>
                </c:pt>
                <c:pt idx="32">
                  <c:v>1.1916889304446556</c:v>
                </c:pt>
                <c:pt idx="33">
                  <c:v>0.69168893045247692</c:v>
                </c:pt>
                <c:pt idx="34">
                  <c:v>0.19168893046026803</c:v>
                </c:pt>
                <c:pt idx="35">
                  <c:v>-0.30831106953208032</c:v>
                </c:pt>
                <c:pt idx="36">
                  <c:v>-0.80831106952477061</c:v>
                </c:pt>
                <c:pt idx="37">
                  <c:v>-1.3083110695179996</c:v>
                </c:pt>
                <c:pt idx="38">
                  <c:v>-1.8083110695118696</c:v>
                </c:pt>
                <c:pt idx="39">
                  <c:v>-2.3083110695066802</c:v>
                </c:pt>
                <c:pt idx="40">
                  <c:v>-2.808311069502361</c:v>
                </c:pt>
                <c:pt idx="41">
                  <c:v>-3.3083110694990672</c:v>
                </c:pt>
                <c:pt idx="42">
                  <c:v>-3.8083110694968973</c:v>
                </c:pt>
                <c:pt idx="43">
                  <c:v>-4.3083110694959075</c:v>
                </c:pt>
                <c:pt idx="44">
                  <c:v>-1.2138410811111129</c:v>
                </c:pt>
                <c:pt idx="45">
                  <c:v>2.1306289072725297</c:v>
                </c:pt>
                <c:pt idx="46">
                  <c:v>2.1306289072700832</c:v>
                </c:pt>
                <c:pt idx="47">
                  <c:v>2.1306289072666149</c:v>
                </c:pt>
                <c:pt idx="48">
                  <c:v>2.1306289072621896</c:v>
                </c:pt>
                <c:pt idx="49">
                  <c:v>2.1306289072570128</c:v>
                </c:pt>
                <c:pt idx="50">
                  <c:v>2.1306289072511153</c:v>
                </c:pt>
                <c:pt idx="51">
                  <c:v>2.1306289072446818</c:v>
                </c:pt>
                <c:pt idx="52">
                  <c:v>2.1306289072379379</c:v>
                </c:pt>
                <c:pt idx="53">
                  <c:v>2.1306289072309244</c:v>
                </c:pt>
                <c:pt idx="54">
                  <c:v>2.1306289072239299</c:v>
                </c:pt>
                <c:pt idx="55">
                  <c:v>2.130628907217107</c:v>
                </c:pt>
                <c:pt idx="56">
                  <c:v>0.13062890721042919</c:v>
                </c:pt>
                <c:pt idx="57">
                  <c:v>-1.8693710927957063</c:v>
                </c:pt>
                <c:pt idx="58">
                  <c:v>-1.8693710928013703</c:v>
                </c:pt>
                <c:pt idx="59">
                  <c:v>-1.8693710928064129</c:v>
                </c:pt>
                <c:pt idx="60">
                  <c:v>-1.869371092810715</c:v>
                </c:pt>
                <c:pt idx="61">
                  <c:v>-1.869371092814277</c:v>
                </c:pt>
                <c:pt idx="62">
                  <c:v>-1.8693710928171487</c:v>
                </c:pt>
                <c:pt idx="63">
                  <c:v>-1.86937109281925</c:v>
                </c:pt>
                <c:pt idx="64">
                  <c:v>-1.8693710928207059</c:v>
                </c:pt>
                <c:pt idx="65">
                  <c:v>-1.8693710928215639</c:v>
                </c:pt>
                <c:pt idx="66">
                  <c:v>-1.8693710928219822</c:v>
                </c:pt>
                <c:pt idx="67">
                  <c:v>-1.869371092822127</c:v>
                </c:pt>
                <c:pt idx="68">
                  <c:v>-1.8693710928221066</c:v>
                </c:pt>
              </c:numCache>
            </c:numRef>
          </c:yVal>
        </c:ser>
        <c:axId val="87444480"/>
        <c:axId val="87450368"/>
      </c:scatterChart>
      <c:valAx>
        <c:axId val="87444480"/>
        <c:scaling>
          <c:orientation val="minMax"/>
          <c:max val="18"/>
          <c:min val="0"/>
        </c:scaling>
        <c:axPos val="b"/>
        <c:numFmt formatCode="0.00" sourceLinked="1"/>
        <c:tickLblPos val="nextTo"/>
        <c:crossAx val="87450368"/>
        <c:crosses val="autoZero"/>
        <c:crossBetween val="midCat"/>
      </c:valAx>
      <c:valAx>
        <c:axId val="87450368"/>
        <c:scaling>
          <c:orientation val="minMax"/>
        </c:scaling>
        <c:axPos val="l"/>
        <c:majorGridlines/>
        <c:numFmt formatCode="0.0000" sourceLinked="1"/>
        <c:tickLblPos val="nextTo"/>
        <c:crossAx val="8744448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Hoja1!$A$7:$A$75</c:f>
              <c:numCache>
                <c:formatCode>0.00</c:formatCode>
                <c:ptCount val="6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</c:numCache>
            </c:numRef>
          </c:xVal>
          <c:yVal>
            <c:numRef>
              <c:f>Hoja1!$F$7:$F$75</c:f>
              <c:numCache>
                <c:formatCode>0.0000</c:formatCode>
                <c:ptCount val="69"/>
                <c:pt idx="0">
                  <c:v>-4.4975603071711117</c:v>
                </c:pt>
                <c:pt idx="1">
                  <c:v>-3.4187625382690889</c:v>
                </c:pt>
                <c:pt idx="2">
                  <c:v>-2.4337147693671524</c:v>
                </c:pt>
                <c:pt idx="3">
                  <c:v>-1.5424170004654314</c:v>
                </c:pt>
                <c:pt idx="4">
                  <c:v>-0.74486923156407836</c:v>
                </c:pt>
                <c:pt idx="5">
                  <c:v>-4.1071462663256737E-2</c:v>
                </c:pt>
                <c:pt idx="6">
                  <c:v>0.56897630623681195</c:v>
                </c:pt>
                <c:pt idx="7">
                  <c:v>1.08527407513592</c:v>
                </c:pt>
                <c:pt idx="8">
                  <c:v>1.5078218440338775</c:v>
                </c:pt>
                <c:pt idx="9">
                  <c:v>1.8366196129305095</c:v>
                </c:pt>
                <c:pt idx="10">
                  <c:v>2.0716673818256455</c:v>
                </c:pt>
                <c:pt idx="11">
                  <c:v>2.2129651507191355</c:v>
                </c:pt>
                <c:pt idx="12">
                  <c:v>2.2605129196108193</c:v>
                </c:pt>
                <c:pt idx="13">
                  <c:v>2.2143106885006976</c:v>
                </c:pt>
                <c:pt idx="14">
                  <c:v>2.0743584573886995</c:v>
                </c:pt>
                <c:pt idx="15">
                  <c:v>1.8406562262748256</c:v>
                </c:pt>
                <c:pt idx="16">
                  <c:v>1.5132039951591856</c:v>
                </c:pt>
                <c:pt idx="17">
                  <c:v>1.0920017640418396</c:v>
                </c:pt>
                <c:pt idx="18">
                  <c:v>0.57704953292291783</c:v>
                </c:pt>
                <c:pt idx="19">
                  <c:v>-3.1652698197399701E-2</c:v>
                </c:pt>
                <c:pt idx="20">
                  <c:v>-0.73410492931890792</c:v>
                </c:pt>
                <c:pt idx="21">
                  <c:v>-1.5303071604413567</c:v>
                </c:pt>
                <c:pt idx="22">
                  <c:v>-2.4202593915644832</c:v>
                </c:pt>
                <c:pt idx="23">
                  <c:v>-3.4039616226880005</c:v>
                </c:pt>
                <c:pt idx="24">
                  <c:v>-4.4814138538116168</c:v>
                </c:pt>
                <c:pt idx="25">
                  <c:v>-3.2459916212101239</c:v>
                </c:pt>
                <c:pt idx="26">
                  <c:v>-2.135569388608126</c:v>
                </c:pt>
                <c:pt idx="27">
                  <c:v>-1.1501471560053391</c:v>
                </c:pt>
                <c:pt idx="28">
                  <c:v>-0.2897249234014706</c:v>
                </c:pt>
                <c:pt idx="29">
                  <c:v>0.44569730920370665</c:v>
                </c:pt>
                <c:pt idx="30">
                  <c:v>1.0561195418103839</c:v>
                </c:pt>
                <c:pt idx="31">
                  <c:v>1.5415417744187838</c:v>
                </c:pt>
                <c:pt idx="32">
                  <c:v>1.9019640070290014</c:v>
                </c:pt>
                <c:pt idx="33">
                  <c:v>2.1373862396411618</c:v>
                </c:pt>
                <c:pt idx="34">
                  <c:v>2.2478084722552296</c:v>
                </c:pt>
                <c:pt idx="35">
                  <c:v>2.2332307048712758</c:v>
                </c:pt>
                <c:pt idx="36">
                  <c:v>2.0936529374892192</c:v>
                </c:pt>
                <c:pt idx="37">
                  <c:v>1.8290751701088905</c:v>
                </c:pt>
                <c:pt idx="38">
                  <c:v>1.4394974027302294</c:v>
                </c:pt>
                <c:pt idx="39">
                  <c:v>0.92491963535297572</c:v>
                </c:pt>
                <c:pt idx="40">
                  <c:v>0.28534186797690442</c:v>
                </c:pt>
                <c:pt idx="41">
                  <c:v>-0.47923589939820471</c:v>
                </c:pt>
                <c:pt idx="42">
                  <c:v>-1.3688136667726267</c:v>
                </c:pt>
                <c:pt idx="43">
                  <c:v>-2.3833914341466533</c:v>
                </c:pt>
                <c:pt idx="44">
                  <c:v>-3.5229692015205809</c:v>
                </c:pt>
                <c:pt idx="45">
                  <c:v>-2.990311974702212</c:v>
                </c:pt>
                <c:pt idx="46">
                  <c:v>-2.4576547478843227</c:v>
                </c:pt>
                <c:pt idx="47">
                  <c:v>-1.9249975210671768</c:v>
                </c:pt>
                <c:pt idx="48">
                  <c:v>-1.392340294251029</c:v>
                </c:pt>
                <c:pt idx="49">
                  <c:v>-0.85968306743608691</c:v>
                </c:pt>
                <c:pt idx="50">
                  <c:v>-0.32702584062254014</c:v>
                </c:pt>
                <c:pt idx="51">
                  <c:v>0.20563138618944576</c:v>
                </c:pt>
                <c:pt idx="52">
                  <c:v>0.73828861299979076</c:v>
                </c:pt>
                <c:pt idx="53">
                  <c:v>1.2709458398084099</c:v>
                </c:pt>
                <c:pt idx="54">
                  <c:v>1.8036030666152729</c:v>
                </c:pt>
                <c:pt idx="55">
                  <c:v>2.3362602934204051</c:v>
                </c:pt>
                <c:pt idx="56">
                  <c:v>2.868917520223806</c:v>
                </c:pt>
                <c:pt idx="57">
                  <c:v>2.4015747470256099</c:v>
                </c:pt>
                <c:pt idx="58">
                  <c:v>1.9342319738259428</c:v>
                </c:pt>
                <c:pt idx="59">
                  <c:v>1.4668892006249148</c:v>
                </c:pt>
                <c:pt idx="60">
                  <c:v>0.99954642742270627</c:v>
                </c:pt>
                <c:pt idx="61">
                  <c:v>0.5322036542195473</c:v>
                </c:pt>
                <c:pt idx="62">
                  <c:v>6.4860881015567709E-2</c:v>
                </c:pt>
                <c:pt idx="63">
                  <c:v>-0.40248189218901714</c:v>
                </c:pt>
                <c:pt idx="64">
                  <c:v>-0.86982466539405223</c:v>
                </c:pt>
                <c:pt idx="65">
                  <c:v>-1.3371674385993626</c:v>
                </c:pt>
                <c:pt idx="66">
                  <c:v>-1.8045102118048204</c:v>
                </c:pt>
                <c:pt idx="67">
                  <c:v>-2.2718529850103364</c:v>
                </c:pt>
                <c:pt idx="68">
                  <c:v>-2.739195758215863</c:v>
                </c:pt>
              </c:numCache>
            </c:numRef>
          </c:yVal>
        </c:ser>
        <c:axId val="87457152"/>
        <c:axId val="87458944"/>
      </c:scatterChart>
      <c:valAx>
        <c:axId val="87457152"/>
        <c:scaling>
          <c:orientation val="minMax"/>
          <c:max val="18"/>
          <c:min val="0"/>
        </c:scaling>
        <c:axPos val="b"/>
        <c:numFmt formatCode="0.00" sourceLinked="1"/>
        <c:tickLblPos val="nextTo"/>
        <c:crossAx val="87458944"/>
        <c:crosses val="autoZero"/>
        <c:crossBetween val="midCat"/>
      </c:valAx>
      <c:valAx>
        <c:axId val="87458944"/>
        <c:scaling>
          <c:orientation val="minMax"/>
        </c:scaling>
        <c:axPos val="l"/>
        <c:majorGridlines/>
        <c:numFmt formatCode="0.0000" sourceLinked="1"/>
        <c:tickLblPos val="nextTo"/>
        <c:crossAx val="87457152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xVal>
            <c:numRef>
              <c:f>Hoja1!$A$7:$A$75</c:f>
              <c:numCache>
                <c:formatCode>0.00</c:formatCode>
                <c:ptCount val="6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</c:numCache>
            </c:numRef>
          </c:xVal>
          <c:yVal>
            <c:numRef>
              <c:f>Hoja1!$E$7:$E$75</c:f>
              <c:numCache>
                <c:formatCode>0.0000E+00</c:formatCode>
                <c:ptCount val="69"/>
                <c:pt idx="0">
                  <c:v>0</c:v>
                </c:pt>
                <c:pt idx="1">
                  <c:v>-2.0942653030265019E-8</c:v>
                </c:pt>
                <c:pt idx="2">
                  <c:v>-3.6425397230360689E-8</c:v>
                </c:pt>
                <c:pt idx="3">
                  <c:v>-4.6944264346319457E-8</c:v>
                </c:pt>
                <c:pt idx="4">
                  <c:v>-5.2995286124174558E-8</c:v>
                </c:pt>
                <c:pt idx="5">
                  <c:v>-5.5074494309960099E-8</c:v>
                </c:pt>
                <c:pt idx="6">
                  <c:v>-5.3677920649711223E-8</c:v>
                </c:pt>
                <c:pt idx="7">
                  <c:v>-4.9301596889464101E-8</c:v>
                </c:pt>
                <c:pt idx="8">
                  <c:v>-4.2441554775256117E-8</c:v>
                </c:pt>
                <c:pt idx="9">
                  <c:v>-3.3593826053125622E-8</c:v>
                </c:pt>
                <c:pt idx="10">
                  <c:v>-2.325444246911188E-8</c:v>
                </c:pt>
                <c:pt idx="11">
                  <c:v>-1.1919435769254999E-8</c:v>
                </c:pt>
                <c:pt idx="12">
                  <c:v>-8.4837699595912323E-11</c:v>
                </c:pt>
                <c:pt idx="13">
                  <c:v>1.1753319993823974E-8</c:v>
                </c:pt>
                <c:pt idx="14">
                  <c:v>2.3099005564963173E-8</c:v>
                </c:pt>
                <c:pt idx="15">
                  <c:v>3.3456187267779906E-8</c:v>
                </c:pt>
                <c:pt idx="16">
                  <c:v>4.2328833356232793E-8</c:v>
                </c:pt>
                <c:pt idx="17">
                  <c:v>4.9220912084280691E-8</c:v>
                </c:pt>
                <c:pt idx="18">
                  <c:v>5.3636391705883238E-8</c:v>
                </c:pt>
                <c:pt idx="19">
                  <c:v>5.5079240475000721E-8</c:v>
                </c:pt>
                <c:pt idx="20">
                  <c:v>5.3053426645594466E-8</c:v>
                </c:pt>
                <c:pt idx="21">
                  <c:v>4.7062918471627015E-8</c:v>
                </c:pt>
                <c:pt idx="22">
                  <c:v>3.6611684207062328E-8</c:v>
                </c:pt>
                <c:pt idx="23">
                  <c:v>2.1203692105865811E-8</c:v>
                </c:pt>
                <c:pt idx="24">
                  <c:v>3.429104220043912E-10</c:v>
                </c:pt>
                <c:pt idx="25">
                  <c:v>-2.009996120503778E-8</c:v>
                </c:pt>
                <c:pt idx="26">
                  <c:v>-3.4336895093446919E-8</c:v>
                </c:pt>
                <c:pt idx="27">
                  <c:v>-4.3029266904595208E-8</c:v>
                </c:pt>
                <c:pt idx="28">
                  <c:v>-4.683845229985336E-8</c:v>
                </c:pt>
                <c:pt idx="29">
                  <c:v>-4.6425826940590647E-8</c:v>
                </c:pt>
                <c:pt idx="30">
                  <c:v>-4.2452766488175172E-8</c:v>
                </c:pt>
                <c:pt idx="31">
                  <c:v>-3.5580646603974096E-8</c:v>
                </c:pt>
                <c:pt idx="32">
                  <c:v>-2.6470842949353556E-8</c:v>
                </c:pt>
                <c:pt idx="33">
                  <c:v>-1.5784731185679372E-8</c:v>
                </c:pt>
                <c:pt idx="34">
                  <c:v>-4.1836869743166995E-9</c:v>
                </c:pt>
                <c:pt idx="35">
                  <c:v>7.6709140233691844E-9</c:v>
                </c:pt>
                <c:pt idx="36">
                  <c:v>1.9117696146012766E-8</c:v>
                </c:pt>
                <c:pt idx="37">
                  <c:v>2.9495283732248132E-8</c:v>
                </c:pt>
                <c:pt idx="38">
                  <c:v>3.8142301120708659E-8</c:v>
                </c:pt>
                <c:pt idx="39">
                  <c:v>4.4397372650026884E-8</c:v>
                </c:pt>
                <c:pt idx="40">
                  <c:v>4.7599122658834072E-8</c:v>
                </c:pt>
                <c:pt idx="41">
                  <c:v>4.7086175485760328E-8</c:v>
                </c:pt>
                <c:pt idx="42">
                  <c:v>4.2197155469434352E-8</c:v>
                </c:pt>
                <c:pt idx="43">
                  <c:v>3.2270686948483358E-8</c:v>
                </c:pt>
                <c:pt idx="44">
                  <c:v>1.6645394261533004E-8</c:v>
                </c:pt>
                <c:pt idx="45">
                  <c:v>-5.8550832106646364E-10</c:v>
                </c:pt>
                <c:pt idx="46">
                  <c:v>-1.4998118698278508E-8</c:v>
                </c:pt>
                <c:pt idx="47">
                  <c:v>-2.6592436870106407E-8</c:v>
                </c:pt>
                <c:pt idx="48">
                  <c:v>-3.5368462836554777E-8</c:v>
                </c:pt>
                <c:pt idx="49">
                  <c:v>-4.1326196597629567E-8</c:v>
                </c:pt>
                <c:pt idx="50">
                  <c:v>-4.4465638153337653E-8</c:v>
                </c:pt>
                <c:pt idx="51">
                  <c:v>-4.4786787503686896E-8</c:v>
                </c:pt>
                <c:pt idx="52">
                  <c:v>-4.2289644648685925E-8</c:v>
                </c:pt>
                <c:pt idx="53">
                  <c:v>-3.69742095883437E-8</c:v>
                </c:pt>
                <c:pt idx="54">
                  <c:v>-2.8840482322669565E-8</c:v>
                </c:pt>
                <c:pt idx="55">
                  <c:v>-1.7888462851672798E-8</c:v>
                </c:pt>
                <c:pt idx="56">
                  <c:v>-4.1181511753624514E-9</c:v>
                </c:pt>
                <c:pt idx="57">
                  <c:v>9.8249500607498656E-9</c:v>
                </c:pt>
                <c:pt idx="58">
                  <c:v>2.1295338211153338E-8</c:v>
                </c:pt>
                <c:pt idx="59">
                  <c:v>3.0293013275840421E-8</c:v>
                </c:pt>
                <c:pt idx="60">
                  <c:v>3.6817975254804406E-8</c:v>
                </c:pt>
                <c:pt idx="61">
                  <c:v>4.0870224148039575E-8</c:v>
                </c:pt>
                <c:pt idx="62">
                  <c:v>4.2449759955541215E-8</c:v>
                </c:pt>
                <c:pt idx="63">
                  <c:v>4.1556582677305549E-8</c:v>
                </c:pt>
                <c:pt idx="64">
                  <c:v>3.8190692313329857E-8</c:v>
                </c:pt>
                <c:pt idx="65">
                  <c:v>3.2352088863612246E-8</c:v>
                </c:pt>
                <c:pt idx="66">
                  <c:v>2.4040772328151648E-8</c:v>
                </c:pt>
                <c:pt idx="67">
                  <c:v>1.3256742706947587E-8</c:v>
                </c:pt>
                <c:pt idx="68">
                  <c:v>-2.7710550520526427E-23</c:v>
                </c:pt>
              </c:numCache>
            </c:numRef>
          </c:yVal>
        </c:ser>
        <c:axId val="88739840"/>
        <c:axId val="88741376"/>
      </c:scatterChart>
      <c:valAx>
        <c:axId val="88739840"/>
        <c:scaling>
          <c:orientation val="minMax"/>
          <c:max val="18"/>
          <c:min val="0"/>
        </c:scaling>
        <c:axPos val="b"/>
        <c:numFmt formatCode="0.00" sourceLinked="1"/>
        <c:tickLblPos val="nextTo"/>
        <c:crossAx val="88741376"/>
        <c:crosses val="autoZero"/>
        <c:crossBetween val="midCat"/>
      </c:valAx>
      <c:valAx>
        <c:axId val="88741376"/>
        <c:scaling>
          <c:orientation val="minMax"/>
        </c:scaling>
        <c:axPos val="l"/>
        <c:majorGridlines/>
        <c:numFmt formatCode="0.0000E+00" sourceLinked="1"/>
        <c:tickLblPos val="nextTo"/>
        <c:crossAx val="8873984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v>w</c:v>
          </c:tx>
          <c:xVal>
            <c:numRef>
              <c:f>Hoja1!$A$7:$A$75</c:f>
              <c:numCache>
                <c:formatCode>0.00</c:formatCode>
                <c:ptCount val="69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</c:numCache>
            </c:numRef>
          </c:xVal>
          <c:yVal>
            <c:numRef>
              <c:f>Hoja1!$D$7:$D$75</c:f>
              <c:numCache>
                <c:formatCode>0.0000E+00</c:formatCode>
                <c:ptCount val="69"/>
                <c:pt idx="0">
                  <c:v>0</c:v>
                </c:pt>
                <c:pt idx="1">
                  <c:v>-2.9745769227322018E-9</c:v>
                </c:pt>
                <c:pt idx="2">
                  <c:v>-1.0471326515132458E-8</c:v>
                </c:pt>
                <c:pt idx="3">
                  <c:v>-2.1187275537912434E-8</c:v>
                </c:pt>
                <c:pt idx="4">
                  <c:v>-3.3943458688292E-8</c:v>
                </c:pt>
                <c:pt idx="5">
                  <c:v>-4.7684918599999448E-8</c:v>
                </c:pt>
                <c:pt idx="6">
                  <c:v>-6.1480705843271706E-8</c:v>
                </c:pt>
                <c:pt idx="7">
                  <c:v>-7.4523878924854609E-8</c:v>
                </c:pt>
                <c:pt idx="8">
                  <c:v>-8.6131504288003213E-8</c:v>
                </c:pt>
                <c:pt idx="9">
                  <c:v>-9.5744656312482046E-8</c:v>
                </c:pt>
                <c:pt idx="10">
                  <c:v>-1.0292841731456534E-7</c:v>
                </c:pt>
                <c:pt idx="11">
                  <c:v>-1.0737187754703724E-7</c:v>
                </c:pt>
                <c:pt idx="12">
                  <c:v>-1.0888813519919206E-7</c:v>
                </c:pt>
                <c:pt idx="13">
                  <c:v>-1.0741429639683441E-7</c:v>
                </c:pt>
                <c:pt idx="14">
                  <c:v>-1.0301147520227926E-7</c:v>
                </c:pt>
                <c:pt idx="15">
                  <c:v>-9.5864793614352026E-8</c:v>
                </c:pt>
                <c:pt idx="16">
                  <c:v>-8.6283381568388527E-8</c:v>
                </c:pt>
                <c:pt idx="17">
                  <c:v>-7.4700376936234915E-8</c:v>
                </c:pt>
                <c:pt idx="18">
                  <c:v>-6.167292552624752E-8</c:v>
                </c:pt>
                <c:pt idx="19">
                  <c:v>-4.7882181083292713E-8</c:v>
                </c:pt>
                <c:pt idx="20">
                  <c:v>-3.4133305288746669E-8</c:v>
                </c:pt>
                <c:pt idx="21">
                  <c:v>-2.1355467760495103E-8</c:v>
                </c:pt>
                <c:pt idx="22">
                  <c:v>-1.0601846052932905E-8</c:v>
                </c:pt>
                <c:pt idx="23">
                  <c:v>-3.0496256569638071E-9</c:v>
                </c:pt>
                <c:pt idx="24">
                  <c:v>0</c:v>
                </c:pt>
                <c:pt idx="25">
                  <c:v>-2.8781704459617443E-9</c:v>
                </c:pt>
                <c:pt idx="26">
                  <c:v>-1.0049980602519158E-8</c:v>
                </c:pt>
                <c:pt idx="27">
                  <c:v>-2.0046617992685594E-8</c:v>
                </c:pt>
                <c:pt idx="28">
                  <c:v>-3.1564614054817274E-8</c:v>
                </c:pt>
                <c:pt idx="29">
                  <c:v>-4.3465844142612889E-8</c:v>
                </c:pt>
                <c:pt idx="30">
                  <c:v>-5.4777527525113285E-8</c:v>
                </c:pt>
                <c:pt idx="31">
                  <c:v>-6.4692227386701243E-8</c:v>
                </c:pt>
                <c:pt idx="32">
                  <c:v>-7.2567850827101141E-8</c:v>
                </c:pt>
                <c:pt idx="33">
                  <c:v>-7.7927648861378894E-8</c:v>
                </c:pt>
                <c:pt idx="34">
                  <c:v>-8.0460216419941687E-8</c:v>
                </c:pt>
                <c:pt idx="35">
                  <c:v>-8.0019492348538065E-8</c:v>
                </c:pt>
                <c:pt idx="36">
                  <c:v>-7.6624759408257902E-8</c:v>
                </c:pt>
                <c:pt idx="37">
                  <c:v>-7.0460644275532436E-8</c:v>
                </c:pt>
                <c:pt idx="38">
                  <c:v>-6.1877117542134524E-8</c:v>
                </c:pt>
                <c:pt idx="39">
                  <c:v>-5.1389493715178709E-8</c:v>
                </c:pt>
                <c:pt idx="40">
                  <c:v>-3.9678431217121585E-8</c:v>
                </c:pt>
                <c:pt idx="41">
                  <c:v>-2.7589932385762057E-8</c:v>
                </c:pt>
                <c:pt idx="42">
                  <c:v>-1.6135343474241679E-8</c:v>
                </c:pt>
                <c:pt idx="43">
                  <c:v>-6.4913546510450109E-9</c:v>
                </c:pt>
                <c:pt idx="44">
                  <c:v>0</c:v>
                </c:pt>
                <c:pt idx="45">
                  <c:v>1.8313424797216195E-9</c:v>
                </c:pt>
                <c:pt idx="46">
                  <c:v>-2.9275416053297927E-10</c:v>
                </c:pt>
                <c:pt idx="47">
                  <c:v>-5.6677168694172681E-9</c:v>
                </c:pt>
                <c:pt idx="48">
                  <c:v>-1.3588972595585706E-8</c:v>
                </c:pt>
                <c:pt idx="49">
                  <c:v>-2.3351948287694098E-8</c:v>
                </c:pt>
                <c:pt idx="50">
                  <c:v>-3.4252070894399847E-8</c:v>
                </c:pt>
                <c:pt idx="51">
                  <c:v>-4.558476736436221E-8</c:v>
                </c:pt>
                <c:pt idx="52">
                  <c:v>-5.6645464646242547E-8</c:v>
                </c:pt>
                <c:pt idx="53">
                  <c:v>-6.6729589688704405E-8</c:v>
                </c:pt>
                <c:pt idx="54">
                  <c:v>-7.5132569440413643E-8</c:v>
                </c:pt>
                <c:pt idx="55">
                  <c:v>-8.1149830850038459E-8</c:v>
                </c:pt>
                <c:pt idx="56">
                  <c:v>-8.4076800866249314E-8</c:v>
                </c:pt>
                <c:pt idx="57">
                  <c:v>-8.3208906437718997E-8</c:v>
                </c:pt>
                <c:pt idx="58">
                  <c:v>-7.9164325835873746E-8</c:v>
                </c:pt>
                <c:pt idx="59">
                  <c:v>-7.2561237332141759E-8</c:v>
                </c:pt>
                <c:pt idx="60">
                  <c:v>-6.4017819197953032E-8</c:v>
                </c:pt>
                <c:pt idx="61">
                  <c:v>-5.4152249704739139E-8</c:v>
                </c:pt>
                <c:pt idx="62">
                  <c:v>-4.3582707123932914E-8</c:v>
                </c:pt>
                <c:pt idx="63">
                  <c:v>-3.2927369726968286E-8</c:v>
                </c:pt>
                <c:pt idx="64">
                  <c:v>-2.2804415785279967E-8</c:v>
                </c:pt>
                <c:pt idx="65">
                  <c:v>-1.3832023570303253E-8</c:v>
                </c:pt>
                <c:pt idx="66">
                  <c:v>-6.6283713534737937E-9</c:v>
                </c:pt>
                <c:pt idx="67">
                  <c:v>-1.8116374062274153E-9</c:v>
                </c:pt>
                <c:pt idx="68">
                  <c:v>0</c:v>
                </c:pt>
              </c:numCache>
            </c:numRef>
          </c:yVal>
        </c:ser>
        <c:axId val="88764800"/>
        <c:axId val="88766336"/>
      </c:scatterChart>
      <c:valAx>
        <c:axId val="88764800"/>
        <c:scaling>
          <c:orientation val="minMax"/>
          <c:max val="18"/>
          <c:min val="0"/>
        </c:scaling>
        <c:axPos val="b"/>
        <c:numFmt formatCode="0.00" sourceLinked="1"/>
        <c:tickLblPos val="nextTo"/>
        <c:crossAx val="88766336"/>
        <c:crosses val="autoZero"/>
        <c:crossBetween val="midCat"/>
      </c:valAx>
      <c:valAx>
        <c:axId val="88766336"/>
        <c:scaling>
          <c:orientation val="minMax"/>
        </c:scaling>
        <c:axPos val="l"/>
        <c:majorGridlines/>
        <c:numFmt formatCode="0.0000E+00" sourceLinked="1"/>
        <c:tickLblPos val="nextTo"/>
        <c:crossAx val="8876480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3</xdr:row>
      <xdr:rowOff>180975</xdr:rowOff>
    </xdr:from>
    <xdr:to>
      <xdr:col>19</xdr:col>
      <xdr:colOff>733425</xdr:colOff>
      <xdr:row>11</xdr:row>
      <xdr:rowOff>171450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13</xdr:row>
      <xdr:rowOff>0</xdr:rowOff>
    </xdr:from>
    <xdr:to>
      <xdr:col>19</xdr:col>
      <xdr:colOff>733425</xdr:colOff>
      <xdr:row>20</xdr:row>
      <xdr:rowOff>180975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21</xdr:row>
      <xdr:rowOff>180975</xdr:rowOff>
    </xdr:from>
    <xdr:to>
      <xdr:col>19</xdr:col>
      <xdr:colOff>733425</xdr:colOff>
      <xdr:row>29</xdr:row>
      <xdr:rowOff>171450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31</xdr:row>
      <xdr:rowOff>9525</xdr:rowOff>
    </xdr:from>
    <xdr:to>
      <xdr:col>19</xdr:col>
      <xdr:colOff>723900</xdr:colOff>
      <xdr:row>39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40</xdr:row>
      <xdr:rowOff>28575</xdr:rowOff>
    </xdr:from>
    <xdr:to>
      <xdr:col>19</xdr:col>
      <xdr:colOff>723900</xdr:colOff>
      <xdr:row>48</xdr:row>
      <xdr:rowOff>19050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20</xdr:col>
      <xdr:colOff>704132</xdr:colOff>
      <xdr:row>4</xdr:row>
      <xdr:rowOff>66675</xdr:rowOff>
    </xdr:from>
    <xdr:to>
      <xdr:col>28</xdr:col>
      <xdr:colOff>645531</xdr:colOff>
      <xdr:row>32</xdr:row>
      <xdr:rowOff>114300</xdr:rowOff>
    </xdr:to>
    <xdr:pic>
      <xdr:nvPicPr>
        <xdr:cNvPr id="9" name="8 Imagen" descr="ej_5_3_1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267982" y="828675"/>
          <a:ext cx="6037399" cy="5381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K76"/>
  <sheetViews>
    <sheetView tabSelected="1" workbookViewId="0">
      <selection activeCell="A16" sqref="A16"/>
    </sheetView>
  </sheetViews>
  <sheetFormatPr baseColWidth="10" defaultRowHeight="15"/>
  <cols>
    <col min="1" max="1" width="11.85546875" bestFit="1" customWidth="1"/>
    <col min="4" max="4" width="12.7109375" bestFit="1" customWidth="1"/>
    <col min="5" max="5" width="11.7109375" bestFit="1" customWidth="1"/>
    <col min="6" max="6" width="12.85546875" bestFit="1" customWidth="1"/>
    <col min="7" max="7" width="12" bestFit="1" customWidth="1"/>
    <col min="8" max="8" width="12.28515625" bestFit="1" customWidth="1"/>
  </cols>
  <sheetData>
    <row r="1" spans="1:11">
      <c r="A1" t="s">
        <v>0</v>
      </c>
      <c r="B1">
        <v>0.25</v>
      </c>
      <c r="C1" t="s">
        <v>5</v>
      </c>
    </row>
    <row r="2" spans="1:11">
      <c r="A2" t="s">
        <v>6</v>
      </c>
      <c r="B2" s="3">
        <v>210000000000</v>
      </c>
      <c r="C2" t="s">
        <v>7</v>
      </c>
      <c r="D2" s="12"/>
      <c r="K2">
        <f ca="1">10000000000*SUM(D8:D74)</f>
        <v>-32473.29880715429</v>
      </c>
    </row>
    <row r="3" spans="1:11">
      <c r="A3" t="s">
        <v>8</v>
      </c>
      <c r="B3">
        <f>0.1*0.3^3/12</f>
        <v>2.2500000000000002E-4</v>
      </c>
      <c r="C3" t="s">
        <v>9</v>
      </c>
    </row>
    <row r="4" spans="1:11">
      <c r="D4" s="2" t="s">
        <v>13</v>
      </c>
      <c r="E4" s="2" t="s">
        <v>11</v>
      </c>
      <c r="F4" s="2" t="s">
        <v>14</v>
      </c>
      <c r="G4" s="2" t="s">
        <v>15</v>
      </c>
      <c r="H4" s="2" t="s">
        <v>12</v>
      </c>
    </row>
    <row r="5" spans="1:11">
      <c r="A5" s="2"/>
      <c r="B5" s="2"/>
      <c r="C5" s="2"/>
    </row>
    <row r="6" spans="1:11">
      <c r="A6" s="2" t="s">
        <v>1</v>
      </c>
      <c r="B6" s="2" t="s">
        <v>12</v>
      </c>
      <c r="C6" s="2"/>
      <c r="D6" s="8">
        <f ca="1">D8</f>
        <v>-2.9745769227322162E-9</v>
      </c>
      <c r="E6" s="6"/>
      <c r="F6" s="2"/>
      <c r="G6" s="2"/>
      <c r="H6" s="2"/>
      <c r="I6" s="2"/>
    </row>
    <row r="7" spans="1:11">
      <c r="A7" s="1">
        <v>0</v>
      </c>
      <c r="B7" s="4">
        <v>-0.75</v>
      </c>
      <c r="C7" s="2"/>
      <c r="D7" s="11">
        <v>0</v>
      </c>
      <c r="E7" s="6">
        <f t="shared" ref="E7:E75" ca="1" si="0">(D8-D6)/(2*delta)</f>
        <v>0</v>
      </c>
      <c r="F7" s="7">
        <f t="shared" ref="F7:F75" ca="1" si="1">E*I*(D8-2*D7+D6)/delta^2</f>
        <v>-4.4975603071711117</v>
      </c>
      <c r="G7" s="10">
        <f ca="1">(F8-F7)/delta</f>
        <v>4.3151910756080145</v>
      </c>
      <c r="H7" s="10">
        <f ca="1">(G8-G7)/delta</f>
        <v>-0.75000000000042277</v>
      </c>
      <c r="I7" s="2"/>
    </row>
    <row r="8" spans="1:11">
      <c r="A8" s="1">
        <f t="shared" ref="A8:A73" si="2">+A7+delta</f>
        <v>0.25</v>
      </c>
      <c r="B8" s="4">
        <v>-1.5</v>
      </c>
      <c r="C8" s="2"/>
      <c r="D8" s="9">
        <f t="shared" ref="D8:D70" ca="1" si="3">((B8*delta^4/(E*I))-D6+4*D7+4*D9-D10)/6</f>
        <v>-2.9745769227322018E-9</v>
      </c>
      <c r="E8" s="6">
        <f t="shared" ca="1" si="0"/>
        <v>-2.0942653030265019E-8</v>
      </c>
      <c r="F8" s="7">
        <f t="shared" ca="1" si="1"/>
        <v>-3.4187625382690889</v>
      </c>
      <c r="G8" s="7">
        <f t="shared" ref="G8:H9" ca="1" si="4">(F9-F7)/(2*delta)</f>
        <v>4.1276910756078813</v>
      </c>
      <c r="H8" s="7">
        <f t="shared" ca="1" si="4"/>
        <v>-1.1250000000014024</v>
      </c>
      <c r="I8" s="2"/>
      <c r="J8" s="5" t="s">
        <v>10</v>
      </c>
    </row>
    <row r="9" spans="1:11">
      <c r="A9" s="1">
        <f t="shared" si="2"/>
        <v>0.5</v>
      </c>
      <c r="B9" s="4">
        <v>-1.5</v>
      </c>
      <c r="C9" s="2"/>
      <c r="D9" s="9">
        <f t="shared" ca="1" si="3"/>
        <v>-1.0471326515132458E-8</v>
      </c>
      <c r="E9" s="6">
        <f t="shared" ca="1" si="0"/>
        <v>-3.6425397230360689E-8</v>
      </c>
      <c r="F9" s="7">
        <f t="shared" ca="1" si="1"/>
        <v>-2.4337147693671524</v>
      </c>
      <c r="G9" s="7">
        <f t="shared" ca="1" si="4"/>
        <v>3.7526910756072875</v>
      </c>
      <c r="H9" s="7">
        <f t="shared" ca="1" si="4"/>
        <v>-1.5000000000034124</v>
      </c>
      <c r="I9" s="2"/>
      <c r="J9" s="5"/>
    </row>
    <row r="10" spans="1:11">
      <c r="A10" s="1">
        <f t="shared" si="2"/>
        <v>0.75</v>
      </c>
      <c r="B10" s="4">
        <v>-1.5</v>
      </c>
      <c r="C10" s="2"/>
      <c r="D10" s="9">
        <f t="shared" ca="1" si="3"/>
        <v>-2.1187275537912434E-8</v>
      </c>
      <c r="E10" s="6">
        <f t="shared" ref="E10:E63" ca="1" si="5">(D11-D9)/(2*delta)</f>
        <v>-4.6944264346319457E-8</v>
      </c>
      <c r="F10" s="7">
        <f t="shared" ref="F10:F63" ca="1" si="6">E*I*(D11-2*D10+D9)/delta^2</f>
        <v>-1.5424170004654314</v>
      </c>
      <c r="G10" s="7">
        <f t="shared" ref="G10:G63" ca="1" si="7">(F11-F9)/(2*delta)</f>
        <v>3.3776910756061183</v>
      </c>
      <c r="H10" s="7">
        <f t="shared" ref="H10:H63" ca="1" si="8">(G11-G9)/(2*delta)</f>
        <v>-1.5000000000058815</v>
      </c>
      <c r="I10" s="2"/>
      <c r="J10" s="5"/>
    </row>
    <row r="11" spans="1:11">
      <c r="A11" s="1">
        <f t="shared" si="2"/>
        <v>1</v>
      </c>
      <c r="B11" s="4">
        <v>-1.5</v>
      </c>
      <c r="C11" s="2"/>
      <c r="D11" s="9">
        <f t="shared" ca="1" si="3"/>
        <v>-3.3943458688292E-8</v>
      </c>
      <c r="E11" s="6">
        <f t="shared" ca="1" si="5"/>
        <v>-5.2995286124174558E-8</v>
      </c>
      <c r="F11" s="7">
        <f t="shared" ca="1" si="6"/>
        <v>-0.74486923156407836</v>
      </c>
      <c r="G11" s="7">
        <f t="shared" ca="1" si="7"/>
        <v>3.0026910756043095</v>
      </c>
      <c r="H11" s="7">
        <f t="shared" ca="1" si="8"/>
        <v>-1.5000000000086553</v>
      </c>
      <c r="I11" s="2"/>
      <c r="J11" s="5"/>
    </row>
    <row r="12" spans="1:11">
      <c r="A12" s="1">
        <f t="shared" si="2"/>
        <v>1.25</v>
      </c>
      <c r="B12" s="4">
        <v>-1.5</v>
      </c>
      <c r="C12" s="2"/>
      <c r="D12" s="9">
        <f t="shared" ca="1" si="3"/>
        <v>-4.7684918599999448E-8</v>
      </c>
      <c r="E12" s="6">
        <f t="shared" ca="1" si="5"/>
        <v>-5.5074494309960099E-8</v>
      </c>
      <c r="F12" s="7">
        <f t="shared" ca="1" si="6"/>
        <v>-4.1071462663256737E-2</v>
      </c>
      <c r="G12" s="7">
        <f t="shared" ca="1" si="7"/>
        <v>2.6276910756017404</v>
      </c>
      <c r="H12" s="7">
        <f t="shared" ca="1" si="8"/>
        <v>-1.5000000000118723</v>
      </c>
      <c r="I12" s="2"/>
      <c r="J12" s="5"/>
    </row>
    <row r="13" spans="1:11">
      <c r="A13" s="1">
        <f t="shared" si="2"/>
        <v>1.5</v>
      </c>
      <c r="B13" s="4">
        <v>-1.5</v>
      </c>
      <c r="C13" s="2"/>
      <c r="D13" s="9">
        <f t="shared" ca="1" si="3"/>
        <v>-6.1480705843271706E-8</v>
      </c>
      <c r="E13" s="6">
        <f t="shared" ca="1" si="5"/>
        <v>-5.3677920649711223E-8</v>
      </c>
      <c r="F13" s="7">
        <f t="shared" ca="1" si="6"/>
        <v>0.56897630623681195</v>
      </c>
      <c r="G13" s="7">
        <f t="shared" ca="1" si="7"/>
        <v>2.2526910755983534</v>
      </c>
      <c r="H13" s="7">
        <f t="shared" ca="1" si="8"/>
        <v>-1.5000000000150586</v>
      </c>
      <c r="I13" s="2"/>
      <c r="J13" s="5"/>
    </row>
    <row r="14" spans="1:11">
      <c r="A14" s="1">
        <f t="shared" si="2"/>
        <v>1.75</v>
      </c>
      <c r="B14" s="4">
        <v>-1.5</v>
      </c>
      <c r="C14" s="2"/>
      <c r="D14" s="9">
        <f t="shared" ca="1" si="3"/>
        <v>-7.4523878924854609E-8</v>
      </c>
      <c r="E14" s="6">
        <f t="shared" ca="1" si="5"/>
        <v>-4.9301596889464101E-8</v>
      </c>
      <c r="F14" s="7">
        <f t="shared" ca="1" si="6"/>
        <v>1.08527407513592</v>
      </c>
      <c r="G14" s="7">
        <f t="shared" ca="1" si="7"/>
        <v>1.8776910755941312</v>
      </c>
      <c r="H14" s="7">
        <f t="shared" ca="1" si="8"/>
        <v>-1.500000000018229</v>
      </c>
      <c r="I14" s="2"/>
      <c r="J14" s="5"/>
    </row>
    <row r="15" spans="1:11">
      <c r="A15" s="1">
        <f t="shared" si="2"/>
        <v>2</v>
      </c>
      <c r="B15" s="4">
        <v>-1.5</v>
      </c>
      <c r="C15" s="2"/>
      <c r="D15" s="9">
        <f t="shared" ca="1" si="3"/>
        <v>-8.6131504288003213E-8</v>
      </c>
      <c r="E15" s="6">
        <f t="shared" ca="1" si="5"/>
        <v>-4.2441554775256117E-8</v>
      </c>
      <c r="F15" s="7">
        <f t="shared" ca="1" si="6"/>
        <v>1.5078218440338775</v>
      </c>
      <c r="G15" s="7">
        <f t="shared" ca="1" si="7"/>
        <v>1.5026910755891989</v>
      </c>
      <c r="H15" s="7">
        <f t="shared" ca="1" si="8"/>
        <v>-1.5000000000211515</v>
      </c>
      <c r="I15" s="2"/>
      <c r="J15" s="5"/>
    </row>
    <row r="16" spans="1:11">
      <c r="A16" s="1">
        <f t="shared" si="2"/>
        <v>2.25</v>
      </c>
      <c r="B16" s="4">
        <v>-1.5</v>
      </c>
      <c r="C16" s="2"/>
      <c r="D16" s="9">
        <f t="shared" ca="1" si="3"/>
        <v>-9.5744656312482046E-8</v>
      </c>
      <c r="E16" s="6">
        <f t="shared" ca="1" si="5"/>
        <v>-3.3593826053125622E-8</v>
      </c>
      <c r="F16" s="7">
        <f t="shared" ca="1" si="6"/>
        <v>1.8366196129305095</v>
      </c>
      <c r="G16" s="7">
        <f t="shared" ca="1" si="7"/>
        <v>1.1276910755835554</v>
      </c>
      <c r="H16" s="7">
        <f t="shared" ca="1" si="8"/>
        <v>-1.5000000000239337</v>
      </c>
      <c r="I16" s="2"/>
      <c r="J16" s="5"/>
    </row>
    <row r="17" spans="1:10">
      <c r="A17" s="1">
        <f t="shared" si="2"/>
        <v>2.5</v>
      </c>
      <c r="B17" s="4">
        <v>-1.5</v>
      </c>
      <c r="C17" s="2"/>
      <c r="D17" s="9">
        <f t="shared" ca="1" si="3"/>
        <v>-1.0292841731456534E-7</v>
      </c>
      <c r="E17" s="6">
        <f t="shared" ca="1" si="5"/>
        <v>-2.325444246911188E-8</v>
      </c>
      <c r="F17" s="7">
        <f t="shared" ca="1" si="6"/>
        <v>2.0716673818256455</v>
      </c>
      <c r="G17" s="7">
        <f t="shared" ca="1" si="7"/>
        <v>0.75269107557723158</v>
      </c>
      <c r="H17" s="7">
        <f t="shared" ca="1" si="8"/>
        <v>-1.5000000000263336</v>
      </c>
      <c r="I17" s="2"/>
      <c r="J17" s="5" t="s">
        <v>2</v>
      </c>
    </row>
    <row r="18" spans="1:10">
      <c r="A18" s="1">
        <f t="shared" si="2"/>
        <v>2.75</v>
      </c>
      <c r="B18" s="4">
        <v>-1.5</v>
      </c>
      <c r="C18" s="2"/>
      <c r="D18" s="9">
        <f t="shared" ca="1" si="3"/>
        <v>-1.0737187754703724E-7</v>
      </c>
      <c r="E18" s="6">
        <f t="shared" ca="1" si="5"/>
        <v>-1.1919435769254999E-8</v>
      </c>
      <c r="F18" s="7">
        <f t="shared" ca="1" si="6"/>
        <v>2.2129651507191355</v>
      </c>
      <c r="G18" s="7">
        <f t="shared" ca="1" si="7"/>
        <v>0.37769107557032822</v>
      </c>
      <c r="H18" s="7">
        <f t="shared" ca="1" si="8"/>
        <v>-1.500000000028094</v>
      </c>
      <c r="I18" s="2"/>
      <c r="J18" s="5"/>
    </row>
    <row r="19" spans="1:10">
      <c r="A19" s="1">
        <f t="shared" si="2"/>
        <v>3</v>
      </c>
      <c r="B19" s="4">
        <v>-1.5</v>
      </c>
      <c r="C19" s="2"/>
      <c r="D19" s="9">
        <f t="shared" ca="1" si="3"/>
        <v>-1.0888813519919206E-7</v>
      </c>
      <c r="E19" s="6">
        <f t="shared" ca="1" si="5"/>
        <v>-8.4837699595912323E-11</v>
      </c>
      <c r="F19" s="7">
        <f t="shared" ca="1" si="6"/>
        <v>2.2605129196108193</v>
      </c>
      <c r="G19" s="7">
        <f t="shared" ca="1" si="7"/>
        <v>2.6910755630842331E-3</v>
      </c>
      <c r="H19" s="7">
        <f t="shared" ca="1" si="8"/>
        <v>-1.5000000000290168</v>
      </c>
      <c r="I19" s="2"/>
      <c r="J19" s="5"/>
    </row>
    <row r="20" spans="1:10">
      <c r="A20" s="1">
        <f t="shared" si="2"/>
        <v>3.25</v>
      </c>
      <c r="B20" s="4">
        <v>-1.5</v>
      </c>
      <c r="C20" s="2"/>
      <c r="D20" s="9">
        <f t="shared" ca="1" si="3"/>
        <v>-1.0741429639683441E-7</v>
      </c>
      <c r="E20" s="6">
        <f t="shared" ca="1" si="5"/>
        <v>1.1753319993823974E-8</v>
      </c>
      <c r="F20" s="7">
        <f t="shared" ca="1" si="6"/>
        <v>2.2143106885006976</v>
      </c>
      <c r="G20" s="7">
        <f t="shared" ca="1" si="7"/>
        <v>-0.37230892444425923</v>
      </c>
      <c r="H20" s="7">
        <f t="shared" ca="1" si="8"/>
        <v>-1.5000000000294165</v>
      </c>
      <c r="I20" s="2"/>
      <c r="J20" s="5"/>
    </row>
    <row r="21" spans="1:10">
      <c r="A21" s="1">
        <f t="shared" si="2"/>
        <v>3.5</v>
      </c>
      <c r="B21" s="4">
        <v>-1.5</v>
      </c>
      <c r="C21" s="2"/>
      <c r="D21" s="9">
        <f t="shared" ca="1" si="3"/>
        <v>-1.0301147520227926E-7</v>
      </c>
      <c r="E21" s="6">
        <f t="shared" ca="1" si="5"/>
        <v>2.3099005564963173E-8</v>
      </c>
      <c r="F21" s="7">
        <f t="shared" ca="1" si="6"/>
        <v>2.0743584573886995</v>
      </c>
      <c r="G21" s="7">
        <f t="shared" ca="1" si="7"/>
        <v>-0.74730892445176389</v>
      </c>
      <c r="H21" s="7">
        <f t="shared" ca="1" si="8"/>
        <v>-1.5000000000293783</v>
      </c>
      <c r="I21" s="2"/>
      <c r="J21" s="5"/>
    </row>
    <row r="22" spans="1:10">
      <c r="A22" s="1">
        <f t="shared" si="2"/>
        <v>3.75</v>
      </c>
      <c r="B22" s="4">
        <v>-1.5</v>
      </c>
      <c r="C22" s="2"/>
      <c r="D22" s="9">
        <f t="shared" ca="1" si="3"/>
        <v>-9.5864793614352026E-8</v>
      </c>
      <c r="E22" s="6">
        <f t="shared" ca="1" si="5"/>
        <v>3.3456187267779906E-8</v>
      </c>
      <c r="F22" s="7">
        <f t="shared" ca="1" si="6"/>
        <v>1.8406562262748256</v>
      </c>
      <c r="G22" s="7">
        <f t="shared" ca="1" si="7"/>
        <v>-1.1223089244590079</v>
      </c>
      <c r="H22" s="7">
        <f t="shared" ca="1" si="8"/>
        <v>-1.5000000000282956</v>
      </c>
      <c r="I22" s="2"/>
      <c r="J22" s="5"/>
    </row>
    <row r="23" spans="1:10">
      <c r="A23" s="1">
        <f t="shared" si="2"/>
        <v>4</v>
      </c>
      <c r="B23" s="4">
        <v>-1.5</v>
      </c>
      <c r="C23" s="2"/>
      <c r="D23" s="9">
        <f t="shared" ca="1" si="3"/>
        <v>-8.6283381568388527E-8</v>
      </c>
      <c r="E23" s="6">
        <f t="shared" ca="1" si="5"/>
        <v>4.2328833356232793E-8</v>
      </c>
      <c r="F23" s="7">
        <f t="shared" ca="1" si="6"/>
        <v>1.5132039951591856</v>
      </c>
      <c r="G23" s="7">
        <f t="shared" ca="1" si="7"/>
        <v>-1.4973089244659921</v>
      </c>
      <c r="H23" s="7">
        <f t="shared" ca="1" si="8"/>
        <v>-1.5000000000270552</v>
      </c>
      <c r="I23" s="2"/>
      <c r="J23" s="5"/>
    </row>
    <row r="24" spans="1:10">
      <c r="A24" s="1">
        <f t="shared" si="2"/>
        <v>4.25</v>
      </c>
      <c r="B24" s="4">
        <v>-1.5</v>
      </c>
      <c r="C24" s="2"/>
      <c r="D24" s="9">
        <f t="shared" ca="1" si="3"/>
        <v>-7.4700376936234915E-8</v>
      </c>
      <c r="E24" s="6">
        <f t="shared" ca="1" si="5"/>
        <v>4.9220912084280691E-8</v>
      </c>
      <c r="F24" s="7">
        <f t="shared" ca="1" si="6"/>
        <v>1.0920017640418396</v>
      </c>
      <c r="G24" s="7">
        <f t="shared" ca="1" si="7"/>
        <v>-1.8723089244724953</v>
      </c>
      <c r="H24" s="7">
        <f t="shared" ca="1" si="8"/>
        <v>-1.500000000024853</v>
      </c>
      <c r="I24" s="2"/>
      <c r="J24" s="5"/>
    </row>
    <row r="25" spans="1:10">
      <c r="A25" s="1">
        <f t="shared" si="2"/>
        <v>4.5</v>
      </c>
      <c r="B25" s="4">
        <v>-1.5</v>
      </c>
      <c r="C25" s="2"/>
      <c r="D25" s="9">
        <f t="shared" ca="1" si="3"/>
        <v>-6.167292552624752E-8</v>
      </c>
      <c r="E25" s="6">
        <f t="shared" ca="1" si="5"/>
        <v>5.3636391705883238E-8</v>
      </c>
      <c r="F25" s="7">
        <f t="shared" ca="1" si="6"/>
        <v>0.57704953292291783</v>
      </c>
      <c r="G25" s="7">
        <f t="shared" ca="1" si="7"/>
        <v>-2.2473089244784386</v>
      </c>
      <c r="H25" s="7">
        <f t="shared" ca="1" si="8"/>
        <v>-1.5000000000223128</v>
      </c>
      <c r="I25" s="2"/>
      <c r="J25" s="5"/>
    </row>
    <row r="26" spans="1:10">
      <c r="A26" s="1">
        <f t="shared" si="2"/>
        <v>4.75</v>
      </c>
      <c r="B26" s="4">
        <v>-1.5</v>
      </c>
      <c r="C26" s="2"/>
      <c r="D26" s="9">
        <f t="shared" ca="1" si="3"/>
        <v>-4.7882181083292713E-8</v>
      </c>
      <c r="E26" s="6">
        <f t="shared" ca="1" si="5"/>
        <v>5.5079240475000721E-8</v>
      </c>
      <c r="F26" s="7">
        <f t="shared" ca="1" si="6"/>
        <v>-3.1652698197399701E-2</v>
      </c>
      <c r="G26" s="7">
        <f t="shared" ca="1" si="7"/>
        <v>-2.6223089244836313</v>
      </c>
      <c r="H26" s="7">
        <f t="shared" ca="1" si="8"/>
        <v>-1.500000000018991</v>
      </c>
      <c r="I26" s="2"/>
      <c r="J26" s="5" t="s">
        <v>3</v>
      </c>
    </row>
    <row r="27" spans="1:10">
      <c r="A27" s="1">
        <f t="shared" si="2"/>
        <v>5</v>
      </c>
      <c r="B27" s="4">
        <v>-1.5</v>
      </c>
      <c r="C27" s="2"/>
      <c r="D27" s="9">
        <f t="shared" ca="1" si="3"/>
        <v>-3.4133305288746669E-8</v>
      </c>
      <c r="E27" s="6">
        <f t="shared" ca="1" si="5"/>
        <v>5.3053426645594466E-8</v>
      </c>
      <c r="F27" s="7">
        <f t="shared" ca="1" si="6"/>
        <v>-0.73410492931890792</v>
      </c>
      <c r="G27" s="7">
        <f t="shared" ca="1" si="7"/>
        <v>-2.9973089244879141</v>
      </c>
      <c r="H27" s="7">
        <f t="shared" ca="1" si="8"/>
        <v>-1.5000000000150289</v>
      </c>
      <c r="I27" s="2"/>
      <c r="J27" s="5"/>
    </row>
    <row r="28" spans="1:10">
      <c r="A28" s="1">
        <f t="shared" si="2"/>
        <v>5.25</v>
      </c>
      <c r="B28" s="4">
        <v>-1.5</v>
      </c>
      <c r="C28" s="2"/>
      <c r="D28" s="9">
        <f t="shared" ca="1" si="3"/>
        <v>-2.1355467760495103E-8</v>
      </c>
      <c r="E28" s="6">
        <f t="shared" ca="1" si="5"/>
        <v>4.7062918471627015E-8</v>
      </c>
      <c r="F28" s="7">
        <f t="shared" ca="1" si="6"/>
        <v>-1.5303071604413567</v>
      </c>
      <c r="G28" s="7">
        <f t="shared" ca="1" si="7"/>
        <v>-3.3723089244911408</v>
      </c>
      <c r="H28" s="7">
        <f t="shared" ca="1" si="8"/>
        <v>-1.5000000000107203</v>
      </c>
      <c r="I28" s="2"/>
      <c r="J28" s="5"/>
    </row>
    <row r="29" spans="1:10">
      <c r="A29" s="1">
        <f t="shared" si="2"/>
        <v>5.5</v>
      </c>
      <c r="B29" s="4">
        <v>-1.5</v>
      </c>
      <c r="C29" s="2"/>
      <c r="D29" s="9">
        <f t="shared" ca="1" si="3"/>
        <v>-1.0601846052932905E-8</v>
      </c>
      <c r="E29" s="6">
        <f t="shared" ca="1" si="5"/>
        <v>3.6611684207062328E-8</v>
      </c>
      <c r="F29" s="7">
        <f t="shared" ca="1" si="6"/>
        <v>-2.4202593915644832</v>
      </c>
      <c r="G29" s="7">
        <f t="shared" ca="1" si="7"/>
        <v>-3.7473089244932805</v>
      </c>
      <c r="H29" s="7">
        <f t="shared" ca="1" si="8"/>
        <v>-1.5000000000062688</v>
      </c>
      <c r="J29" s="5"/>
    </row>
    <row r="30" spans="1:10">
      <c r="A30" s="1">
        <f t="shared" si="2"/>
        <v>5.75</v>
      </c>
      <c r="B30" s="4">
        <v>-1.5</v>
      </c>
      <c r="C30" s="2"/>
      <c r="D30" s="9">
        <f t="shared" ca="1" si="3"/>
        <v>-3.0496256569638071E-9</v>
      </c>
      <c r="E30" s="6">
        <f t="shared" ca="1" si="5"/>
        <v>2.1203692105865811E-8</v>
      </c>
      <c r="F30" s="7">
        <f t="shared" ca="1" si="6"/>
        <v>-3.4039616226880005</v>
      </c>
      <c r="G30" s="7">
        <f t="shared" ca="1" si="7"/>
        <v>-4.1223089244942654</v>
      </c>
      <c r="H30" s="7">
        <f t="shared" ca="1" si="8"/>
        <v>8.126497854898048</v>
      </c>
      <c r="J30" s="5"/>
    </row>
    <row r="31" spans="1:10">
      <c r="A31" s="1">
        <f t="shared" si="2"/>
        <v>6</v>
      </c>
      <c r="B31" s="4">
        <f>(-1.5-2)/2</f>
        <v>-1.75</v>
      </c>
      <c r="C31" s="2"/>
      <c r="D31" s="11">
        <v>0</v>
      </c>
      <c r="E31" s="6">
        <f t="shared" ca="1" si="5"/>
        <v>3.429104220043912E-10</v>
      </c>
      <c r="F31" s="7">
        <f t="shared" ca="1" si="6"/>
        <v>-4.4814138538116168</v>
      </c>
      <c r="G31" s="7">
        <f t="shared" ca="1" si="7"/>
        <v>0.31594000295575153</v>
      </c>
      <c r="H31" s="7">
        <f t="shared" ca="1" si="8"/>
        <v>17.627995709802455</v>
      </c>
      <c r="J31" s="5"/>
    </row>
    <row r="32" spans="1:10">
      <c r="A32" s="1">
        <f t="shared" si="2"/>
        <v>6.25</v>
      </c>
      <c r="B32" s="4">
        <v>-2</v>
      </c>
      <c r="C32" s="2"/>
      <c r="D32" s="9">
        <f t="shared" ca="1" si="3"/>
        <v>-2.8781704459617443E-9</v>
      </c>
      <c r="E32" s="6">
        <f t="shared" ca="1" si="5"/>
        <v>-2.009996120503778E-8</v>
      </c>
      <c r="F32" s="7">
        <f t="shared" ca="1" si="6"/>
        <v>-3.2459916212101239</v>
      </c>
      <c r="G32" s="7">
        <f t="shared" ca="1" si="7"/>
        <v>4.6916889304069676</v>
      </c>
      <c r="H32" s="7">
        <f t="shared" ca="1" si="8"/>
        <v>7.7514978549076101</v>
      </c>
      <c r="J32" s="5"/>
    </row>
    <row r="33" spans="1:10">
      <c r="A33" s="1">
        <f t="shared" si="2"/>
        <v>6.5</v>
      </c>
      <c r="B33" s="4">
        <v>-2</v>
      </c>
      <c r="C33" s="2"/>
      <c r="D33" s="9">
        <f t="shared" ca="1" si="3"/>
        <v>-1.0049980602519158E-8</v>
      </c>
      <c r="E33" s="6">
        <f t="shared" ca="1" si="5"/>
        <v>-3.4336895093446919E-8</v>
      </c>
      <c r="F33" s="7">
        <f t="shared" ca="1" si="6"/>
        <v>-2.135569388608126</v>
      </c>
      <c r="G33" s="7">
        <f t="shared" ca="1" si="7"/>
        <v>4.1916889304095637</v>
      </c>
      <c r="H33" s="7">
        <f t="shared" ca="1" si="8"/>
        <v>-1.9999999999873559</v>
      </c>
      <c r="J33" s="5"/>
    </row>
    <row r="34" spans="1:10">
      <c r="A34" s="1">
        <f t="shared" si="2"/>
        <v>6.75</v>
      </c>
      <c r="B34" s="4">
        <v>-2</v>
      </c>
      <c r="C34" s="2"/>
      <c r="D34" s="9">
        <f t="shared" ca="1" si="3"/>
        <v>-2.0046617992685594E-8</v>
      </c>
      <c r="E34" s="6">
        <f t="shared" ca="1" si="5"/>
        <v>-4.3029266904595208E-8</v>
      </c>
      <c r="F34" s="7">
        <f t="shared" ca="1" si="6"/>
        <v>-1.1501471560053391</v>
      </c>
      <c r="G34" s="7">
        <f t="shared" ca="1" si="7"/>
        <v>3.6916889304132807</v>
      </c>
      <c r="H34" s="7">
        <f t="shared" ca="1" si="8"/>
        <v>-1.9999999999830136</v>
      </c>
      <c r="J34" s="5"/>
    </row>
    <row r="35" spans="1:10">
      <c r="A35" s="1">
        <f t="shared" si="2"/>
        <v>7</v>
      </c>
      <c r="B35" s="4">
        <v>-2</v>
      </c>
      <c r="C35" s="2"/>
      <c r="D35" s="9">
        <f t="shared" ca="1" si="3"/>
        <v>-3.1564614054817274E-8</v>
      </c>
      <c r="E35" s="6">
        <f t="shared" ca="1" si="5"/>
        <v>-4.683845229985336E-8</v>
      </c>
      <c r="F35" s="7">
        <f t="shared" ca="1" si="6"/>
        <v>-0.2897249234014706</v>
      </c>
      <c r="G35" s="7">
        <f t="shared" ca="1" si="7"/>
        <v>3.1916889304180613</v>
      </c>
      <c r="H35" s="7">
        <f t="shared" ca="1" si="8"/>
        <v>-1.9999999999791038</v>
      </c>
      <c r="J35" s="5" t="s">
        <v>11</v>
      </c>
    </row>
    <row r="36" spans="1:10">
      <c r="A36" s="1">
        <f t="shared" si="2"/>
        <v>7.25</v>
      </c>
      <c r="B36" s="4">
        <v>-2</v>
      </c>
      <c r="C36" s="2"/>
      <c r="D36" s="9">
        <f t="shared" ca="1" si="3"/>
        <v>-4.3465844142612889E-8</v>
      </c>
      <c r="E36" s="6">
        <f t="shared" ca="1" si="5"/>
        <v>-4.6425826940590647E-8</v>
      </c>
      <c r="F36" s="7">
        <f t="shared" ca="1" si="6"/>
        <v>0.44569730920370665</v>
      </c>
      <c r="G36" s="7">
        <f t="shared" ca="1" si="7"/>
        <v>2.6916889304237186</v>
      </c>
      <c r="H36" s="7">
        <f t="shared" ca="1" si="8"/>
        <v>-1.9999999999758735</v>
      </c>
      <c r="J36" s="5"/>
    </row>
    <row r="37" spans="1:10">
      <c r="A37" s="1">
        <f t="shared" si="2"/>
        <v>7.5</v>
      </c>
      <c r="B37" s="4">
        <v>-2</v>
      </c>
      <c r="C37" s="2"/>
      <c r="D37" s="9">
        <f t="shared" ca="1" si="3"/>
        <v>-5.4777527525113285E-8</v>
      </c>
      <c r="E37" s="6">
        <f t="shared" ca="1" si="5"/>
        <v>-4.2452766488175172E-8</v>
      </c>
      <c r="F37" s="7">
        <f t="shared" ca="1" si="6"/>
        <v>1.0561195418103839</v>
      </c>
      <c r="G37" s="7">
        <f t="shared" ca="1" si="7"/>
        <v>2.1916889304301344</v>
      </c>
      <c r="H37" s="7">
        <f t="shared" ca="1" si="8"/>
        <v>-1.9999999999731468</v>
      </c>
      <c r="J37" s="5"/>
    </row>
    <row r="38" spans="1:10">
      <c r="A38" s="1">
        <f t="shared" si="2"/>
        <v>7.75</v>
      </c>
      <c r="B38" s="4">
        <v>-2</v>
      </c>
      <c r="C38" s="2"/>
      <c r="D38" s="9">
        <f t="shared" ca="1" si="3"/>
        <v>-6.4692227386701243E-8</v>
      </c>
      <c r="E38" s="6">
        <f t="shared" ca="1" si="5"/>
        <v>-3.5580646603974096E-8</v>
      </c>
      <c r="F38" s="7">
        <f t="shared" ca="1" si="6"/>
        <v>1.5415417744187838</v>
      </c>
      <c r="G38" s="7">
        <f t="shared" ca="1" si="7"/>
        <v>1.6916889304372349</v>
      </c>
      <c r="H38" s="7">
        <f t="shared" ca="1" si="8"/>
        <v>-1.9999999999709566</v>
      </c>
      <c r="J38" s="5"/>
    </row>
    <row r="39" spans="1:10">
      <c r="A39" s="1">
        <f t="shared" si="2"/>
        <v>8</v>
      </c>
      <c r="B39" s="4">
        <v>-2</v>
      </c>
      <c r="C39" s="2"/>
      <c r="D39" s="9">
        <f t="shared" ca="1" si="3"/>
        <v>-7.2567850827101141E-8</v>
      </c>
      <c r="E39" s="6">
        <f t="shared" ca="1" si="5"/>
        <v>-2.6470842949353556E-8</v>
      </c>
      <c r="F39" s="7">
        <f t="shared" ca="1" si="6"/>
        <v>1.9019640070290014</v>
      </c>
      <c r="G39" s="7">
        <f t="shared" ca="1" si="7"/>
        <v>1.1916889304446556</v>
      </c>
      <c r="H39" s="7">
        <f t="shared" ca="1" si="8"/>
        <v>-1.9999999999696367</v>
      </c>
      <c r="J39" s="5"/>
    </row>
    <row r="40" spans="1:10">
      <c r="A40" s="1">
        <f t="shared" si="2"/>
        <v>8.25</v>
      </c>
      <c r="B40" s="4">
        <v>-2</v>
      </c>
      <c r="C40" s="2"/>
      <c r="D40" s="9">
        <f t="shared" ca="1" si="3"/>
        <v>-7.7927648861378894E-8</v>
      </c>
      <c r="E40" s="6">
        <f t="shared" ca="1" si="5"/>
        <v>-1.5784731185679372E-8</v>
      </c>
      <c r="F40" s="7">
        <f t="shared" ca="1" si="6"/>
        <v>2.1373862396411618</v>
      </c>
      <c r="G40" s="7">
        <f t="shared" ca="1" si="7"/>
        <v>0.69168893045247692</v>
      </c>
      <c r="H40" s="7">
        <f t="shared" ca="1" si="8"/>
        <v>-1.9999999999686153</v>
      </c>
      <c r="J40" s="5"/>
    </row>
    <row r="41" spans="1:10">
      <c r="A41" s="1">
        <f t="shared" si="2"/>
        <v>8.5</v>
      </c>
      <c r="B41" s="4">
        <v>-2</v>
      </c>
      <c r="C41" s="2"/>
      <c r="D41" s="9">
        <f t="shared" ca="1" si="3"/>
        <v>-8.0460216419941687E-8</v>
      </c>
      <c r="E41" s="6">
        <f t="shared" ca="1" si="5"/>
        <v>-4.1836869743166995E-9</v>
      </c>
      <c r="F41" s="7">
        <f t="shared" ca="1" si="6"/>
        <v>2.2478084722552296</v>
      </c>
      <c r="G41" s="7">
        <f t="shared" ca="1" si="7"/>
        <v>0.19168893046026803</v>
      </c>
      <c r="H41" s="7">
        <f t="shared" ca="1" si="8"/>
        <v>-1.9999999999691163</v>
      </c>
      <c r="J41" s="5"/>
    </row>
    <row r="42" spans="1:10">
      <c r="A42" s="1">
        <f t="shared" si="2"/>
        <v>8.75</v>
      </c>
      <c r="B42" s="4">
        <v>-2</v>
      </c>
      <c r="C42" s="2"/>
      <c r="D42" s="9">
        <f t="shared" ca="1" si="3"/>
        <v>-8.0019492348538065E-8</v>
      </c>
      <c r="E42" s="6">
        <f t="shared" ca="1" si="5"/>
        <v>7.6709140233691844E-9</v>
      </c>
      <c r="F42" s="7">
        <f t="shared" ca="1" si="6"/>
        <v>2.2332307048712758</v>
      </c>
      <c r="G42" s="7">
        <f t="shared" ca="1" si="7"/>
        <v>-0.30831106953208032</v>
      </c>
      <c r="H42" s="7">
        <f t="shared" ca="1" si="8"/>
        <v>-1.9999999999701972</v>
      </c>
      <c r="J42" s="5"/>
    </row>
    <row r="43" spans="1:10">
      <c r="A43" s="1">
        <f t="shared" si="2"/>
        <v>9</v>
      </c>
      <c r="B43" s="4">
        <v>-2</v>
      </c>
      <c r="C43" s="2"/>
      <c r="D43" s="9">
        <f t="shared" ca="1" si="3"/>
        <v>-7.6624759408257902E-8</v>
      </c>
      <c r="E43" s="6">
        <f t="shared" ca="1" si="5"/>
        <v>1.9117696146012766E-8</v>
      </c>
      <c r="F43" s="7">
        <f t="shared" ca="1" si="6"/>
        <v>2.0936529374892192</v>
      </c>
      <c r="G43" s="7">
        <f t="shared" ca="1" si="7"/>
        <v>-0.80831106952477061</v>
      </c>
      <c r="H43" s="7">
        <f t="shared" ca="1" si="8"/>
        <v>-1.9999999999718394</v>
      </c>
      <c r="J43" s="5"/>
    </row>
    <row r="44" spans="1:10">
      <c r="A44" s="1">
        <f t="shared" si="2"/>
        <v>9.25</v>
      </c>
      <c r="B44" s="4">
        <v>-2</v>
      </c>
      <c r="C44" s="2"/>
      <c r="D44" s="9">
        <f t="shared" ca="1" si="3"/>
        <v>-7.0460644275532436E-8</v>
      </c>
      <c r="E44" s="6">
        <f t="shared" ca="1" si="5"/>
        <v>2.9495283732248132E-8</v>
      </c>
      <c r="F44" s="7">
        <f t="shared" ca="1" si="6"/>
        <v>1.8290751701088905</v>
      </c>
      <c r="G44" s="7">
        <f t="shared" ca="1" si="7"/>
        <v>-1.3083110695179996</v>
      </c>
      <c r="H44" s="7">
        <f t="shared" ca="1" si="8"/>
        <v>-1.9999999999742379</v>
      </c>
      <c r="J44" s="5" t="s">
        <v>4</v>
      </c>
    </row>
    <row r="45" spans="1:10">
      <c r="A45" s="1">
        <f t="shared" si="2"/>
        <v>9.5</v>
      </c>
      <c r="B45" s="4">
        <v>-2</v>
      </c>
      <c r="C45" s="2"/>
      <c r="D45" s="9">
        <f t="shared" ca="1" si="3"/>
        <v>-6.1877117542134524E-8</v>
      </c>
      <c r="E45" s="6">
        <f t="shared" ca="1" si="5"/>
        <v>3.8142301120708659E-8</v>
      </c>
      <c r="F45" s="7">
        <f t="shared" ca="1" si="6"/>
        <v>1.4394974027302294</v>
      </c>
      <c r="G45" s="7">
        <f t="shared" ca="1" si="7"/>
        <v>-1.8083110695118696</v>
      </c>
      <c r="H45" s="7">
        <f t="shared" ca="1" si="8"/>
        <v>-1.9999999999773204</v>
      </c>
      <c r="J45" s="5"/>
    </row>
    <row r="46" spans="1:10">
      <c r="A46" s="1">
        <f t="shared" si="2"/>
        <v>9.75</v>
      </c>
      <c r="B46" s="4">
        <v>-2</v>
      </c>
      <c r="C46" s="2"/>
      <c r="D46" s="9">
        <f t="shared" ca="1" si="3"/>
        <v>-5.1389493715178709E-8</v>
      </c>
      <c r="E46" s="6">
        <f t="shared" ca="1" si="5"/>
        <v>4.4397372650026884E-8</v>
      </c>
      <c r="F46" s="7">
        <f t="shared" ca="1" si="6"/>
        <v>0.92491963535297572</v>
      </c>
      <c r="G46" s="7">
        <f t="shared" ca="1" si="7"/>
        <v>-2.3083110695066802</v>
      </c>
      <c r="H46" s="7">
        <f t="shared" ca="1" si="8"/>
        <v>-1.9999999999809623</v>
      </c>
    </row>
    <row r="47" spans="1:10">
      <c r="A47" s="1">
        <f t="shared" si="2"/>
        <v>10</v>
      </c>
      <c r="B47" s="4">
        <v>-2</v>
      </c>
      <c r="C47" s="2"/>
      <c r="D47" s="9">
        <f t="shared" ca="1" si="3"/>
        <v>-3.9678431217121585E-8</v>
      </c>
      <c r="E47" s="6">
        <f t="shared" ca="1" si="5"/>
        <v>4.7599122658834072E-8</v>
      </c>
      <c r="F47" s="7">
        <f t="shared" ca="1" si="6"/>
        <v>0.28534186797690442</v>
      </c>
      <c r="G47" s="7">
        <f t="shared" ca="1" si="7"/>
        <v>-2.808311069502361</v>
      </c>
      <c r="H47" s="7">
        <f t="shared" ca="1" si="8"/>
        <v>-1.9999999999847251</v>
      </c>
    </row>
    <row r="48" spans="1:10">
      <c r="A48" s="1">
        <f t="shared" si="2"/>
        <v>10.25</v>
      </c>
      <c r="B48" s="4">
        <v>-2</v>
      </c>
      <c r="C48" s="2"/>
      <c r="D48" s="9">
        <f t="shared" ca="1" si="3"/>
        <v>-2.7589932385762057E-8</v>
      </c>
      <c r="E48" s="6">
        <f t="shared" ca="1" si="5"/>
        <v>4.7086175485760328E-8</v>
      </c>
      <c r="F48" s="7">
        <f t="shared" ca="1" si="6"/>
        <v>-0.47923589939820471</v>
      </c>
      <c r="G48" s="7">
        <f t="shared" ca="1" si="7"/>
        <v>-3.3083110694990672</v>
      </c>
      <c r="H48" s="7">
        <f t="shared" ca="1" si="8"/>
        <v>-1.9999999999890763</v>
      </c>
    </row>
    <row r="49" spans="1:8">
      <c r="A49" s="1">
        <f t="shared" si="2"/>
        <v>10.5</v>
      </c>
      <c r="B49" s="4">
        <v>-2</v>
      </c>
      <c r="C49" s="2"/>
      <c r="D49" s="9">
        <f t="shared" ca="1" si="3"/>
        <v>-1.6135343474241679E-8</v>
      </c>
      <c r="E49" s="6">
        <f t="shared" ca="1" si="5"/>
        <v>4.2197155469434352E-8</v>
      </c>
      <c r="F49" s="7">
        <f t="shared" ca="1" si="6"/>
        <v>-1.3688136667726267</v>
      </c>
      <c r="G49" s="7">
        <f t="shared" ca="1" si="7"/>
        <v>-3.8083110694968973</v>
      </c>
      <c r="H49" s="7">
        <f t="shared" ca="1" si="8"/>
        <v>-1.9999999999936664</v>
      </c>
    </row>
    <row r="50" spans="1:8">
      <c r="A50" s="1">
        <f t="shared" si="2"/>
        <v>10.75</v>
      </c>
      <c r="B50" s="4">
        <v>-2</v>
      </c>
      <c r="C50" s="2"/>
      <c r="D50" s="9">
        <f t="shared" ca="1" si="3"/>
        <v>-6.4913546510450109E-9</v>
      </c>
      <c r="E50" s="6">
        <f t="shared" ca="1" si="5"/>
        <v>3.2270686948483358E-8</v>
      </c>
      <c r="F50" s="7">
        <f t="shared" ca="1" si="6"/>
        <v>-2.3833914341466533</v>
      </c>
      <c r="G50" s="7">
        <f t="shared" ca="1" si="7"/>
        <v>-4.3083110694959075</v>
      </c>
      <c r="H50" s="7">
        <f t="shared" ca="1" si="8"/>
        <v>5.1889399767715849</v>
      </c>
    </row>
    <row r="51" spans="1:8">
      <c r="A51" s="1">
        <f t="shared" si="2"/>
        <v>11</v>
      </c>
      <c r="B51" s="4">
        <v>-1</v>
      </c>
      <c r="C51" s="2"/>
      <c r="D51" s="11">
        <v>0</v>
      </c>
      <c r="E51" s="6">
        <f t="shared" ca="1" si="5"/>
        <v>1.6645394261533004E-8</v>
      </c>
      <c r="F51" s="7">
        <f t="shared" ca="1" si="6"/>
        <v>-3.5229692015205809</v>
      </c>
      <c r="G51" s="7">
        <f t="shared" ca="1" si="7"/>
        <v>-1.2138410811111129</v>
      </c>
      <c r="H51" s="7">
        <f t="shared" ca="1" si="8"/>
        <v>12.877879953536896</v>
      </c>
    </row>
    <row r="52" spans="1:8">
      <c r="A52" s="1">
        <f t="shared" si="2"/>
        <v>11.25</v>
      </c>
      <c r="B52" s="4">
        <v>0</v>
      </c>
      <c r="C52" s="2"/>
      <c r="D52" s="9">
        <f t="shared" ca="1" si="3"/>
        <v>1.8313424797216195E-9</v>
      </c>
      <c r="E52" s="6">
        <f t="shared" ca="1" si="5"/>
        <v>-5.8550832106646364E-10</v>
      </c>
      <c r="F52" s="7">
        <f t="shared" ca="1" si="6"/>
        <v>-2.990311974702212</v>
      </c>
      <c r="G52" s="7">
        <f t="shared" ca="1" si="7"/>
        <v>2.1306289072725297</v>
      </c>
      <c r="H52" s="7">
        <f t="shared" ca="1" si="8"/>
        <v>6.6889399767624171</v>
      </c>
    </row>
    <row r="53" spans="1:8">
      <c r="A53" s="1">
        <f t="shared" si="2"/>
        <v>11.5</v>
      </c>
      <c r="B53" s="4">
        <v>0</v>
      </c>
      <c r="C53" s="2"/>
      <c r="D53" s="9">
        <f t="shared" ca="1" si="3"/>
        <v>-2.9275416053297927E-10</v>
      </c>
      <c r="E53" s="6">
        <f t="shared" ca="1" si="5"/>
        <v>-1.4998118698278508E-8</v>
      </c>
      <c r="F53" s="7">
        <f t="shared" ca="1" si="6"/>
        <v>-2.4576547478843227</v>
      </c>
      <c r="G53" s="7">
        <f t="shared" ca="1" si="7"/>
        <v>2.1306289072700832</v>
      </c>
      <c r="H53" s="7">
        <f t="shared" ca="1" si="8"/>
        <v>-1.1830536550405668E-11</v>
      </c>
    </row>
    <row r="54" spans="1:8">
      <c r="A54" s="1">
        <f t="shared" si="2"/>
        <v>11.75</v>
      </c>
      <c r="B54" s="4">
        <v>0</v>
      </c>
      <c r="C54" s="2"/>
      <c r="D54" s="9">
        <f t="shared" ca="1" si="3"/>
        <v>-5.6677168694172681E-9</v>
      </c>
      <c r="E54" s="6">
        <f t="shared" ca="1" si="5"/>
        <v>-2.6592436870106407E-8</v>
      </c>
      <c r="F54" s="7">
        <f t="shared" ca="1" si="6"/>
        <v>-1.9249975210671768</v>
      </c>
      <c r="G54" s="7">
        <f t="shared" ca="1" si="7"/>
        <v>2.1306289072666149</v>
      </c>
      <c r="H54" s="7">
        <f t="shared" ca="1" si="8"/>
        <v>-1.5732304348148318E-11</v>
      </c>
    </row>
    <row r="55" spans="1:8">
      <c r="A55" s="1">
        <f t="shared" si="2"/>
        <v>12</v>
      </c>
      <c r="B55" s="4">
        <v>0</v>
      </c>
      <c r="C55" s="2"/>
      <c r="D55" s="9">
        <f t="shared" ca="1" si="3"/>
        <v>-1.3588972595585706E-8</v>
      </c>
      <c r="E55" s="6">
        <f t="shared" ca="1" si="5"/>
        <v>-3.5368462836554777E-8</v>
      </c>
      <c r="F55" s="7">
        <f t="shared" ca="1" si="6"/>
        <v>-1.392340294251029</v>
      </c>
      <c r="G55" s="7">
        <f t="shared" ca="1" si="7"/>
        <v>2.1306289072621896</v>
      </c>
      <c r="H55" s="7">
        <f t="shared" ca="1" si="8"/>
        <v>-1.9239720927544113E-11</v>
      </c>
    </row>
    <row r="56" spans="1:8">
      <c r="A56" s="1">
        <f t="shared" si="2"/>
        <v>12.25</v>
      </c>
      <c r="B56" s="4">
        <v>0</v>
      </c>
      <c r="C56" s="2"/>
      <c r="D56" s="9">
        <f t="shared" ca="1" si="3"/>
        <v>-2.3351948287694098E-8</v>
      </c>
      <c r="E56" s="6">
        <f t="shared" ca="1" si="5"/>
        <v>-4.1326196597629567E-8</v>
      </c>
      <c r="F56" s="7">
        <f t="shared" ca="1" si="6"/>
        <v>-0.85968306743608691</v>
      </c>
      <c r="G56" s="7">
        <f t="shared" ca="1" si="7"/>
        <v>2.1306289072570128</v>
      </c>
      <c r="H56" s="7">
        <f t="shared" ca="1" si="8"/>
        <v>-2.2108537223175517E-11</v>
      </c>
    </row>
    <row r="57" spans="1:8">
      <c r="A57" s="1">
        <f t="shared" si="2"/>
        <v>12.5</v>
      </c>
      <c r="B57" s="4">
        <v>0</v>
      </c>
      <c r="C57" s="2"/>
      <c r="D57" s="9">
        <f t="shared" ca="1" si="3"/>
        <v>-3.4252070894399847E-8</v>
      </c>
      <c r="E57" s="6">
        <f t="shared" ca="1" si="5"/>
        <v>-4.4465638153337653E-8</v>
      </c>
      <c r="F57" s="7">
        <f t="shared" ca="1" si="6"/>
        <v>-0.32702584062254014</v>
      </c>
      <c r="G57" s="7">
        <f t="shared" ca="1" si="7"/>
        <v>2.1306289072511153</v>
      </c>
      <c r="H57" s="7">
        <f t="shared" ca="1" si="8"/>
        <v>-2.4651392038776976E-11</v>
      </c>
    </row>
    <row r="58" spans="1:8">
      <c r="A58" s="1">
        <f t="shared" si="2"/>
        <v>12.75</v>
      </c>
      <c r="B58" s="4">
        <v>0</v>
      </c>
      <c r="C58" s="2"/>
      <c r="D58" s="9">
        <f t="shared" ca="1" si="3"/>
        <v>-4.558476736436221E-8</v>
      </c>
      <c r="E58" s="6">
        <f t="shared" ca="1" si="5"/>
        <v>-4.4786787503686896E-8</v>
      </c>
      <c r="F58" s="7">
        <f t="shared" ca="1" si="6"/>
        <v>0.20563138618944576</v>
      </c>
      <c r="G58" s="7">
        <f t="shared" ca="1" si="7"/>
        <v>2.1306289072446818</v>
      </c>
      <c r="H58" s="7">
        <f t="shared" ca="1" si="8"/>
        <v>-2.645439423076823E-11</v>
      </c>
    </row>
    <row r="59" spans="1:8">
      <c r="A59" s="1">
        <f t="shared" si="2"/>
        <v>13</v>
      </c>
      <c r="B59" s="4">
        <v>0</v>
      </c>
      <c r="C59" s="2"/>
      <c r="D59" s="9">
        <f t="shared" ca="1" si="3"/>
        <v>-5.6645464646242547E-8</v>
      </c>
      <c r="E59" s="6">
        <f t="shared" ca="1" si="5"/>
        <v>-4.2289644648685925E-8</v>
      </c>
      <c r="F59" s="7">
        <f t="shared" ca="1" si="6"/>
        <v>0.73828861299979076</v>
      </c>
      <c r="G59" s="7">
        <f t="shared" ca="1" si="7"/>
        <v>2.1306289072379379</v>
      </c>
      <c r="H59" s="7">
        <f t="shared" ca="1" si="8"/>
        <v>-2.7474911235003674E-11</v>
      </c>
    </row>
    <row r="60" spans="1:8">
      <c r="A60" s="1">
        <f t="shared" si="2"/>
        <v>13.25</v>
      </c>
      <c r="B60" s="4">
        <v>0</v>
      </c>
      <c r="C60" s="2"/>
      <c r="D60" s="9">
        <f t="shared" ca="1" si="3"/>
        <v>-6.6729589688704405E-8</v>
      </c>
      <c r="E60" s="6">
        <f t="shared" ca="1" si="5"/>
        <v>-3.69742095883437E-8</v>
      </c>
      <c r="F60" s="7">
        <f t="shared" ca="1" si="6"/>
        <v>1.2709458398084099</v>
      </c>
      <c r="G60" s="7">
        <f t="shared" ca="1" si="7"/>
        <v>2.1306289072309244</v>
      </c>
      <c r="H60" s="7">
        <f t="shared" ca="1" si="8"/>
        <v>-2.7955415760061442E-11</v>
      </c>
    </row>
    <row r="61" spans="1:8">
      <c r="A61" s="1">
        <f t="shared" si="2"/>
        <v>13.5</v>
      </c>
      <c r="B61" s="4">
        <v>0</v>
      </c>
      <c r="C61" s="2"/>
      <c r="D61" s="9">
        <f t="shared" ca="1" si="3"/>
        <v>-7.5132569440413643E-8</v>
      </c>
      <c r="E61" s="6">
        <f t="shared" ca="1" si="5"/>
        <v>-2.8840482322669565E-8</v>
      </c>
      <c r="F61" s="7">
        <f t="shared" ca="1" si="6"/>
        <v>1.8036030666152729</v>
      </c>
      <c r="G61" s="7">
        <f t="shared" ca="1" si="7"/>
        <v>2.1306289072239299</v>
      </c>
      <c r="H61" s="7">
        <f t="shared" ca="1" si="8"/>
        <v>-2.7474911235003674E-11</v>
      </c>
    </row>
    <row r="62" spans="1:8">
      <c r="A62" s="1">
        <f t="shared" si="2"/>
        <v>13.75</v>
      </c>
      <c r="B62" s="4">
        <v>0</v>
      </c>
      <c r="C62" s="2"/>
      <c r="D62" s="9">
        <f t="shared" ca="1" si="3"/>
        <v>-8.1149830850038459E-8</v>
      </c>
      <c r="E62" s="6">
        <f t="shared" ca="1" si="5"/>
        <v>-1.7888462851672798E-8</v>
      </c>
      <c r="F62" s="7">
        <f t="shared" ca="1" si="6"/>
        <v>2.3362602934204051</v>
      </c>
      <c r="G62" s="7">
        <f t="shared" ca="1" si="7"/>
        <v>2.130628907217107</v>
      </c>
      <c r="H62" s="7">
        <f t="shared" ca="1" si="8"/>
        <v>-4.000000000026799</v>
      </c>
    </row>
    <row r="63" spans="1:8">
      <c r="A63" s="1">
        <f t="shared" si="2"/>
        <v>14</v>
      </c>
      <c r="B63" s="4">
        <f>-4/delta</f>
        <v>-16</v>
      </c>
      <c r="C63" s="2"/>
      <c r="D63" s="9">
        <f t="shared" ca="1" si="3"/>
        <v>-8.4076800866249314E-8</v>
      </c>
      <c r="E63" s="6">
        <f t="shared" ca="1" si="5"/>
        <v>-4.1181511753624514E-9</v>
      </c>
      <c r="F63" s="7">
        <f t="shared" ca="1" si="6"/>
        <v>2.868917520223806</v>
      </c>
      <c r="G63" s="7">
        <f t="shared" ca="1" si="7"/>
        <v>0.13062890721042919</v>
      </c>
      <c r="H63" s="7">
        <f t="shared" ca="1" si="8"/>
        <v>-8.0000000000257074</v>
      </c>
    </row>
    <row r="64" spans="1:8">
      <c r="A64" s="1">
        <f t="shared" si="2"/>
        <v>14.25</v>
      </c>
      <c r="B64" s="4">
        <v>0</v>
      </c>
      <c r="C64" s="2"/>
      <c r="D64" s="9">
        <f t="shared" ca="1" si="3"/>
        <v>-8.3208906437718997E-8</v>
      </c>
      <c r="E64" s="6">
        <f t="shared" ref="E64:E72" ca="1" si="9">(D65-D63)/(2*delta)</f>
        <v>9.8249500607498656E-9</v>
      </c>
      <c r="F64" s="7">
        <f t="shared" ref="F64:F72" ca="1" si="10">E*I*(D65-2*D64+D63)/delta^2</f>
        <v>2.4015747470256099</v>
      </c>
      <c r="G64" s="7">
        <f t="shared" ref="G64:G72" ca="1" si="11">(F65-F63)/(2*delta)</f>
        <v>-1.8693710927957063</v>
      </c>
      <c r="H64" s="7">
        <f t="shared" ref="H64:H72" ca="1" si="12">(G65-G63)/(2*delta)</f>
        <v>-4.000000000023598</v>
      </c>
    </row>
    <row r="65" spans="1:8">
      <c r="A65" s="1">
        <f t="shared" si="2"/>
        <v>14.5</v>
      </c>
      <c r="B65" s="4">
        <v>0</v>
      </c>
      <c r="C65" s="2"/>
      <c r="D65" s="9">
        <f t="shared" ca="1" si="3"/>
        <v>-7.9164325835873746E-8</v>
      </c>
      <c r="E65" s="6">
        <f t="shared" ca="1" si="9"/>
        <v>2.1295338211153338E-8</v>
      </c>
      <c r="F65" s="7">
        <f t="shared" ca="1" si="10"/>
        <v>1.9342319738259428</v>
      </c>
      <c r="G65" s="7">
        <f t="shared" ca="1" si="11"/>
        <v>-1.8693710928013703</v>
      </c>
      <c r="H65" s="7">
        <f t="shared" ca="1" si="12"/>
        <v>-2.149302957832333E-11</v>
      </c>
    </row>
    <row r="66" spans="1:8">
      <c r="A66" s="1">
        <f t="shared" si="2"/>
        <v>14.75</v>
      </c>
      <c r="B66" s="4">
        <v>0</v>
      </c>
      <c r="C66" s="2"/>
      <c r="D66" s="9">
        <f t="shared" ca="1" si="3"/>
        <v>-7.2561237332141759E-8</v>
      </c>
      <c r="E66" s="6">
        <f t="shared" ca="1" si="9"/>
        <v>3.0293013275840421E-8</v>
      </c>
      <c r="F66" s="7">
        <f t="shared" ca="1" si="10"/>
        <v>1.4668892006249148</v>
      </c>
      <c r="G66" s="7">
        <f t="shared" ca="1" si="11"/>
        <v>-1.8693710928064129</v>
      </c>
      <c r="H66" s="7">
        <f t="shared" ca="1" si="12"/>
        <v>-1.8809842572409252E-11</v>
      </c>
    </row>
    <row r="67" spans="1:8">
      <c r="A67" s="1">
        <f t="shared" si="2"/>
        <v>15</v>
      </c>
      <c r="B67" s="4">
        <v>0</v>
      </c>
      <c r="C67" s="2"/>
      <c r="D67" s="9">
        <f t="shared" ca="1" si="3"/>
        <v>-6.4017819197953032E-8</v>
      </c>
      <c r="E67" s="6">
        <f t="shared" ca="1" si="9"/>
        <v>3.6817975254804406E-8</v>
      </c>
      <c r="F67" s="7">
        <f t="shared" ca="1" si="10"/>
        <v>0.99954642742270627</v>
      </c>
      <c r="G67" s="7">
        <f t="shared" ca="1" si="11"/>
        <v>-1.869371092810715</v>
      </c>
      <c r="H67" s="7">
        <f t="shared" ca="1" si="12"/>
        <v>-1.5868639735572287E-11</v>
      </c>
    </row>
    <row r="68" spans="1:8">
      <c r="A68" s="1">
        <f t="shared" si="2"/>
        <v>15.25</v>
      </c>
      <c r="B68" s="4">
        <v>0</v>
      </c>
      <c r="C68" s="2"/>
      <c r="D68" s="9">
        <f t="shared" ca="1" si="3"/>
        <v>-5.4152249704739139E-8</v>
      </c>
      <c r="E68" s="6">
        <f t="shared" ca="1" si="9"/>
        <v>4.0870224148039575E-8</v>
      </c>
      <c r="F68" s="7">
        <f t="shared" ca="1" si="10"/>
        <v>0.5322036542195473</v>
      </c>
      <c r="G68" s="7">
        <f t="shared" ca="1" si="11"/>
        <v>-1.869371092814277</v>
      </c>
      <c r="H68" s="7">
        <f t="shared" ca="1" si="12"/>
        <v>-1.2927880987945173E-11</v>
      </c>
    </row>
    <row r="69" spans="1:8">
      <c r="A69" s="1">
        <f t="shared" si="2"/>
        <v>15.5</v>
      </c>
      <c r="B69" s="4">
        <v>0</v>
      </c>
      <c r="C69" s="2"/>
      <c r="D69" s="9">
        <f t="shared" ca="1" si="3"/>
        <v>-4.3582707123932914E-8</v>
      </c>
      <c r="E69" s="6">
        <f t="shared" ca="1" si="9"/>
        <v>4.2449759955541215E-8</v>
      </c>
      <c r="F69" s="7">
        <f t="shared" ca="1" si="10"/>
        <v>6.4860881015567709E-2</v>
      </c>
      <c r="G69" s="7">
        <f t="shared" ca="1" si="11"/>
        <v>-1.8693710928171487</v>
      </c>
      <c r="H69" s="7">
        <f t="shared" ca="1" si="12"/>
        <v>-9.9662500474551052E-12</v>
      </c>
    </row>
    <row r="70" spans="1:8">
      <c r="A70" s="1">
        <f t="shared" si="2"/>
        <v>15.75</v>
      </c>
      <c r="B70" s="4">
        <v>0</v>
      </c>
      <c r="C70" s="2"/>
      <c r="D70" s="9">
        <f t="shared" ca="1" si="3"/>
        <v>-3.2927369726968286E-8</v>
      </c>
      <c r="E70" s="6">
        <f t="shared" ca="1" si="9"/>
        <v>4.1556582677305549E-8</v>
      </c>
      <c r="F70" s="7">
        <f t="shared" ca="1" si="10"/>
        <v>-0.40248189218901714</v>
      </c>
      <c r="G70" s="7">
        <f t="shared" ca="1" si="11"/>
        <v>-1.86937109281925</v>
      </c>
      <c r="H70" s="7">
        <f t="shared" ca="1" si="12"/>
        <v>-7.1036510007616016E-12</v>
      </c>
    </row>
    <row r="71" spans="1:8">
      <c r="A71" s="1">
        <f t="shared" si="2"/>
        <v>16</v>
      </c>
      <c r="B71" s="4">
        <v>0</v>
      </c>
      <c r="C71" s="2"/>
      <c r="D71" s="9">
        <f t="shared" ref="D71" ca="1" si="13">((B71*delta^4/(E*I))-D69+4*D70+4*D72-D73)/6</f>
        <v>-2.2804415785279967E-8</v>
      </c>
      <c r="E71" s="6">
        <f t="shared" ca="1" si="9"/>
        <v>3.8190692313329857E-8</v>
      </c>
      <c r="F71" s="7">
        <f t="shared" ca="1" si="10"/>
        <v>-0.86982466539405223</v>
      </c>
      <c r="G71" s="7">
        <f t="shared" ca="1" si="11"/>
        <v>-1.8693710928207059</v>
      </c>
      <c r="H71" s="7">
        <f t="shared" ca="1" si="12"/>
        <v>-4.6576076329074567E-12</v>
      </c>
    </row>
    <row r="72" spans="1:8">
      <c r="A72" s="1">
        <f t="shared" si="2"/>
        <v>16.25</v>
      </c>
      <c r="B72" s="4">
        <v>0</v>
      </c>
      <c r="C72" s="2"/>
      <c r="D72" s="9">
        <f t="shared" ref="D72" ca="1" si="14">((B72*delta^4/(E*I))-D70+4*D71+4*D73-D74)/6</f>
        <v>-1.3832023570303253E-8</v>
      </c>
      <c r="E72" s="6">
        <f t="shared" ca="1" si="9"/>
        <v>3.2352088863612246E-8</v>
      </c>
      <c r="F72" s="7">
        <f t="shared" ca="1" si="10"/>
        <v>-1.3371674385993626</v>
      </c>
      <c r="G72" s="7">
        <f t="shared" ca="1" si="11"/>
        <v>-1.8693710928215639</v>
      </c>
      <c r="H72" s="7">
        <f t="shared" ca="1" si="12"/>
        <v>-2.5899282718455652E-12</v>
      </c>
    </row>
    <row r="73" spans="1:8">
      <c r="A73" s="1">
        <f t="shared" si="2"/>
        <v>16.5</v>
      </c>
      <c r="B73" s="4">
        <v>0</v>
      </c>
      <c r="C73" s="2"/>
      <c r="D73" s="9">
        <f t="shared" ref="D73:D74" ca="1" si="15">((B73*delta^4/(E*I))-D71+4*D72+4*D74-D75)/6</f>
        <v>-6.6283713534737937E-9</v>
      </c>
      <c r="E73" s="6">
        <f t="shared" ref="E73:E74" ca="1" si="16">(D74-D72)/(2*delta)</f>
        <v>2.4040772328151648E-8</v>
      </c>
      <c r="F73" s="7">
        <f t="shared" ref="F73:F74" ca="1" si="17">E*I*(D74-2*D73+D72)/delta^2</f>
        <v>-1.8045102118048204</v>
      </c>
      <c r="G73" s="7">
        <f t="shared" ref="G73:G74" ca="1" si="18">(F74-F72)/(2*delta)</f>
        <v>-1.8693710928219822</v>
      </c>
      <c r="H73" s="7">
        <f t="shared" ref="H73:H74" ca="1" si="19">(G74-G72)/(2*delta)</f>
        <v>-1.1493028750919621E-12</v>
      </c>
    </row>
    <row r="74" spans="1:8">
      <c r="A74" s="1">
        <f t="shared" ref="A74:A75" si="20">+A73+delta</f>
        <v>16.75</v>
      </c>
      <c r="B74" s="4">
        <v>0</v>
      </c>
      <c r="C74" s="2"/>
      <c r="D74" s="9">
        <f t="shared" ca="1" si="15"/>
        <v>-1.8116374062274153E-9</v>
      </c>
      <c r="E74" s="6">
        <f t="shared" ca="1" si="16"/>
        <v>1.3256742706947587E-8</v>
      </c>
      <c r="F74" s="7">
        <f t="shared" ca="1" si="17"/>
        <v>-2.2718529850103364</v>
      </c>
      <c r="G74" s="7">
        <f t="shared" ca="1" si="18"/>
        <v>-1.869371092822127</v>
      </c>
      <c r="H74" s="7">
        <f t="shared" ca="1" si="19"/>
        <v>-2.7711166694643907E-13</v>
      </c>
    </row>
    <row r="75" spans="1:8">
      <c r="A75" s="1">
        <f t="shared" si="20"/>
        <v>17</v>
      </c>
      <c r="B75" s="4">
        <v>0</v>
      </c>
      <c r="C75" s="2"/>
      <c r="D75" s="11">
        <v>0</v>
      </c>
      <c r="E75" s="6">
        <f t="shared" ca="1" si="0"/>
        <v>-2.7710550520526427E-23</v>
      </c>
      <c r="F75" s="7">
        <f t="shared" ca="1" si="1"/>
        <v>-2.739195758215863</v>
      </c>
      <c r="G75" s="10">
        <f ca="1">(F75-F74)/delta</f>
        <v>-1.8693710928221066</v>
      </c>
      <c r="H75" s="10">
        <f ca="1">(G75-G74)/delta</f>
        <v>8.1712414612411521E-14</v>
      </c>
    </row>
    <row r="76" spans="1:8">
      <c r="A76" s="2"/>
      <c r="B76" s="2"/>
      <c r="C76" s="2"/>
      <c r="D76" s="8">
        <f ca="1">D74</f>
        <v>-1.8116374062274153E-9</v>
      </c>
      <c r="E76" s="6"/>
      <c r="F76" s="2"/>
      <c r="G76" s="2"/>
      <c r="H76" s="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Hoja1</vt:lpstr>
      <vt:lpstr>Hoja2</vt:lpstr>
      <vt:lpstr>Hoja3</vt:lpstr>
      <vt:lpstr>cortante</vt:lpstr>
      <vt:lpstr>delta</vt:lpstr>
      <vt:lpstr>E</vt:lpstr>
      <vt:lpstr>ejeX</vt:lpstr>
      <vt:lpstr>I</vt:lpstr>
      <vt:lpstr>momento</vt:lpstr>
      <vt:lpstr>qs</vt:lpstr>
      <vt:lpstr>theta</vt:lpstr>
      <vt:lpstr>ws</vt:lpstr>
    </vt:vector>
  </TitlesOfParts>
  <Company>WindowsXP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Windows XP</cp:lastModifiedBy>
  <dcterms:created xsi:type="dcterms:W3CDTF">2010-05-04T01:33:20Z</dcterms:created>
  <dcterms:modified xsi:type="dcterms:W3CDTF">2010-05-04T15:11:00Z</dcterms:modified>
</cp:coreProperties>
</file>