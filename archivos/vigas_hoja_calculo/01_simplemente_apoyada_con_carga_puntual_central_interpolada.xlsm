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30" windowWidth="24795" windowHeight="10485"/>
  </bookViews>
  <sheets>
    <sheet name="Hoja1" sheetId="1" r:id="rId1"/>
    <sheet name="Hoja2" sheetId="2" r:id="rId2"/>
    <sheet name="Hoja3" sheetId="3" r:id="rId3"/>
  </sheets>
  <functionGroups builtInGroupCount="17"/>
  <definedNames>
    <definedName name="delta">Hoja1!$B$1</definedName>
    <definedName name="E">Hoja1!$B$2</definedName>
    <definedName name="I">Hoja1!$B$3</definedName>
  </definedNames>
  <calcPr calcId="144525" calcMode="manual" iterate="1" iterateCount="32767" iterateDelta="1E-10" calcCompleted="0" calcOnSave="0"/>
</workbook>
</file>

<file path=xl/calcChain.xml><?xml version="1.0" encoding="utf-8"?>
<calcChain xmlns="http://schemas.openxmlformats.org/spreadsheetml/2006/main">
  <c r="B18" i="1" l="1"/>
  <c r="B3" i="1"/>
  <c r="A8" i="1"/>
  <c r="A9" i="1" s="1"/>
  <c r="A10" i="1" s="1"/>
  <c r="A11" i="1" s="1"/>
  <c r="A12" i="1" s="1"/>
  <c r="A13" i="1" s="1"/>
  <c r="A14" i="1" s="1"/>
  <c r="A15" i="1" s="1"/>
  <c r="A16" i="1" s="1"/>
  <c r="A18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D6" i="1" l="1"/>
  <c r="E7" i="1"/>
  <c r="F7" i="1"/>
  <c r="G7" i="1"/>
  <c r="H7" i="1"/>
  <c r="D8" i="1"/>
  <c r="E8" i="1"/>
  <c r="F8" i="1"/>
  <c r="G8" i="1"/>
  <c r="H8" i="1"/>
  <c r="D9" i="1"/>
  <c r="E9" i="1"/>
  <c r="F9" i="1"/>
  <c r="G9" i="1"/>
  <c r="H9" i="1"/>
  <c r="D10" i="1"/>
  <c r="E10" i="1"/>
  <c r="F10" i="1"/>
  <c r="G10" i="1"/>
  <c r="H10" i="1"/>
  <c r="D11" i="1"/>
  <c r="E11" i="1"/>
  <c r="F11" i="1"/>
  <c r="G11" i="1"/>
  <c r="H11" i="1"/>
  <c r="D12" i="1"/>
  <c r="E12" i="1"/>
  <c r="F12" i="1"/>
  <c r="G12" i="1"/>
  <c r="H12" i="1"/>
  <c r="D13" i="1"/>
  <c r="E13" i="1"/>
  <c r="F13" i="1"/>
  <c r="G13" i="1"/>
  <c r="H13" i="1"/>
  <c r="D14" i="1"/>
  <c r="E14" i="1"/>
  <c r="F14" i="1"/>
  <c r="G14" i="1"/>
  <c r="H14" i="1"/>
  <c r="D15" i="1"/>
  <c r="E15" i="1"/>
  <c r="F15" i="1"/>
  <c r="G15" i="1"/>
  <c r="H15" i="1"/>
  <c r="D16" i="1"/>
  <c r="E16" i="1"/>
  <c r="F16" i="1"/>
  <c r="G16" i="1"/>
  <c r="H16" i="1"/>
  <c r="D17" i="1"/>
  <c r="E17" i="1"/>
  <c r="F17" i="1"/>
  <c r="G17" i="1"/>
  <c r="H17" i="1"/>
  <c r="D18" i="1"/>
  <c r="E18" i="1"/>
  <c r="F18" i="1"/>
  <c r="D19" i="1"/>
  <c r="E19" i="1"/>
  <c r="F19" i="1"/>
  <c r="G19" i="1"/>
  <c r="H19" i="1"/>
  <c r="D20" i="1"/>
  <c r="E20" i="1"/>
  <c r="F20" i="1"/>
  <c r="G20" i="1"/>
  <c r="H20" i="1"/>
  <c r="D21" i="1"/>
  <c r="E21" i="1"/>
  <c r="F21" i="1"/>
  <c r="G21" i="1"/>
  <c r="H21" i="1"/>
  <c r="D22" i="1"/>
  <c r="E22" i="1"/>
  <c r="F22" i="1"/>
  <c r="G22" i="1"/>
  <c r="H22" i="1"/>
  <c r="D23" i="1"/>
  <c r="E23" i="1"/>
  <c r="F23" i="1"/>
  <c r="G23" i="1"/>
  <c r="H23" i="1"/>
  <c r="D24" i="1"/>
  <c r="E24" i="1"/>
  <c r="F24" i="1"/>
  <c r="G24" i="1"/>
  <c r="H24" i="1"/>
  <c r="D25" i="1"/>
  <c r="E25" i="1"/>
  <c r="F25" i="1"/>
  <c r="G25" i="1"/>
  <c r="H25" i="1"/>
  <c r="D26" i="1"/>
  <c r="E26" i="1"/>
  <c r="F26" i="1"/>
  <c r="G26" i="1"/>
  <c r="H26" i="1"/>
  <c r="D27" i="1"/>
  <c r="E27" i="1"/>
  <c r="F27" i="1"/>
  <c r="G27" i="1"/>
  <c r="H27" i="1"/>
  <c r="D28" i="1"/>
  <c r="E28" i="1"/>
  <c r="F28" i="1"/>
  <c r="G28" i="1"/>
  <c r="H28" i="1"/>
  <c r="E29" i="1"/>
  <c r="F29" i="1"/>
  <c r="G29" i="1"/>
  <c r="H29" i="1"/>
  <c r="D30" i="1"/>
  <c r="D34" i="1"/>
  <c r="E35" i="1"/>
  <c r="E36" i="1"/>
</calcChain>
</file>

<file path=xl/sharedStrings.xml><?xml version="1.0" encoding="utf-8"?>
<sst xmlns="http://schemas.openxmlformats.org/spreadsheetml/2006/main" count="22" uniqueCount="19">
  <si>
    <t xml:space="preserve">delta = </t>
  </si>
  <si>
    <t>x</t>
  </si>
  <si>
    <t>V</t>
  </si>
  <si>
    <t>M</t>
  </si>
  <si>
    <t>w</t>
  </si>
  <si>
    <t>m</t>
  </si>
  <si>
    <t xml:space="preserve">E = </t>
  </si>
  <si>
    <t>Pa</t>
  </si>
  <si>
    <t>I =</t>
  </si>
  <si>
    <t>m^4</t>
  </si>
  <si>
    <t>q</t>
  </si>
  <si>
    <t>theta</t>
  </si>
  <si>
    <t>q (N/m)</t>
  </si>
  <si>
    <t>w (m)</t>
  </si>
  <si>
    <t>M (N-m)</t>
  </si>
  <si>
    <t>V (N)</t>
  </si>
  <si>
    <t>Ry derecha =</t>
  </si>
  <si>
    <t xml:space="preserve">Ry izquierda = 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</si>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</sst>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1"/>
      <color theme="1"/>
      <name val="Calibri"/>
      <family val="2"/>
    </font>
    <font>
      <b/>
      <sz val="11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/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w</c:v>
          </c:tx>
          <c:xVal>
            <c:numRef>
              <c:f>Hoja1!$A$7:$A$29</c:f>
              <c:numCache>
                <c:formatCode>0,000</c:formatCode>
                <c:ptCount val="2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</c:v>
                </c:pt>
                <c:pt idx="11">
                  <c:v>0.49999999999999994</c:v>
                </c:pt>
                <c:pt idx="12">
                  <c:v>0.501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</c:numCache>
            </c:numRef>
          </c:xVal>
          <c:yVal>
            <c:numRef>
              <c:f>Hoja1!$B$7:$B$29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-20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53952"/>
        <c:axId val="91947584"/>
      </c:scatterChart>
      <c:valAx>
        <c:axId val="64453952"/>
        <c:scaling>
          <c:orientation val="minMax"/>
          <c:max val="1"/>
          <c:min val="0"/>
        </c:scaling>
        <c:delete val="0"/>
        <c:axPos val="b"/>
        <c:numFmt formatCode="0,000" sourceLinked="1"/>
        <c:majorTickMark val="out"/>
        <c:minorTickMark val="none"/>
        <c:tickLblPos val="nextTo"/>
        <c:crossAx val="91947584"/>
        <c:crosses val="autoZero"/>
        <c:crossBetween val="midCat"/>
      </c:valAx>
      <c:valAx>
        <c:axId val="9194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45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xVal>
            <c:numRef>
              <c:f>Hoja1!$A$7:$A$29</c:f>
              <c:numCache>
                <c:formatCode>0,000</c:formatCode>
                <c:ptCount val="2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</c:v>
                </c:pt>
                <c:pt idx="11">
                  <c:v>0.49999999999999994</c:v>
                </c:pt>
                <c:pt idx="12">
                  <c:v>0.501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</c:numCache>
            </c:numRef>
          </c:xVal>
          <c:yVal>
            <c:numRef>
              <c:f>Hoja1!$G$7:$G$29</c:f>
              <c:numCache>
                <c:formatCode>General</c:formatCode>
                <c:ptCount val="23"/>
                <c:pt idx="0">
                  <c:v>0.49999999999942057</c:v>
                </c:pt>
                <c:pt idx="1">
                  <c:v>0.49999999999941575</c:v>
                </c:pt>
                <c:pt idx="2">
                  <c:v>0.49999999999942057</c:v>
                </c:pt>
                <c:pt idx="3">
                  <c:v>0.49999999999944988</c:v>
                </c:pt>
                <c:pt idx="4">
                  <c:v>0.49999999999949885</c:v>
                </c:pt>
                <c:pt idx="5">
                  <c:v>0.49999999999957212</c:v>
                </c:pt>
                <c:pt idx="6">
                  <c:v>0.49999999999963557</c:v>
                </c:pt>
                <c:pt idx="7">
                  <c:v>0.49999999999972344</c:v>
                </c:pt>
                <c:pt idx="8">
                  <c:v>0.49999999999985056</c:v>
                </c:pt>
                <c:pt idx="9">
                  <c:v>0.49999999999990941</c:v>
                </c:pt>
                <c:pt idx="10">
                  <c:v>0.49999999999990041</c:v>
                </c:pt>
                <c:pt idx="12">
                  <c:v>-0.49999999999986017</c:v>
                </c:pt>
                <c:pt idx="13">
                  <c:v>-0.49999999999986944</c:v>
                </c:pt>
                <c:pt idx="14">
                  <c:v>-0.4999999999998308</c:v>
                </c:pt>
                <c:pt idx="15">
                  <c:v>-0.49999999999974343</c:v>
                </c:pt>
                <c:pt idx="16">
                  <c:v>-0.49999999999965528</c:v>
                </c:pt>
                <c:pt idx="17">
                  <c:v>-0.49999999999957689</c:v>
                </c:pt>
                <c:pt idx="18">
                  <c:v>-0.49999999999948902</c:v>
                </c:pt>
                <c:pt idx="19">
                  <c:v>-0.49999999999944517</c:v>
                </c:pt>
                <c:pt idx="20">
                  <c:v>-0.49999999999944017</c:v>
                </c:pt>
                <c:pt idx="21">
                  <c:v>-0.49999999999941575</c:v>
                </c:pt>
                <c:pt idx="22">
                  <c:v>-0.49999999999940109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53376"/>
        <c:axId val="215736320"/>
      </c:scatterChart>
      <c:valAx>
        <c:axId val="64453376"/>
        <c:scaling>
          <c:orientation val="minMax"/>
          <c:max val="1"/>
          <c:min val="0"/>
        </c:scaling>
        <c:delete val="0"/>
        <c:axPos val="b"/>
        <c:numFmt formatCode="0,000" sourceLinked="1"/>
        <c:majorTickMark val="out"/>
        <c:minorTickMark val="none"/>
        <c:tickLblPos val="nextTo"/>
        <c:crossAx val="215736320"/>
        <c:crosses val="autoZero"/>
        <c:crossBetween val="midCat"/>
      </c:valAx>
      <c:valAx>
        <c:axId val="21573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453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xVal>
            <c:numRef>
              <c:f>Hoja1!$A$7:$A$29</c:f>
              <c:numCache>
                <c:formatCode>0,000</c:formatCode>
                <c:ptCount val="2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</c:v>
                </c:pt>
                <c:pt idx="11">
                  <c:v>0.49999999999999994</c:v>
                </c:pt>
                <c:pt idx="12">
                  <c:v>0.501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</c:numCache>
            </c:numRef>
          </c:xVal>
          <c:yVal>
            <c:numRef>
              <c:f>Hoja1!$F$7:$F$29</c:f>
              <c:numCache>
                <c:formatCode>General</c:formatCode>
                <c:ptCount val="23"/>
                <c:pt idx="0">
                  <c:v>0</c:v>
                </c:pt>
                <c:pt idx="1">
                  <c:v>2.4999999999971032E-2</c:v>
                </c:pt>
                <c:pt idx="2">
                  <c:v>4.9999999999941577E-2</c:v>
                </c:pt>
                <c:pt idx="3">
                  <c:v>7.4999999999913095E-2</c:v>
                </c:pt>
                <c:pt idx="4">
                  <c:v>9.9999999999886569E-2</c:v>
                </c:pt>
                <c:pt idx="5">
                  <c:v>0.12499999999986298</c:v>
                </c:pt>
                <c:pt idx="6">
                  <c:v>0.14999999999984379</c:v>
                </c:pt>
                <c:pt idx="7">
                  <c:v>0.17499999999982654</c:v>
                </c:pt>
                <c:pt idx="8">
                  <c:v>0.19999999999981613</c:v>
                </c:pt>
                <c:pt idx="9">
                  <c:v>0.2249999999998116</c:v>
                </c:pt>
                <c:pt idx="10">
                  <c:v>0.24949999999981276</c:v>
                </c:pt>
                <c:pt idx="11">
                  <c:v>0.24999999999980704</c:v>
                </c:pt>
                <c:pt idx="12">
                  <c:v>0.24949999999980904</c:v>
                </c:pt>
                <c:pt idx="13">
                  <c:v>0.2249999999998116</c:v>
                </c:pt>
                <c:pt idx="14">
                  <c:v>0.19999999999981813</c:v>
                </c:pt>
                <c:pt idx="15">
                  <c:v>0.17499999999982851</c:v>
                </c:pt>
                <c:pt idx="16">
                  <c:v>0.14999999999984379</c:v>
                </c:pt>
                <c:pt idx="17">
                  <c:v>0.12499999999986298</c:v>
                </c:pt>
                <c:pt idx="18">
                  <c:v>9.9999999999886097E-2</c:v>
                </c:pt>
                <c:pt idx="19">
                  <c:v>7.499999999991408E-2</c:v>
                </c:pt>
                <c:pt idx="20">
                  <c:v>4.9999999999941577E-2</c:v>
                </c:pt>
                <c:pt idx="21">
                  <c:v>2.4999999999970057E-2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25248"/>
        <c:axId val="215738624"/>
      </c:scatterChart>
      <c:valAx>
        <c:axId val="173525248"/>
        <c:scaling>
          <c:orientation val="minMax"/>
          <c:max val="1"/>
          <c:min val="0"/>
        </c:scaling>
        <c:delete val="0"/>
        <c:axPos val="b"/>
        <c:numFmt formatCode="0,000" sourceLinked="1"/>
        <c:majorTickMark val="out"/>
        <c:minorTickMark val="none"/>
        <c:tickLblPos val="nextTo"/>
        <c:crossAx val="215738624"/>
        <c:crosses val="autoZero"/>
        <c:crossBetween val="midCat"/>
      </c:valAx>
      <c:valAx>
        <c:axId val="21573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52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xVal>
            <c:numRef>
              <c:f>Hoja1!$A$7:$A$29</c:f>
              <c:numCache>
                <c:formatCode>0,000</c:formatCode>
                <c:ptCount val="2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</c:v>
                </c:pt>
                <c:pt idx="11">
                  <c:v>0.49999999999999994</c:v>
                </c:pt>
                <c:pt idx="12">
                  <c:v>0.501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</c:numCache>
            </c:numRef>
          </c:xVal>
          <c:yVal>
            <c:numRef>
              <c:f>Hoja1!$E$7:$E$29</c:f>
              <c:numCache>
                <c:formatCode>General</c:formatCode>
                <c:ptCount val="23"/>
                <c:pt idx="0">
                  <c:v>-1.3227513227500301E-9</c:v>
                </c:pt>
                <c:pt idx="1">
                  <c:v>-1.3095238095225322E-9</c:v>
                </c:pt>
                <c:pt idx="2">
                  <c:v>-1.2698412698400387E-9</c:v>
                </c:pt>
                <c:pt idx="3">
                  <c:v>-1.2037037037025494E-9</c:v>
                </c:pt>
                <c:pt idx="4">
                  <c:v>-1.1111111111100628E-9</c:v>
                </c:pt>
                <c:pt idx="5">
                  <c:v>-9.9206349206257633E-10</c:v>
                </c:pt>
                <c:pt idx="6">
                  <c:v>-8.4656084656008596E-10</c:v>
                </c:pt>
                <c:pt idx="7">
                  <c:v>-6.7460317460258842E-10</c:v>
                </c:pt>
                <c:pt idx="8">
                  <c:v>-4.7619047619007905E-10</c:v>
                </c:pt>
                <c:pt idx="9">
                  <c:v>-2.5132275132255113E-10</c:v>
                </c:pt>
                <c:pt idx="10">
                  <c:v>-5.2857142857142675E-12</c:v>
                </c:pt>
                <c:pt idx="11">
                  <c:v>-1.5509636485369269E-24</c:v>
                </c:pt>
                <c:pt idx="12">
                  <c:v>5.2857142857124063E-12</c:v>
                </c:pt>
                <c:pt idx="13">
                  <c:v>2.5132275132254803E-10</c:v>
                </c:pt>
                <c:pt idx="14">
                  <c:v>4.7619047619007698E-10</c:v>
                </c:pt>
                <c:pt idx="15">
                  <c:v>6.7460317460258842E-10</c:v>
                </c:pt>
                <c:pt idx="16">
                  <c:v>8.46560846560087E-10</c:v>
                </c:pt>
                <c:pt idx="17">
                  <c:v>9.9206349206257736E-10</c:v>
                </c:pt>
                <c:pt idx="18">
                  <c:v>1.1111111111100639E-9</c:v>
                </c:pt>
                <c:pt idx="19">
                  <c:v>1.2037037037025506E-9</c:v>
                </c:pt>
                <c:pt idx="20">
                  <c:v>1.2698412698400399E-9</c:v>
                </c:pt>
                <c:pt idx="21">
                  <c:v>1.3095238095225328E-9</c:v>
                </c:pt>
                <c:pt idx="22">
                  <c:v>1.3227513227500303E-9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38048"/>
        <c:axId val="215740928"/>
      </c:scatterChart>
      <c:valAx>
        <c:axId val="215738048"/>
        <c:scaling>
          <c:orientation val="minMax"/>
          <c:max val="1"/>
          <c:min val="0"/>
        </c:scaling>
        <c:delete val="0"/>
        <c:axPos val="b"/>
        <c:numFmt formatCode="0,000" sourceLinked="1"/>
        <c:majorTickMark val="out"/>
        <c:minorTickMark val="none"/>
        <c:tickLblPos val="nextTo"/>
        <c:crossAx val="215740928"/>
        <c:crosses val="autoZero"/>
        <c:crossBetween val="midCat"/>
      </c:valAx>
      <c:valAx>
        <c:axId val="21574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3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</c:v>
          </c:tx>
          <c:xVal>
            <c:numRef>
              <c:f>Hoja1!$A$7:$A$29</c:f>
              <c:numCache>
                <c:formatCode>0,000</c:formatCode>
                <c:ptCount val="2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</c:v>
                </c:pt>
                <c:pt idx="11">
                  <c:v>0.49999999999999994</c:v>
                </c:pt>
                <c:pt idx="12">
                  <c:v>0.501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1.0000000000000002</c:v>
                </c:pt>
              </c:numCache>
            </c:numRef>
          </c:xVal>
          <c:yVal>
            <c:numRef>
              <c:f>Hoja1!$D$7:$D$29</c:f>
              <c:numCache>
                <c:formatCode>General</c:formatCode>
                <c:ptCount val="23"/>
                <c:pt idx="0">
                  <c:v>0</c:v>
                </c:pt>
                <c:pt idx="1">
                  <c:v>-6.6137566137501504E-11</c:v>
                </c:pt>
                <c:pt idx="2">
                  <c:v>-1.3095238095225322E-10</c:v>
                </c:pt>
                <c:pt idx="3">
                  <c:v>-1.9312169312150538E-10</c:v>
                </c:pt>
                <c:pt idx="4">
                  <c:v>-2.5132275132250817E-10</c:v>
                </c:pt>
                <c:pt idx="5">
                  <c:v>-3.0423280423251166E-10</c:v>
                </c:pt>
                <c:pt idx="6">
                  <c:v>-3.505291005287658E-10</c:v>
                </c:pt>
                <c:pt idx="7">
                  <c:v>-3.8888888888852026E-10</c:v>
                </c:pt>
                <c:pt idx="8">
                  <c:v>-4.1798941798902464E-10</c:v>
                </c:pt>
                <c:pt idx="9">
                  <c:v>-4.3650793650752817E-10</c:v>
                </c:pt>
                <c:pt idx="10">
                  <c:v>-4.4438941798900425E-10</c:v>
                </c:pt>
                <c:pt idx="11">
                  <c:v>-4.4312169312127975E-10</c:v>
                </c:pt>
                <c:pt idx="12">
                  <c:v>-4.4438941798900456E-10</c:v>
                </c:pt>
                <c:pt idx="13">
                  <c:v>-4.3650793650752832E-10</c:v>
                </c:pt>
                <c:pt idx="14">
                  <c:v>-4.1798941798902495E-10</c:v>
                </c:pt>
                <c:pt idx="15">
                  <c:v>-3.8888888888852062E-10</c:v>
                </c:pt>
                <c:pt idx="16">
                  <c:v>-3.5052910052876611E-10</c:v>
                </c:pt>
                <c:pt idx="17">
                  <c:v>-3.0423280423251192E-10</c:v>
                </c:pt>
                <c:pt idx="18">
                  <c:v>-2.5132275132250837E-10</c:v>
                </c:pt>
                <c:pt idx="19">
                  <c:v>-1.9312169312150553E-10</c:v>
                </c:pt>
                <c:pt idx="20">
                  <c:v>-1.309523809522533E-10</c:v>
                </c:pt>
                <c:pt idx="21">
                  <c:v>-6.6137566137501517E-11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40352"/>
        <c:axId val="215743808"/>
      </c:scatterChart>
      <c:valAx>
        <c:axId val="215740352"/>
        <c:scaling>
          <c:orientation val="minMax"/>
          <c:max val="1"/>
          <c:min val="0"/>
        </c:scaling>
        <c:delete val="0"/>
        <c:axPos val="b"/>
        <c:numFmt formatCode="0,000" sourceLinked="1"/>
        <c:majorTickMark val="out"/>
        <c:minorTickMark val="none"/>
        <c:tickLblPos val="nextTo"/>
        <c:crossAx val="215743808"/>
        <c:crosses val="autoZero"/>
        <c:crossBetween val="midCat"/>
      </c:valAx>
      <c:valAx>
        <c:axId val="21574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4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3</xdr:row>
      <xdr:rowOff>180975</xdr:rowOff>
    </xdr:from>
    <xdr:to>
      <xdr:col>19</xdr:col>
      <xdr:colOff>733425</xdr:colOff>
      <xdr:row>11</xdr:row>
      <xdr:rowOff>171450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13</xdr:row>
      <xdr:rowOff>0</xdr:rowOff>
    </xdr:from>
    <xdr:to>
      <xdr:col>19</xdr:col>
      <xdr:colOff>733425</xdr:colOff>
      <xdr:row>22</xdr:row>
      <xdr:rowOff>180975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9525</xdr:colOff>
      <xdr:row>23</xdr:row>
      <xdr:rowOff>180975</xdr:rowOff>
    </xdr:from>
    <xdr:to>
      <xdr:col>19</xdr:col>
      <xdr:colOff>733425</xdr:colOff>
      <xdr:row>31</xdr:row>
      <xdr:rowOff>171450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33</xdr:row>
      <xdr:rowOff>9525</xdr:rowOff>
    </xdr:from>
    <xdr:to>
      <xdr:col>19</xdr:col>
      <xdr:colOff>723900</xdr:colOff>
      <xdr:row>41</xdr:row>
      <xdr:rowOff>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42</xdr:row>
      <xdr:rowOff>28575</xdr:rowOff>
    </xdr:from>
    <xdr:to>
      <xdr:col>19</xdr:col>
      <xdr:colOff>723900</xdr:colOff>
      <xdr:row>50</xdr:row>
      <xdr:rowOff>19050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20</xdr:col>
      <xdr:colOff>590550</xdr:colOff>
      <xdr:row>3</xdr:row>
      <xdr:rowOff>133350</xdr:rowOff>
    </xdr:from>
    <xdr:to>
      <xdr:col>27</xdr:col>
      <xdr:colOff>19050</xdr:colOff>
      <xdr:row>39</xdr:row>
      <xdr:rowOff>104775</xdr:rowOff>
    </xdr:to>
    <xdr:pic>
      <xdr:nvPicPr>
        <xdr:cNvPr id="9" name="8 Imagen" descr="500px-Poutre_flexion_trois_points_diagrammes.svg.pn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049625" y="704850"/>
          <a:ext cx="4762500" cy="682942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7"/>
  <sheetViews>
    <sheetView tabSelected="1" workbookViewId="0">
      <selection activeCell="F37" sqref="F37"/>
    </sheetView>
  </sheetViews>
  <sheetFormatPr baseColWidth="10" defaultRowHeight="15" x14ac:dyDescent="0.25"/>
  <cols>
    <col min="1" max="1" width="11.85546875" bestFit="1" customWidth="1"/>
    <col min="4" max="4" width="12.7109375" bestFit="1" customWidth="1"/>
    <col min="5" max="5" width="11.7109375" bestFit="1" customWidth="1"/>
    <col min="6" max="6" width="12.7109375" bestFit="1" customWidth="1"/>
  </cols>
  <sheetData>
    <row r="1" spans="1:10" x14ac:dyDescent="0.25">
      <c r="A1" t="s">
        <v>0</v>
      </c>
      <c r="B1">
        <v>0.05</v>
      </c>
      <c r="C1" t="s">
        <v>5</v>
      </c>
    </row>
    <row r="2" spans="1:10" x14ac:dyDescent="0.25">
      <c r="A2" t="s">
        <v>6</v>
      </c>
      <c r="B2" s="2">
        <v>210000000000</v>
      </c>
      <c r="C2" t="s">
        <v>7</v>
      </c>
    </row>
    <row r="3" spans="1:10" x14ac:dyDescent="0.25">
      <c r="A3" t="s">
        <v>8</v>
      </c>
      <c r="B3">
        <f>0.1*0.3^3/12</f>
        <v>2.2500000000000002E-4</v>
      </c>
      <c r="C3" t="s">
        <v>9</v>
      </c>
    </row>
    <row r="5" spans="1:10" x14ac:dyDescent="0.25">
      <c r="A5" s="1"/>
      <c r="B5" s="1"/>
      <c r="C5" s="1"/>
      <c r="D5" s="1" t="s">
        <v>13</v>
      </c>
      <c r="E5" s="1" t="s">
        <v>11</v>
      </c>
      <c r="F5" s="1" t="s">
        <v>14</v>
      </c>
      <c r="G5" s="1" t="s">
        <v>15</v>
      </c>
      <c r="H5" s="1" t="s">
        <v>12</v>
      </c>
      <c r="I5" s="1"/>
    </row>
    <row r="6" spans="1:10" x14ac:dyDescent="0.25">
      <c r="A6" s="1" t="s">
        <v>1</v>
      </c>
      <c r="B6" s="1" t="s">
        <v>12</v>
      </c>
      <c r="C6" s="1"/>
      <c r="D6" s="3">
        <f ca="1">2*D7-D8</f>
        <v>6.6137566137501504E-11</v>
      </c>
      <c r="E6" s="1"/>
      <c r="F6" s="1"/>
      <c r="G6" s="1"/>
      <c r="H6" s="1"/>
      <c r="I6" s="1"/>
    </row>
    <row r="7" spans="1:10" x14ac:dyDescent="0.25">
      <c r="A7" s="10">
        <v>0</v>
      </c>
      <c r="B7" s="6">
        <v>0</v>
      </c>
      <c r="C7" s="1"/>
      <c r="D7" s="4">
        <v>0</v>
      </c>
      <c r="E7" s="1">
        <f t="shared" ref="E7:E29" ca="1" si="0">(D8-D6)/(2*delta)</f>
        <v>-1.3227513227500301E-9</v>
      </c>
      <c r="F7" s="1">
        <f t="shared" ref="F7:F29" ca="1" si="1">E*I*(D8-2*D7+D6)/delta^2</f>
        <v>0</v>
      </c>
      <c r="G7" s="4">
        <f ca="1">(F8-F7)/delta</f>
        <v>0.49999999999942057</v>
      </c>
      <c r="H7" s="4">
        <f ca="1">(G8-G7)/delta</f>
        <v>-9.6589403142388619E-14</v>
      </c>
      <c r="I7" s="1"/>
    </row>
    <row r="8" spans="1:10" x14ac:dyDescent="0.25">
      <c r="A8" s="10">
        <f t="shared" ref="A8:A29" si="2">+A7+delta</f>
        <v>0.05</v>
      </c>
      <c r="B8" s="6">
        <v>0</v>
      </c>
      <c r="C8" s="1"/>
      <c r="D8" s="5">
        <f t="shared" ref="D8:D28" ca="1" si="3">((B8*delta^4/(E*I))-D6+4*D7+4*D9-D10)/6</f>
        <v>-6.6137566137501504E-11</v>
      </c>
      <c r="E8" s="1">
        <f t="shared" ca="1" si="0"/>
        <v>-1.3095238095225322E-9</v>
      </c>
      <c r="F8" s="1">
        <f t="shared" ca="1" si="1"/>
        <v>2.4999999999971032E-2</v>
      </c>
      <c r="G8" s="1">
        <f t="shared" ref="G8:H28" ca="1" si="4">(F9-F7)/(2*delta)</f>
        <v>0.49999999999941575</v>
      </c>
      <c r="H8" s="1">
        <f t="shared" ca="1" si="4"/>
        <v>0</v>
      </c>
      <c r="I8" s="1"/>
      <c r="J8" s="7" t="s">
        <v>10</v>
      </c>
    </row>
    <row r="9" spans="1:10" x14ac:dyDescent="0.25">
      <c r="A9" s="10">
        <f t="shared" si="2"/>
        <v>0.1</v>
      </c>
      <c r="B9" s="6">
        <v>0</v>
      </c>
      <c r="C9" s="1"/>
      <c r="D9" s="5">
        <f t="shared" ca="1" si="3"/>
        <v>-1.3095238095225322E-10</v>
      </c>
      <c r="E9" s="1">
        <f t="shared" ca="1" si="0"/>
        <v>-1.2698412698400387E-9</v>
      </c>
      <c r="F9" s="1">
        <f t="shared" ca="1" si="1"/>
        <v>4.9999999999941577E-2</v>
      </c>
      <c r="G9" s="1">
        <f t="shared" ca="1" si="4"/>
        <v>0.49999999999942057</v>
      </c>
      <c r="H9" s="1">
        <f t="shared" ca="1" si="4"/>
        <v>3.4139358007223564E-13</v>
      </c>
      <c r="I9" s="1"/>
      <c r="J9" s="7"/>
    </row>
    <row r="10" spans="1:10" x14ac:dyDescent="0.25">
      <c r="A10" s="10">
        <f t="shared" si="2"/>
        <v>0.15000000000000002</v>
      </c>
      <c r="B10" s="6">
        <v>0</v>
      </c>
      <c r="C10" s="1"/>
      <c r="D10" s="5">
        <f t="shared" ca="1" si="3"/>
        <v>-1.9312169312150538E-10</v>
      </c>
      <c r="E10" s="1">
        <f t="shared" ca="1" si="0"/>
        <v>-1.2037037037025494E-9</v>
      </c>
      <c r="F10" s="1">
        <f t="shared" ca="1" si="1"/>
        <v>7.4999999999913095E-2</v>
      </c>
      <c r="G10" s="1">
        <f t="shared" ca="1" si="4"/>
        <v>0.49999999999944988</v>
      </c>
      <c r="H10" s="1">
        <f t="shared" ca="1" si="4"/>
        <v>7.8270723236073536E-13</v>
      </c>
      <c r="I10" s="1"/>
      <c r="J10" s="7"/>
    </row>
    <row r="11" spans="1:10" x14ac:dyDescent="0.25">
      <c r="A11" s="10">
        <f t="shared" si="2"/>
        <v>0.2</v>
      </c>
      <c r="B11" s="6">
        <v>0</v>
      </c>
      <c r="C11" s="1"/>
      <c r="D11" s="5">
        <f t="shared" ca="1" si="3"/>
        <v>-2.5132275132250817E-10</v>
      </c>
      <c r="E11" s="1">
        <f t="shared" ca="1" si="0"/>
        <v>-1.1111111111100628E-9</v>
      </c>
      <c r="F11" s="1">
        <f t="shared" ca="1" si="1"/>
        <v>9.9999999999886569E-2</v>
      </c>
      <c r="G11" s="1">
        <f t="shared" ca="1" si="4"/>
        <v>0.49999999999949885</v>
      </c>
      <c r="H11" s="1">
        <f t="shared" ca="1" si="4"/>
        <v>1.2223555501122974E-12</v>
      </c>
      <c r="I11" s="1"/>
      <c r="J11" s="7"/>
    </row>
    <row r="12" spans="1:10" x14ac:dyDescent="0.25">
      <c r="A12" s="10">
        <f t="shared" si="2"/>
        <v>0.25</v>
      </c>
      <c r="B12" s="6">
        <v>0</v>
      </c>
      <c r="C12" s="1"/>
      <c r="D12" s="5">
        <f t="shared" ca="1" si="3"/>
        <v>-3.0423280423251166E-10</v>
      </c>
      <c r="E12" s="1">
        <f t="shared" ca="1" si="0"/>
        <v>-9.9206349206257633E-10</v>
      </c>
      <c r="F12" s="1">
        <f t="shared" ca="1" si="1"/>
        <v>0.12499999999986298</v>
      </c>
      <c r="G12" s="1">
        <f t="shared" ca="1" si="4"/>
        <v>0.49999999999957212</v>
      </c>
      <c r="H12" s="1">
        <f t="shared" ca="1" si="4"/>
        <v>1.3672396548258803E-12</v>
      </c>
      <c r="I12" s="1"/>
      <c r="J12" s="7"/>
    </row>
    <row r="13" spans="1:10" x14ac:dyDescent="0.25">
      <c r="A13" s="10">
        <f t="shared" si="2"/>
        <v>0.3</v>
      </c>
      <c r="B13" s="6">
        <v>0</v>
      </c>
      <c r="C13" s="1"/>
      <c r="D13" s="5">
        <f t="shared" ca="1" si="3"/>
        <v>-3.505291005287658E-10</v>
      </c>
      <c r="E13" s="1">
        <f t="shared" ca="1" si="0"/>
        <v>-8.4656084656008596E-10</v>
      </c>
      <c r="F13" s="1">
        <f t="shared" ca="1" si="1"/>
        <v>0.14999999999984379</v>
      </c>
      <c r="G13" s="1">
        <f t="shared" ca="1" si="4"/>
        <v>0.49999999999963557</v>
      </c>
      <c r="H13" s="1">
        <f t="shared" ca="1" si="4"/>
        <v>1.5132339825640884E-12</v>
      </c>
      <c r="I13" s="1"/>
      <c r="J13" s="7"/>
    </row>
    <row r="14" spans="1:10" x14ac:dyDescent="0.25">
      <c r="A14" s="10">
        <f t="shared" si="2"/>
        <v>0.35</v>
      </c>
      <c r="B14" s="6">
        <v>0</v>
      </c>
      <c r="C14" s="1"/>
      <c r="D14" s="5">
        <f t="shared" ca="1" si="3"/>
        <v>-3.8888888888852026E-10</v>
      </c>
      <c r="E14" s="1">
        <f t="shared" ca="1" si="0"/>
        <v>-6.7460317460258842E-10</v>
      </c>
      <c r="F14" s="1">
        <f t="shared" ca="1" si="1"/>
        <v>0.17499999999982654</v>
      </c>
      <c r="G14" s="1">
        <f t="shared" ca="1" si="4"/>
        <v>0.49999999999972344</v>
      </c>
      <c r="H14" s="1">
        <f t="shared" ca="1" si="4"/>
        <v>2.1499468871866156E-12</v>
      </c>
      <c r="I14" s="1"/>
      <c r="J14" s="7"/>
    </row>
    <row r="15" spans="1:10" x14ac:dyDescent="0.25">
      <c r="A15" s="10">
        <f t="shared" si="2"/>
        <v>0.39999999999999997</v>
      </c>
      <c r="B15" s="6">
        <v>0</v>
      </c>
      <c r="C15" s="1"/>
      <c r="D15" s="5">
        <f ca="1">((B15*delta^4/(E*I))-D13+4*D14+4*D16-D18)/6</f>
        <v>-4.1798941798902464E-10</v>
      </c>
      <c r="E15" s="1">
        <f t="shared" ca="1" si="0"/>
        <v>-4.7619047619007905E-10</v>
      </c>
      <c r="F15" s="1">
        <f t="shared" ca="1" si="1"/>
        <v>0.19999999999981613</v>
      </c>
      <c r="G15" s="1">
        <f t="shared" ca="1" si="4"/>
        <v>0.49999999999985056</v>
      </c>
      <c r="H15" s="1">
        <f t="shared" ca="1" si="4"/>
        <v>1.8596235662471372E-12</v>
      </c>
      <c r="I15" s="1"/>
      <c r="J15" s="7"/>
    </row>
    <row r="16" spans="1:10" x14ac:dyDescent="0.25">
      <c r="A16" s="10">
        <f t="shared" si="2"/>
        <v>0.44999999999999996</v>
      </c>
      <c r="B16" s="6">
        <v>0</v>
      </c>
      <c r="C16" s="1"/>
      <c r="D16" s="5">
        <f ca="1">((B16*delta^4/(E*I))-D14+4*D15+4*D18-D20)/6</f>
        <v>-4.3650793650752817E-10</v>
      </c>
      <c r="E16" s="1">
        <f ca="1">(D18-D15)/(2*delta)</f>
        <v>-2.5132275132255113E-10</v>
      </c>
      <c r="F16">
        <f ca="1">E*I*(D18-2*D16+D15)/(delta^2)</f>
        <v>0.2249999999998116</v>
      </c>
      <c r="G16" s="8">
        <f ca="1">(F16-F15)/delta</f>
        <v>0.49999999999990941</v>
      </c>
      <c r="H16" s="8">
        <f ca="1">(G16-G15)/delta</f>
        <v>1.1768364061026659E-12</v>
      </c>
      <c r="I16" s="1"/>
      <c r="J16" s="7"/>
    </row>
    <row r="17" spans="1:10" x14ac:dyDescent="0.25">
      <c r="A17" s="10">
        <v>0.499</v>
      </c>
      <c r="B17" s="6"/>
      <c r="C17" s="1"/>
      <c r="D17" s="9">
        <f t="shared" ref="D17:E17" ca="1" si="5">lagrange($A17,$A14:$A16,D14:D16)</f>
        <v>-4.4438941798900425E-10</v>
      </c>
      <c r="E17" s="9">
        <f t="shared" ca="1" si="5"/>
        <v>-5.2857142857142675E-12</v>
      </c>
      <c r="F17" s="9">
        <f ca="1">lagrange($A17,$A14:$A16,F14:F16)</f>
        <v>0.24949999999981276</v>
      </c>
      <c r="G17" s="9">
        <f t="shared" ref="G17:H17" ca="1" si="6">lagrange($A17,$A14:$A16,G14:G16)</f>
        <v>0.49999999999990041</v>
      </c>
      <c r="H17" s="9">
        <f t="shared" ca="1" si="6"/>
        <v>1.269365723643981E-13</v>
      </c>
      <c r="I17" s="1"/>
      <c r="J17" s="7"/>
    </row>
    <row r="18" spans="1:10" x14ac:dyDescent="0.25">
      <c r="A18" s="10">
        <f>+A16+delta</f>
        <v>0.49999999999999994</v>
      </c>
      <c r="B18" s="6">
        <f>-1/delta</f>
        <v>-20</v>
      </c>
      <c r="C18" s="1"/>
      <c r="D18" s="5">
        <f ca="1">((B18*delta^4/(E*I))-D15+4*D16+4*D20-D21)/6</f>
        <v>-4.4312169312127975E-10</v>
      </c>
      <c r="E18" s="1">
        <f ca="1">(D20-D16)/(2*delta)</f>
        <v>-1.5509636485369269E-24</v>
      </c>
      <c r="F18">
        <f ca="1">E*I*(D20-2*D18+D16)/(delta^2)</f>
        <v>0.24999999999980704</v>
      </c>
      <c r="G18" s="9"/>
      <c r="H18" s="9"/>
      <c r="I18" s="1"/>
      <c r="J18" s="7" t="s">
        <v>2</v>
      </c>
    </row>
    <row r="19" spans="1:10" x14ac:dyDescent="0.25">
      <c r="A19" s="10">
        <v>0.501</v>
      </c>
      <c r="B19" s="6"/>
      <c r="C19" s="1"/>
      <c r="D19" s="9">
        <f t="shared" ref="D19:E19" ca="1" si="7">lagrange($A19,$A20:$A22,D20:D22)</f>
        <v>-4.4438941798900456E-10</v>
      </c>
      <c r="E19" s="9">
        <f t="shared" ca="1" si="7"/>
        <v>5.2857142857124063E-12</v>
      </c>
      <c r="F19" s="9">
        <f ca="1">lagrange($A19,$A20:$A22,F20:F22)</f>
        <v>0.24949999999980904</v>
      </c>
      <c r="G19" s="9">
        <f t="shared" ref="G19:H19" ca="1" si="8">lagrange($A19,$A20:$A22,G20:G22)</f>
        <v>-0.49999999999986017</v>
      </c>
      <c r="H19" s="9">
        <f t="shared" ca="1" si="8"/>
        <v>3.026150441343148E-13</v>
      </c>
      <c r="I19" s="1"/>
      <c r="J19" s="7"/>
    </row>
    <row r="20" spans="1:10" x14ac:dyDescent="0.25">
      <c r="A20" s="10">
        <f>+A18+delta</f>
        <v>0.54999999999999993</v>
      </c>
      <c r="B20" s="6">
        <v>0</v>
      </c>
      <c r="C20" s="1"/>
      <c r="D20" s="5">
        <f ca="1">((B20*delta^4/(E*I))-D16+4*D18+4*D21-D22)/6</f>
        <v>-4.3650793650752832E-10</v>
      </c>
      <c r="E20" s="1">
        <f ca="1">(D21-D18)/(2*delta)</f>
        <v>2.5132275132254803E-10</v>
      </c>
      <c r="F20">
        <f ca="1">E*I*(D21-2*D20+D18)/(delta^2)</f>
        <v>0.2249999999998116</v>
      </c>
      <c r="G20" s="8">
        <f ca="1">(F21-F20)/delta</f>
        <v>-0.49999999999986944</v>
      </c>
      <c r="H20" s="8">
        <f ca="1">(G21-G20)/delta</f>
        <v>7.7271522513910895E-13</v>
      </c>
      <c r="I20" s="1"/>
      <c r="J20" s="7"/>
    </row>
    <row r="21" spans="1:10" x14ac:dyDescent="0.25">
      <c r="A21" s="10">
        <f t="shared" si="2"/>
        <v>0.6</v>
      </c>
      <c r="B21" s="6">
        <v>0</v>
      </c>
      <c r="C21" s="1"/>
      <c r="D21" s="5">
        <f ca="1">((B21*delta^4/(E*I))-D18+4*D20+4*D22-D23)/6</f>
        <v>-4.1798941798902495E-10</v>
      </c>
      <c r="E21" s="1">
        <f t="shared" ca="1" si="0"/>
        <v>4.7619047619007698E-10</v>
      </c>
      <c r="F21" s="1">
        <f t="shared" ca="1" si="1"/>
        <v>0.19999999999981813</v>
      </c>
      <c r="G21" s="1">
        <f t="shared" ca="1" si="4"/>
        <v>-0.4999999999998308</v>
      </c>
      <c r="H21" s="1">
        <f t="shared" ca="1" si="4"/>
        <v>1.2601031329495527E-12</v>
      </c>
      <c r="I21" s="1"/>
      <c r="J21" s="7"/>
    </row>
    <row r="22" spans="1:10" x14ac:dyDescent="0.25">
      <c r="A22" s="10">
        <f t="shared" si="2"/>
        <v>0.65</v>
      </c>
      <c r="B22" s="6">
        <v>0</v>
      </c>
      <c r="C22" s="1"/>
      <c r="D22" s="5">
        <f t="shared" ca="1" si="3"/>
        <v>-3.8888888888852062E-10</v>
      </c>
      <c r="E22" s="1">
        <f t="shared" ca="1" si="0"/>
        <v>6.7460317460258842E-10</v>
      </c>
      <c r="F22" s="1">
        <f t="shared" ca="1" si="1"/>
        <v>0.17499999999982851</v>
      </c>
      <c r="G22" s="1">
        <f t="shared" ca="1" si="4"/>
        <v>-0.49999999999974343</v>
      </c>
      <c r="H22" s="1">
        <f t="shared" ca="1" si="4"/>
        <v>1.7552626019323725E-12</v>
      </c>
      <c r="I22" s="1"/>
      <c r="J22" s="7"/>
    </row>
    <row r="23" spans="1:10" x14ac:dyDescent="0.25">
      <c r="A23" s="10">
        <f t="shared" si="2"/>
        <v>0.70000000000000007</v>
      </c>
      <c r="B23" s="6">
        <v>0</v>
      </c>
      <c r="C23" s="1"/>
      <c r="D23" s="5">
        <f t="shared" ca="1" si="3"/>
        <v>-3.5052910052876611E-10</v>
      </c>
      <c r="E23" s="1">
        <f t="shared" ca="1" si="0"/>
        <v>8.46560846560087E-10</v>
      </c>
      <c r="F23" s="1">
        <f t="shared" ca="1" si="1"/>
        <v>0.14999999999984379</v>
      </c>
      <c r="G23" s="1">
        <f t="shared" ca="1" si="4"/>
        <v>-0.49999999999965528</v>
      </c>
      <c r="H23" s="1">
        <f t="shared" ca="1" si="4"/>
        <v>1.6653345369377348E-12</v>
      </c>
      <c r="I23" s="1"/>
      <c r="J23" s="7"/>
    </row>
    <row r="24" spans="1:10" x14ac:dyDescent="0.25">
      <c r="A24" s="10">
        <f t="shared" si="2"/>
        <v>0.75000000000000011</v>
      </c>
      <c r="B24" s="6">
        <v>0</v>
      </c>
      <c r="C24" s="1"/>
      <c r="D24" s="5">
        <f t="shared" ca="1" si="3"/>
        <v>-3.0423280423251192E-10</v>
      </c>
      <c r="E24" s="1">
        <f t="shared" ca="1" si="0"/>
        <v>9.9206349206257736E-10</v>
      </c>
      <c r="F24" s="1">
        <f t="shared" ca="1" si="1"/>
        <v>0.12499999999986298</v>
      </c>
      <c r="G24" s="1">
        <f t="shared" ca="1" si="4"/>
        <v>-0.49999999999957689</v>
      </c>
      <c r="H24" s="1">
        <f t="shared" ca="1" si="4"/>
        <v>1.6625589793761719E-12</v>
      </c>
      <c r="I24" s="1"/>
      <c r="J24" s="7"/>
    </row>
    <row r="25" spans="1:10" x14ac:dyDescent="0.25">
      <c r="A25" s="10">
        <f t="shared" si="2"/>
        <v>0.80000000000000016</v>
      </c>
      <c r="B25" s="6">
        <v>0</v>
      </c>
      <c r="C25" s="1"/>
      <c r="D25" s="5">
        <f t="shared" ca="1" si="3"/>
        <v>-2.5132275132250837E-10</v>
      </c>
      <c r="E25" s="1">
        <f t="shared" ca="1" si="0"/>
        <v>1.1111111111100639E-9</v>
      </c>
      <c r="F25" s="1">
        <f t="shared" ca="1" si="1"/>
        <v>9.9999999999886097E-2</v>
      </c>
      <c r="G25" s="1">
        <f t="shared" ca="1" si="4"/>
        <v>-0.49999999999948902</v>
      </c>
      <c r="H25" s="1">
        <f t="shared" ca="1" si="4"/>
        <v>1.3172796187177482E-12</v>
      </c>
      <c r="I25" s="1"/>
      <c r="J25" s="7"/>
    </row>
    <row r="26" spans="1:10" x14ac:dyDescent="0.25">
      <c r="A26" s="10">
        <f t="shared" si="2"/>
        <v>0.8500000000000002</v>
      </c>
      <c r="B26" s="6">
        <v>0</v>
      </c>
      <c r="C26" s="1"/>
      <c r="D26" s="5">
        <f t="shared" ca="1" si="3"/>
        <v>-1.9312169312150553E-10</v>
      </c>
      <c r="E26" s="1">
        <f t="shared" ca="1" si="0"/>
        <v>1.2037037037025506E-9</v>
      </c>
      <c r="F26" s="1">
        <f t="shared" ca="1" si="1"/>
        <v>7.499999999991408E-2</v>
      </c>
      <c r="G26" s="1">
        <f t="shared" ca="1" si="4"/>
        <v>-0.49999999999944517</v>
      </c>
      <c r="H26" s="1">
        <f t="shared" ca="1" si="4"/>
        <v>4.8849813083506888E-13</v>
      </c>
      <c r="I26" s="1"/>
      <c r="J26" s="7"/>
    </row>
    <row r="27" spans="1:10" x14ac:dyDescent="0.25">
      <c r="A27" s="10">
        <f t="shared" si="2"/>
        <v>0.90000000000000024</v>
      </c>
      <c r="B27" s="6">
        <v>0</v>
      </c>
      <c r="C27" s="1"/>
      <c r="D27" s="5">
        <f t="shared" ca="1" si="3"/>
        <v>-1.309523809522533E-10</v>
      </c>
      <c r="E27" s="1">
        <f t="shared" ca="1" si="0"/>
        <v>1.2698412698400399E-9</v>
      </c>
      <c r="F27" s="1">
        <f t="shared" ca="1" si="1"/>
        <v>4.9999999999941577E-2</v>
      </c>
      <c r="G27" s="1">
        <f t="shared" ca="1" si="4"/>
        <v>-0.49999999999944017</v>
      </c>
      <c r="H27" s="1">
        <f t="shared" ca="1" si="4"/>
        <v>2.9420910152566648E-13</v>
      </c>
      <c r="I27" s="1"/>
      <c r="J27" s="7"/>
    </row>
    <row r="28" spans="1:10" x14ac:dyDescent="0.25">
      <c r="A28" s="10">
        <f t="shared" si="2"/>
        <v>0.95000000000000029</v>
      </c>
      <c r="B28" s="6">
        <v>0</v>
      </c>
      <c r="C28" s="1"/>
      <c r="D28" s="5">
        <f t="shared" ca="1" si="3"/>
        <v>-6.6137566137501517E-11</v>
      </c>
      <c r="E28" s="1">
        <f t="shared" ca="1" si="0"/>
        <v>1.3095238095225328E-9</v>
      </c>
      <c r="F28" s="1">
        <f t="shared" ca="1" si="1"/>
        <v>2.4999999999970057E-2</v>
      </c>
      <c r="G28" s="1">
        <f t="shared" ca="1" si="4"/>
        <v>-0.49999999999941575</v>
      </c>
      <c r="H28" s="1">
        <f t="shared" ca="1" si="4"/>
        <v>3.907985046680551E-13</v>
      </c>
      <c r="I28" s="1"/>
      <c r="J28" s="7" t="s">
        <v>3</v>
      </c>
    </row>
    <row r="29" spans="1:10" x14ac:dyDescent="0.25">
      <c r="A29" s="10">
        <f t="shared" si="2"/>
        <v>1.0000000000000002</v>
      </c>
      <c r="B29" s="6">
        <v>0</v>
      </c>
      <c r="C29" s="1"/>
      <c r="D29" s="4">
        <v>0</v>
      </c>
      <c r="E29" s="1">
        <f t="shared" ca="1" si="0"/>
        <v>1.3227513227500303E-9</v>
      </c>
      <c r="F29" s="1">
        <f t="shared" ca="1" si="1"/>
        <v>0</v>
      </c>
      <c r="G29" s="4">
        <f ca="1">(F29-F28)/delta</f>
        <v>-0.49999999999940109</v>
      </c>
      <c r="H29" s="4">
        <f ca="1">(G29-G28)/delta</f>
        <v>2.9309887850104133E-13</v>
      </c>
      <c r="I29" s="1"/>
      <c r="J29" s="7"/>
    </row>
    <row r="30" spans="1:10" x14ac:dyDescent="0.25">
      <c r="A30" s="1"/>
      <c r="B30" s="1"/>
      <c r="C30" s="1"/>
      <c r="D30" s="3">
        <f ca="1">2*D29-D28</f>
        <v>6.6137566137501517E-11</v>
      </c>
      <c r="E30" s="1"/>
      <c r="F30" s="1"/>
      <c r="G30" s="1"/>
      <c r="H30" s="1"/>
      <c r="I30" s="1"/>
      <c r="J30" s="7"/>
    </row>
    <row r="31" spans="1:10" x14ac:dyDescent="0.25">
      <c r="J31" s="7"/>
    </row>
    <row r="32" spans="1:10" x14ac:dyDescent="0.25">
      <c r="J32" s="7"/>
    </row>
    <row r="33" spans="4:10" x14ac:dyDescent="0.25">
      <c r="J33" s="7"/>
    </row>
    <row r="34" spans="4:10" x14ac:dyDescent="0.25">
      <c r="D34">
        <f ca="1">10000000000000000*SUM(D8:D28)</f>
        <v>-64112656.08459527</v>
      </c>
      <c r="J34" s="7"/>
    </row>
    <row r="35" spans="4:10" x14ac:dyDescent="0.25">
      <c r="D35" t="s">
        <v>17</v>
      </c>
      <c r="E35">
        <f ca="1">G7</f>
        <v>0.49999999999942057</v>
      </c>
      <c r="F35" t="s">
        <v>18</v>
      </c>
      <c r="J35" s="7"/>
    </row>
    <row r="36" spans="4:10" x14ac:dyDescent="0.25">
      <c r="D36" t="s">
        <v>16</v>
      </c>
      <c r="E36">
        <f ca="1">-G29</f>
        <v>0.49999999999940109</v>
      </c>
      <c r="F36" t="s">
        <v>18</v>
      </c>
      <c r="J36" s="7"/>
    </row>
    <row r="37" spans="4:10" x14ac:dyDescent="0.25">
      <c r="J37" s="7" t="s">
        <v>11</v>
      </c>
    </row>
    <row r="38" spans="4:10" x14ac:dyDescent="0.25">
      <c r="J38" s="7"/>
    </row>
    <row r="39" spans="4:10" x14ac:dyDescent="0.25">
      <c r="J39" s="7"/>
    </row>
    <row r="40" spans="4:10" x14ac:dyDescent="0.25">
      <c r="J40" s="7"/>
    </row>
    <row r="41" spans="4:10" x14ac:dyDescent="0.25">
      <c r="J41" s="7"/>
    </row>
    <row r="42" spans="4:10" x14ac:dyDescent="0.25">
      <c r="J42" s="7"/>
    </row>
    <row r="43" spans="4:10" x14ac:dyDescent="0.25">
      <c r="J43" s="7"/>
    </row>
    <row r="44" spans="4:10" x14ac:dyDescent="0.25">
      <c r="J44" s="7"/>
    </row>
    <row r="45" spans="4:10" x14ac:dyDescent="0.25">
      <c r="J45" s="7"/>
    </row>
    <row r="46" spans="4:10" x14ac:dyDescent="0.25">
      <c r="J46" s="7" t="s">
        <v>4</v>
      </c>
    </row>
    <row r="47" spans="4:10" x14ac:dyDescent="0.25">
      <c r="J47" s="7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Hoja1</vt:lpstr>
      <vt:lpstr>Hoja2</vt:lpstr>
      <vt:lpstr>Hoja3</vt:lpstr>
      <vt:lpstr>delta</vt:lpstr>
      <vt:lpstr>E</vt:lpstr>
      <vt:lpstr>I</vt:lpstr>
    </vt:vector>
  </TitlesOfParts>
  <Company>WindowsXP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XP</dc:creator>
  <cp:lastModifiedBy>User</cp:lastModifiedBy>
  <dcterms:created xsi:type="dcterms:W3CDTF">2010-05-04T01:33:20Z</dcterms:created>
  <dcterms:modified xsi:type="dcterms:W3CDTF">2014-11-18T09:05:23Z</dcterms:modified>
</cp:coreProperties>
</file>