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alman\Desktop\vigas_clase\"/>
    </mc:Choice>
  </mc:AlternateContent>
  <bookViews>
    <workbookView xWindow="0" yWindow="0" windowWidth="21600" windowHeight="9630"/>
  </bookViews>
  <sheets>
    <sheet name="Hoja1" sheetId="1" r:id="rId1"/>
  </sheets>
  <functionGroups builtInGroupCount="18"/>
  <definedNames>
    <definedName name="delta">Hoja1!$B$1</definedName>
    <definedName name="E">Hoja1!$B$2</definedName>
    <definedName name="I">Hoja1!$B$3</definedName>
    <definedName name="p">Hoja1!$E$1</definedName>
  </definedNames>
  <calcPr calcId="162913" calcMode="manual" iterate="1" iterateCount="3" iterateDelta="1.0000000000000001E-30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A9" i="1" l="1"/>
  <c r="A10" i="1" s="1"/>
  <c r="A11" i="1" s="1"/>
  <c r="A12" i="1" s="1"/>
  <c r="A13" i="1" s="1"/>
  <c r="A14" i="1" s="1"/>
  <c r="A15" i="1" s="1"/>
  <c r="A16" i="1" s="1"/>
  <c r="A17" i="1" s="1"/>
  <c r="A19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B3" i="1"/>
  <c r="C7" i="1" l="1"/>
  <c r="D8" i="1"/>
  <c r="E8" i="1"/>
  <c r="F8" i="1"/>
  <c r="G8" i="1"/>
  <c r="C9" i="1"/>
  <c r="D9" i="1"/>
  <c r="E9" i="1"/>
  <c r="F9" i="1"/>
  <c r="G9" i="1"/>
  <c r="C10" i="1"/>
  <c r="D10" i="1"/>
  <c r="E10" i="1"/>
  <c r="F10" i="1"/>
  <c r="G10" i="1"/>
  <c r="C11" i="1"/>
  <c r="D11" i="1"/>
  <c r="E11" i="1"/>
  <c r="F11" i="1"/>
  <c r="G11" i="1"/>
  <c r="C12" i="1"/>
  <c r="D12" i="1"/>
  <c r="E12" i="1"/>
  <c r="F12" i="1"/>
  <c r="G12" i="1"/>
  <c r="C13" i="1"/>
  <c r="D13" i="1"/>
  <c r="E13" i="1"/>
  <c r="F13" i="1"/>
  <c r="G13" i="1"/>
  <c r="C14" i="1"/>
  <c r="D14" i="1"/>
  <c r="E14" i="1"/>
  <c r="F14" i="1"/>
  <c r="G14" i="1"/>
  <c r="C15" i="1"/>
  <c r="D15" i="1"/>
  <c r="E15" i="1"/>
  <c r="F15" i="1"/>
  <c r="G15" i="1"/>
  <c r="C16" i="1"/>
  <c r="D16" i="1"/>
  <c r="E16" i="1"/>
  <c r="F16" i="1"/>
  <c r="G16" i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5" i="1"/>
  <c r="D25" i="1"/>
  <c r="E25" i="1"/>
  <c r="F25" i="1"/>
  <c r="G25" i="1"/>
  <c r="C26" i="1"/>
  <c r="D26" i="1"/>
  <c r="E26" i="1"/>
  <c r="F26" i="1"/>
  <c r="G26" i="1"/>
  <c r="C27" i="1"/>
  <c r="D27" i="1"/>
  <c r="E27" i="1"/>
  <c r="F27" i="1"/>
  <c r="G27" i="1"/>
  <c r="C28" i="1"/>
  <c r="D28" i="1"/>
  <c r="E28" i="1"/>
  <c r="F28" i="1"/>
  <c r="G28" i="1"/>
  <c r="C29" i="1"/>
  <c r="D29" i="1"/>
  <c r="E29" i="1"/>
  <c r="F29" i="1"/>
  <c r="G29" i="1"/>
  <c r="D30" i="1"/>
  <c r="E30" i="1"/>
  <c r="F30" i="1"/>
  <c r="G30" i="1"/>
  <c r="C31" i="1"/>
  <c r="D34" i="1"/>
  <c r="D35" i="1"/>
</calcChain>
</file>

<file path=xl/sharedStrings.xml><?xml version="1.0" encoding="utf-8"?>
<sst xmlns="http://schemas.openxmlformats.org/spreadsheetml/2006/main" count="20" uniqueCount="17">
  <si>
    <t>delta =</t>
  </si>
  <si>
    <t>m</t>
  </si>
  <si>
    <t xml:space="preserve">E = </t>
  </si>
  <si>
    <t>Pa</t>
  </si>
  <si>
    <t>I =</t>
  </si>
  <si>
    <t>v(x) [m]</t>
  </si>
  <si>
    <t>theta(x) [rad]</t>
  </si>
  <si>
    <t>M(x) [N*m]</t>
  </si>
  <si>
    <t>V(x) [N]</t>
  </si>
  <si>
    <t>q(x) [N/m]</t>
  </si>
  <si>
    <t>Eje x</t>
  </si>
  <si>
    <t>Ry(x=0) =</t>
  </si>
  <si>
    <t>Ry(x=2) =</t>
  </si>
  <si>
    <t>N</t>
  </si>
  <si>
    <t>m^4</t>
  </si>
  <si>
    <t xml:space="preserve">p = </t>
  </si>
  <si>
    <t>Cálculo de las reacciones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</si>
</sst>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0" borderId="0" xfId="0" applyFont="1" applyAlignment="1">
      <alignment horizontal="center"/>
    </xf>
    <xf numFmtId="0" fontId="0" fillId="5" borderId="0" xfId="0" applyFill="1"/>
    <xf numFmtId="165" fontId="0" fillId="0" borderId="0" xfId="0" applyNumberFormat="1"/>
    <xf numFmtId="0" fontId="0" fillId="6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Hoja1!$A$8:$A$30</c:f>
              <c:numCache>
                <c:formatCode>0.0</c:formatCode>
                <c:ptCount val="23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 formatCode="0.000">
                  <c:v>0.999</c:v>
                </c:pt>
                <c:pt idx="11">
                  <c:v>0.99999999999999989</c:v>
                </c:pt>
                <c:pt idx="12" formatCode="0.000">
                  <c:v>1.0009999999999999</c:v>
                </c:pt>
                <c:pt idx="13">
                  <c:v>1.0999999999999999</c:v>
                </c:pt>
                <c:pt idx="14">
                  <c:v>1.2</c:v>
                </c:pt>
                <c:pt idx="15">
                  <c:v>1.3</c:v>
                </c:pt>
                <c:pt idx="16">
                  <c:v>1.4000000000000001</c:v>
                </c:pt>
                <c:pt idx="17">
                  <c:v>1.5000000000000002</c:v>
                </c:pt>
                <c:pt idx="18">
                  <c:v>1.6000000000000003</c:v>
                </c:pt>
                <c:pt idx="19">
                  <c:v>1.7000000000000004</c:v>
                </c:pt>
                <c:pt idx="20">
                  <c:v>1.8000000000000005</c:v>
                </c:pt>
                <c:pt idx="21">
                  <c:v>1.9000000000000006</c:v>
                </c:pt>
                <c:pt idx="22">
                  <c:v>2.0000000000000004</c:v>
                </c:pt>
              </c:numCache>
            </c:numRef>
          </c:xVal>
          <c:yVal>
            <c:numRef>
              <c:f>Hoja1!$C$8:$C$30</c:f>
              <c:numCache>
                <c:formatCode>General</c:formatCode>
                <c:ptCount val="23"/>
                <c:pt idx="0">
                  <c:v>0</c:v>
                </c:pt>
                <c:pt idx="1">
                  <c:v>-1.0582010581994287E-5</c:v>
                </c:pt>
                <c:pt idx="2">
                  <c:v>-2.0952380952348756E-5</c:v>
                </c:pt>
                <c:pt idx="3">
                  <c:v>-3.0899470899423584E-5</c:v>
                </c:pt>
                <c:pt idx="4">
                  <c:v>-4.0211640211578926E-5</c:v>
                </c:pt>
                <c:pt idx="5">
                  <c:v>-4.8677248677174903E-5</c:v>
                </c:pt>
                <c:pt idx="6">
                  <c:v>-5.6084656084571633E-5</c:v>
                </c:pt>
                <c:pt idx="7">
                  <c:v>-6.2222222222129141E-5</c:v>
                </c:pt>
                <c:pt idx="8">
                  <c:v>-6.6878306878207462E-5</c:v>
                </c:pt>
                <c:pt idx="9">
                  <c:v>-6.984126984116654E-5</c:v>
                </c:pt>
                <c:pt idx="10">
                  <c:v>-7.0899012380847758E-5</c:v>
                </c:pt>
                <c:pt idx="11">
                  <c:v>-7.0899470899366281E-5</c:v>
                </c:pt>
                <c:pt idx="12">
                  <c:v>-7.0899012380847785E-5</c:v>
                </c:pt>
                <c:pt idx="13">
                  <c:v>-6.9841269841166512E-5</c:v>
                </c:pt>
                <c:pt idx="14">
                  <c:v>-6.6878306878207381E-5</c:v>
                </c:pt>
                <c:pt idx="15">
                  <c:v>-6.2222222222129006E-5</c:v>
                </c:pt>
                <c:pt idx="16">
                  <c:v>-5.6084656084571451E-5</c:v>
                </c:pt>
                <c:pt idx="17">
                  <c:v>-4.8677248677174713E-5</c:v>
                </c:pt>
                <c:pt idx="18">
                  <c:v>-4.0211640211578736E-5</c:v>
                </c:pt>
                <c:pt idx="19">
                  <c:v>-3.0899470899423422E-5</c:v>
                </c:pt>
                <c:pt idx="20">
                  <c:v>-2.0952380952348638E-5</c:v>
                </c:pt>
                <c:pt idx="21">
                  <c:v>-1.0582010581994226E-5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0A-40C4-8893-521BA239C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390464"/>
        <c:axId val="1184392960"/>
      </c:scatterChart>
      <c:valAx>
        <c:axId val="1184390464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392960"/>
        <c:crosses val="autoZero"/>
        <c:crossBetween val="midCat"/>
      </c:valAx>
      <c:valAx>
        <c:axId val="118439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v(x)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39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Hoja1!$A$8:$A$30</c:f>
              <c:numCache>
                <c:formatCode>0.0</c:formatCode>
                <c:ptCount val="23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 formatCode="0.000">
                  <c:v>0.999</c:v>
                </c:pt>
                <c:pt idx="11">
                  <c:v>0.99999999999999989</c:v>
                </c:pt>
                <c:pt idx="12" formatCode="0.000">
                  <c:v>1.0009999999999999</c:v>
                </c:pt>
                <c:pt idx="13">
                  <c:v>1.0999999999999999</c:v>
                </c:pt>
                <c:pt idx="14">
                  <c:v>1.2</c:v>
                </c:pt>
                <c:pt idx="15">
                  <c:v>1.3</c:v>
                </c:pt>
                <c:pt idx="16">
                  <c:v>1.4000000000000001</c:v>
                </c:pt>
                <c:pt idx="17">
                  <c:v>1.5000000000000002</c:v>
                </c:pt>
                <c:pt idx="18">
                  <c:v>1.6000000000000003</c:v>
                </c:pt>
                <c:pt idx="19">
                  <c:v>1.7000000000000004</c:v>
                </c:pt>
                <c:pt idx="20">
                  <c:v>1.8000000000000005</c:v>
                </c:pt>
                <c:pt idx="21">
                  <c:v>1.9000000000000006</c:v>
                </c:pt>
                <c:pt idx="22">
                  <c:v>2.0000000000000004</c:v>
                </c:pt>
              </c:numCache>
            </c:numRef>
          </c:xVal>
          <c:yVal>
            <c:numRef>
              <c:f>Hoja1!$D$8:$D$30</c:f>
              <c:numCache>
                <c:formatCode>General</c:formatCode>
                <c:ptCount val="23"/>
                <c:pt idx="0">
                  <c:v>-1.0582010581994287E-4</c:v>
                </c:pt>
                <c:pt idx="1">
                  <c:v>-1.0476190476174378E-4</c:v>
                </c:pt>
                <c:pt idx="2">
                  <c:v>-1.0158730158714648E-4</c:v>
                </c:pt>
                <c:pt idx="3">
                  <c:v>-9.6296296296150837E-5</c:v>
                </c:pt>
                <c:pt idx="4">
                  <c:v>-8.8888888888756593E-5</c:v>
                </c:pt>
                <c:pt idx="5">
                  <c:v>-7.9365079364963532E-5</c:v>
                </c:pt>
                <c:pt idx="6">
                  <c:v>-6.7724867724771191E-5</c:v>
                </c:pt>
                <c:pt idx="7">
                  <c:v>-5.3968253968179144E-5</c:v>
                </c:pt>
                <c:pt idx="8">
                  <c:v>-3.8095238095186992E-5</c:v>
                </c:pt>
                <c:pt idx="9">
                  <c:v>-2.0105820105794091E-5</c:v>
                </c:pt>
                <c:pt idx="10">
                  <c:v>-2.1153439153387421E-7</c:v>
                </c:pt>
                <c:pt idx="11">
                  <c:v>1.3552527156068805E-19</c:v>
                </c:pt>
                <c:pt idx="12">
                  <c:v>2.115343915340775E-7</c:v>
                </c:pt>
                <c:pt idx="13">
                  <c:v>2.0105820105794498E-5</c:v>
                </c:pt>
                <c:pt idx="14">
                  <c:v>3.8095238095187535E-5</c:v>
                </c:pt>
                <c:pt idx="15">
                  <c:v>5.3968253968179653E-5</c:v>
                </c:pt>
                <c:pt idx="16">
                  <c:v>6.7724867724771462E-5</c:v>
                </c:pt>
                <c:pt idx="17">
                  <c:v>7.9365079364963572E-5</c:v>
                </c:pt>
                <c:pt idx="18">
                  <c:v>8.8888888888756458E-5</c:v>
                </c:pt>
                <c:pt idx="19">
                  <c:v>9.6296296296150485E-5</c:v>
                </c:pt>
                <c:pt idx="20">
                  <c:v>1.0158730158714598E-4</c:v>
                </c:pt>
                <c:pt idx="21">
                  <c:v>1.0476190476174318E-4</c:v>
                </c:pt>
                <c:pt idx="22">
                  <c:v>1.0582010581994226E-4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32-4F44-ABC7-80DD5469D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390464"/>
        <c:axId val="1184392960"/>
      </c:scatterChart>
      <c:valAx>
        <c:axId val="1184390464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392960"/>
        <c:crosses val="autoZero"/>
        <c:crossBetween val="midCat"/>
      </c:valAx>
      <c:valAx>
        <c:axId val="118439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theta(x) [rad]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39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Hoja1!$A$8:$A$30</c:f>
              <c:numCache>
                <c:formatCode>0.0</c:formatCode>
                <c:ptCount val="23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 formatCode="0.000">
                  <c:v>0.999</c:v>
                </c:pt>
                <c:pt idx="11">
                  <c:v>0.99999999999999989</c:v>
                </c:pt>
                <c:pt idx="12" formatCode="0.000">
                  <c:v>1.0009999999999999</c:v>
                </c:pt>
                <c:pt idx="13">
                  <c:v>1.0999999999999999</c:v>
                </c:pt>
                <c:pt idx="14">
                  <c:v>1.2</c:v>
                </c:pt>
                <c:pt idx="15">
                  <c:v>1.3</c:v>
                </c:pt>
                <c:pt idx="16">
                  <c:v>1.4000000000000001</c:v>
                </c:pt>
                <c:pt idx="17">
                  <c:v>1.5000000000000002</c:v>
                </c:pt>
                <c:pt idx="18">
                  <c:v>1.6000000000000003</c:v>
                </c:pt>
                <c:pt idx="19">
                  <c:v>1.7000000000000004</c:v>
                </c:pt>
                <c:pt idx="20">
                  <c:v>1.8000000000000005</c:v>
                </c:pt>
                <c:pt idx="21">
                  <c:v>1.9000000000000006</c:v>
                </c:pt>
                <c:pt idx="22">
                  <c:v>2.0000000000000004</c:v>
                </c:pt>
              </c:numCache>
            </c:numRef>
          </c:xVal>
          <c:yVal>
            <c:numRef>
              <c:f>Hoja1!$E$8:$E$30</c:f>
              <c:numCache>
                <c:formatCode>General</c:formatCode>
                <c:ptCount val="23"/>
                <c:pt idx="0">
                  <c:v>0</c:v>
                </c:pt>
                <c:pt idx="1">
                  <c:v>999.99999999813724</c:v>
                </c:pt>
                <c:pt idx="2">
                  <c:v>1999.9999999963065</c:v>
                </c:pt>
                <c:pt idx="3">
                  <c:v>2999.9999999945721</c:v>
                </c:pt>
                <c:pt idx="4">
                  <c:v>3999.9999999929973</c:v>
                </c:pt>
                <c:pt idx="5">
                  <c:v>4999.9999999914389</c:v>
                </c:pt>
                <c:pt idx="6">
                  <c:v>5999.9999999903293</c:v>
                </c:pt>
                <c:pt idx="7">
                  <c:v>6999.9999999891543</c:v>
                </c:pt>
                <c:pt idx="8">
                  <c:v>7999.9999999884276</c:v>
                </c:pt>
                <c:pt idx="9">
                  <c:v>8999.9999999878619</c:v>
                </c:pt>
                <c:pt idx="10">
                  <c:v>9989.9999999871798</c:v>
                </c:pt>
                <c:pt idx="11">
                  <c:v>9999.9999999876818</c:v>
                </c:pt>
                <c:pt idx="12">
                  <c:v>9989.9999999877455</c:v>
                </c:pt>
                <c:pt idx="13">
                  <c:v>8999.9999999879892</c:v>
                </c:pt>
                <c:pt idx="14">
                  <c:v>7999.9999999884276</c:v>
                </c:pt>
                <c:pt idx="15">
                  <c:v>6999.9999999891234</c:v>
                </c:pt>
                <c:pt idx="16">
                  <c:v>5999.9999999901365</c:v>
                </c:pt>
                <c:pt idx="17">
                  <c:v>4999.9999999914071</c:v>
                </c:pt>
                <c:pt idx="18">
                  <c:v>3999.9999999928696</c:v>
                </c:pt>
                <c:pt idx="19">
                  <c:v>2999.9999999944921</c:v>
                </c:pt>
                <c:pt idx="20">
                  <c:v>1999.9999999962427</c:v>
                </c:pt>
                <c:pt idx="21">
                  <c:v>999.99999999812133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AC-422F-A78B-FBD6E8ED4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390464"/>
        <c:axId val="1184392960"/>
      </c:scatterChart>
      <c:valAx>
        <c:axId val="1184390464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392960"/>
        <c:crosses val="autoZero"/>
        <c:crossBetween val="midCat"/>
      </c:valAx>
      <c:valAx>
        <c:axId val="118439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M(x) [N*m]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39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Hoja1!$A$8:$A$30</c:f>
              <c:numCache>
                <c:formatCode>0.0</c:formatCode>
                <c:ptCount val="23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 formatCode="0.000">
                  <c:v>0.999</c:v>
                </c:pt>
                <c:pt idx="11">
                  <c:v>0.99999999999999989</c:v>
                </c:pt>
                <c:pt idx="12" formatCode="0.000">
                  <c:v>1.0009999999999999</c:v>
                </c:pt>
                <c:pt idx="13">
                  <c:v>1.0999999999999999</c:v>
                </c:pt>
                <c:pt idx="14">
                  <c:v>1.2</c:v>
                </c:pt>
                <c:pt idx="15">
                  <c:v>1.3</c:v>
                </c:pt>
                <c:pt idx="16">
                  <c:v>1.4000000000000001</c:v>
                </c:pt>
                <c:pt idx="17">
                  <c:v>1.5000000000000002</c:v>
                </c:pt>
                <c:pt idx="18">
                  <c:v>1.6000000000000003</c:v>
                </c:pt>
                <c:pt idx="19">
                  <c:v>1.7000000000000004</c:v>
                </c:pt>
                <c:pt idx="20">
                  <c:v>1.8000000000000005</c:v>
                </c:pt>
                <c:pt idx="21">
                  <c:v>1.9000000000000006</c:v>
                </c:pt>
                <c:pt idx="22">
                  <c:v>2.0000000000000004</c:v>
                </c:pt>
              </c:numCache>
            </c:numRef>
          </c:xVal>
          <c:yVal>
            <c:numRef>
              <c:f>Hoja1!$F$8:$F$30</c:f>
              <c:numCache>
                <c:formatCode>General</c:formatCode>
                <c:ptCount val="23"/>
                <c:pt idx="0">
                  <c:v>9999.9999999812117</c:v>
                </c:pt>
                <c:pt idx="1">
                  <c:v>9999.9999999815318</c:v>
                </c:pt>
                <c:pt idx="2">
                  <c:v>9999.9999999821739</c:v>
                </c:pt>
                <c:pt idx="3">
                  <c:v>9999.9999999834527</c:v>
                </c:pt>
                <c:pt idx="4">
                  <c:v>9999.999999984333</c:v>
                </c:pt>
                <c:pt idx="5">
                  <c:v>9999.9999999866595</c:v>
                </c:pt>
                <c:pt idx="6">
                  <c:v>9999.9999999885767</c:v>
                </c:pt>
                <c:pt idx="7">
                  <c:v>9999.9999999904903</c:v>
                </c:pt>
                <c:pt idx="8">
                  <c:v>9999.9999999935371</c:v>
                </c:pt>
                <c:pt idx="9">
                  <c:v>9999.9999999962711</c:v>
                </c:pt>
                <c:pt idx="10">
                  <c:v>9999.999999997257</c:v>
                </c:pt>
                <c:pt idx="12">
                  <c:v>-9999.9999999963511</c:v>
                </c:pt>
                <c:pt idx="13">
                  <c:v>-9999.9999999962711</c:v>
                </c:pt>
                <c:pt idx="14">
                  <c:v>-9999.9999999943284</c:v>
                </c:pt>
                <c:pt idx="15">
                  <c:v>-9999.9999999914544</c:v>
                </c:pt>
                <c:pt idx="16">
                  <c:v>-9999.9999999885804</c:v>
                </c:pt>
                <c:pt idx="17">
                  <c:v>-9999.9999999863339</c:v>
                </c:pt>
                <c:pt idx="18">
                  <c:v>-9999.999999984575</c:v>
                </c:pt>
                <c:pt idx="19">
                  <c:v>-9999.9999999831343</c:v>
                </c:pt>
                <c:pt idx="20">
                  <c:v>-9999.9999999818519</c:v>
                </c:pt>
                <c:pt idx="21">
                  <c:v>-9999.9999999812135</c:v>
                </c:pt>
                <c:pt idx="22">
                  <c:v>-9999.9999999812135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4B-4AD0-B4DA-BF034A7A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390464"/>
        <c:axId val="1184392960"/>
      </c:scatterChart>
      <c:valAx>
        <c:axId val="1184390464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392960"/>
        <c:crosses val="autoZero"/>
        <c:crossBetween val="midCat"/>
      </c:valAx>
      <c:valAx>
        <c:axId val="118439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V(x) [N]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39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761999</xdr:colOff>
      <xdr:row>6</xdr:row>
      <xdr:rowOff>0</xdr:rowOff>
    </xdr:from>
    <xdr:to>
      <xdr:col>16</xdr:col>
      <xdr:colOff>0</xdr:colOff>
      <xdr:row>14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16</xdr:col>
      <xdr:colOff>1</xdr:colOff>
      <xdr:row>25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26</xdr:row>
      <xdr:rowOff>0</xdr:rowOff>
    </xdr:from>
    <xdr:to>
      <xdr:col>16</xdr:col>
      <xdr:colOff>1</xdr:colOff>
      <xdr:row>34</xdr:row>
      <xdr:rowOff>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35</xdr:row>
      <xdr:rowOff>0</xdr:rowOff>
    </xdr:from>
    <xdr:to>
      <xdr:col>16</xdr:col>
      <xdr:colOff>1</xdr:colOff>
      <xdr:row>43</xdr:row>
      <xdr:rowOff>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0</xdr:colOff>
      <xdr:row>5</xdr:row>
      <xdr:rowOff>0</xdr:rowOff>
    </xdr:from>
    <xdr:to>
      <xdr:col>23</xdr:col>
      <xdr:colOff>190500</xdr:colOff>
      <xdr:row>40</xdr:row>
      <xdr:rowOff>161925</xdr:rowOff>
    </xdr:to>
    <xdr:pic>
      <xdr:nvPicPr>
        <xdr:cNvPr id="6" name="8 Imagen" descr="500px-Poutre_flexion_trois_points_diagrammes.svg.pn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3335000" y="952500"/>
          <a:ext cx="4762500" cy="6829425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35"/>
  <sheetViews>
    <sheetView tabSelected="1" topLeftCell="A16" zoomScale="130" zoomScaleNormal="130" workbookViewId="0">
      <selection activeCell="C33" sqref="C33"/>
    </sheetView>
  </sheetViews>
  <sheetFormatPr baseColWidth="10" defaultRowHeight="15" x14ac:dyDescent="0.25"/>
  <cols>
    <col min="3" max="3" width="13.5703125" bestFit="1" customWidth="1"/>
    <col min="4" max="4" width="12.7109375" customWidth="1"/>
    <col min="5" max="5" width="13.5703125" bestFit="1" customWidth="1"/>
  </cols>
  <sheetData>
    <row r="1" spans="1:7" x14ac:dyDescent="0.25">
      <c r="A1" t="s">
        <v>0</v>
      </c>
      <c r="B1">
        <v>0.1</v>
      </c>
      <c r="C1" t="s">
        <v>1</v>
      </c>
      <c r="D1" t="s">
        <v>15</v>
      </c>
      <c r="E1">
        <v>-20000</v>
      </c>
      <c r="F1" t="s">
        <v>13</v>
      </c>
    </row>
    <row r="2" spans="1:7" x14ac:dyDescent="0.25">
      <c r="A2" t="s">
        <v>2</v>
      </c>
      <c r="B2" s="1">
        <v>210000000000</v>
      </c>
      <c r="C2" t="s">
        <v>3</v>
      </c>
    </row>
    <row r="3" spans="1:7" x14ac:dyDescent="0.25">
      <c r="A3" t="s">
        <v>4</v>
      </c>
      <c r="B3">
        <f>0.1*0.3^3/12</f>
        <v>2.2500000000000002E-4</v>
      </c>
      <c r="C3" t="s">
        <v>14</v>
      </c>
    </row>
    <row r="6" spans="1:7" x14ac:dyDescent="0.25">
      <c r="A6" s="6" t="s">
        <v>10</v>
      </c>
      <c r="B6" s="6" t="s">
        <v>9</v>
      </c>
      <c r="C6" s="6" t="s">
        <v>5</v>
      </c>
      <c r="D6" s="6" t="s">
        <v>6</v>
      </c>
      <c r="E6" s="6" t="s">
        <v>7</v>
      </c>
      <c r="F6" s="6" t="s">
        <v>8</v>
      </c>
      <c r="G6" s="6" t="s">
        <v>9</v>
      </c>
    </row>
    <row r="7" spans="1:7" x14ac:dyDescent="0.25">
      <c r="C7" s="5">
        <f ca="1">2*C8-C9</f>
        <v>1.0582010581994287E-5</v>
      </c>
    </row>
    <row r="8" spans="1:7" x14ac:dyDescent="0.25">
      <c r="A8" s="2">
        <v>0</v>
      </c>
      <c r="C8" s="4">
        <v>0</v>
      </c>
      <c r="D8">
        <f t="shared" ref="D8:D16" ca="1" si="0">(C9-C7)/(2*delta)</f>
        <v>-1.0582010581994287E-4</v>
      </c>
      <c r="E8">
        <f t="shared" ref="E8:E16" ca="1" si="1">E*I*(C9-2*C8+C7)/(delta^2)</f>
        <v>0</v>
      </c>
      <c r="F8" s="7">
        <f ca="1">(-0.5*E10+2*E9-1.5*E8)/delta</f>
        <v>9999.9999999812117</v>
      </c>
      <c r="G8" s="7">
        <f ca="1">(-0.5*F10+2*F9-1.5*F8)/delta</f>
        <v>1.6007106751203537E-9</v>
      </c>
    </row>
    <row r="9" spans="1:7" x14ac:dyDescent="0.25">
      <c r="A9" s="2">
        <f t="shared" ref="A9:A17" si="2">A8+delta</f>
        <v>0.1</v>
      </c>
      <c r="C9" s="3">
        <f t="shared" ref="C9:C15" ca="1" si="3">(1/6)*(B9*delta^4/(E*I)-C7+4*C8+4*C10-C11)</f>
        <v>-1.0582010581994287E-5</v>
      </c>
      <c r="D9">
        <f t="shared" ca="1" si="0"/>
        <v>-1.0476190476174378E-4</v>
      </c>
      <c r="E9">
        <f t="shared" ca="1" si="1"/>
        <v>999.99999999813724</v>
      </c>
      <c r="F9">
        <f t="shared" ref="F9:G16" ca="1" si="4">(E10-E8)/(2*delta)</f>
        <v>9999.9999999815318</v>
      </c>
      <c r="G9">
        <f t="shared" ca="1" si="4"/>
        <v>4.8112269723787904E-9</v>
      </c>
    </row>
    <row r="10" spans="1:7" x14ac:dyDescent="0.25">
      <c r="A10" s="2">
        <f t="shared" si="2"/>
        <v>0.2</v>
      </c>
      <c r="C10" s="3">
        <f t="shared" ca="1" si="3"/>
        <v>-2.0952380952348756E-5</v>
      </c>
      <c r="D10">
        <f t="shared" ca="1" si="0"/>
        <v>-1.0158730158714648E-4</v>
      </c>
      <c r="E10">
        <f t="shared" ca="1" si="1"/>
        <v>1999.9999999963065</v>
      </c>
      <c r="F10">
        <f t="shared" ca="1" si="4"/>
        <v>9999.9999999821739</v>
      </c>
      <c r="G10">
        <f t="shared" ca="1" si="4"/>
        <v>9.6042640507221222E-9</v>
      </c>
    </row>
    <row r="11" spans="1:7" x14ac:dyDescent="0.25">
      <c r="A11" s="2">
        <f t="shared" si="2"/>
        <v>0.30000000000000004</v>
      </c>
      <c r="C11" s="3">
        <f t="shared" ca="1" si="3"/>
        <v>-3.0899470899423584E-5</v>
      </c>
      <c r="D11">
        <f t="shared" ca="1" si="0"/>
        <v>-9.6296296296150837E-5</v>
      </c>
      <c r="E11">
        <f t="shared" ca="1" si="1"/>
        <v>2999.9999999945721</v>
      </c>
      <c r="F11">
        <f t="shared" ca="1" si="4"/>
        <v>9999.9999999834527</v>
      </c>
      <c r="G11">
        <f t="shared" ca="1" si="4"/>
        <v>1.0795702110044658E-8</v>
      </c>
    </row>
    <row r="12" spans="1:7" x14ac:dyDescent="0.25">
      <c r="A12" s="2">
        <f t="shared" si="2"/>
        <v>0.4</v>
      </c>
      <c r="C12" s="3">
        <f t="shared" ca="1" si="3"/>
        <v>-4.0211640211578926E-5</v>
      </c>
      <c r="D12">
        <f t="shared" ca="1" si="0"/>
        <v>-8.8888888888756593E-5</v>
      </c>
      <c r="E12">
        <f t="shared" ca="1" si="1"/>
        <v>3999.9999999929973</v>
      </c>
      <c r="F12">
        <f t="shared" ca="1" si="4"/>
        <v>9999.999999984333</v>
      </c>
      <c r="G12">
        <f t="shared" ca="1" si="4"/>
        <v>1.6034391592256725E-8</v>
      </c>
    </row>
    <row r="13" spans="1:7" x14ac:dyDescent="0.25">
      <c r="A13" s="2">
        <f t="shared" si="2"/>
        <v>0.5</v>
      </c>
      <c r="C13" s="3">
        <f t="shared" ca="1" si="3"/>
        <v>-4.8677248677174903E-5</v>
      </c>
      <c r="D13">
        <f t="shared" ca="1" si="0"/>
        <v>-7.9365079364963532E-5</v>
      </c>
      <c r="E13">
        <f t="shared" ca="1" si="1"/>
        <v>4999.9999999914389</v>
      </c>
      <c r="F13">
        <f t="shared" ca="1" si="4"/>
        <v>9999.9999999866595</v>
      </c>
      <c r="G13">
        <f t="shared" ca="1" si="4"/>
        <v>2.1218511392362416E-8</v>
      </c>
    </row>
    <row r="14" spans="1:7" x14ac:dyDescent="0.25">
      <c r="A14" s="2">
        <f t="shared" si="2"/>
        <v>0.6</v>
      </c>
      <c r="C14" s="3">
        <f t="shared" ca="1" si="3"/>
        <v>-5.6084656084571633E-5</v>
      </c>
      <c r="D14">
        <f t="shared" ca="1" si="0"/>
        <v>-6.7724867724771191E-5</v>
      </c>
      <c r="E14">
        <f t="shared" ca="1" si="1"/>
        <v>5999.9999999903293</v>
      </c>
      <c r="F14">
        <f t="shared" ca="1" si="4"/>
        <v>9999.9999999885767</v>
      </c>
      <c r="G14">
        <f t="shared" ca="1" si="4"/>
        <v>1.9153958419337869E-8</v>
      </c>
    </row>
    <row r="15" spans="1:7" x14ac:dyDescent="0.25">
      <c r="A15" s="2">
        <f t="shared" si="2"/>
        <v>0.7</v>
      </c>
      <c r="C15" s="3">
        <f t="shared" ca="1" si="3"/>
        <v>-6.2222222222129141E-5</v>
      </c>
      <c r="D15">
        <f t="shared" ca="1" si="0"/>
        <v>-5.3968253968179144E-5</v>
      </c>
      <c r="E15">
        <f t="shared" ca="1" si="1"/>
        <v>6999.9999999891543</v>
      </c>
      <c r="F15">
        <f t="shared" ca="1" si="4"/>
        <v>9999.9999999904903</v>
      </c>
      <c r="G15">
        <f t="shared" ca="1" si="4"/>
        <v>2.4801920517347753E-8</v>
      </c>
    </row>
    <row r="16" spans="1:7" x14ac:dyDescent="0.25">
      <c r="A16" s="2">
        <f t="shared" si="2"/>
        <v>0.79999999999999993</v>
      </c>
      <c r="C16" s="3">
        <f ca="1">(1/6)*(B16*delta^4/(E*I)-C14+4*C15+4*C17-C19)</f>
        <v>-6.6878306878207462E-5</v>
      </c>
      <c r="D16">
        <f t="shared" ca="1" si="0"/>
        <v>-3.8095238095186992E-5</v>
      </c>
      <c r="E16">
        <f t="shared" ca="1" si="1"/>
        <v>7999.9999999884276</v>
      </c>
      <c r="F16">
        <f t="shared" ca="1" si="4"/>
        <v>9999.9999999935371</v>
      </c>
      <c r="G16">
        <f t="shared" ca="1" si="4"/>
        <v>2.8903741622343659E-8</v>
      </c>
    </row>
    <row r="17" spans="1:7" x14ac:dyDescent="0.25">
      <c r="A17" s="2">
        <f t="shared" si="2"/>
        <v>0.89999999999999991</v>
      </c>
      <c r="C17" s="3">
        <f ca="1">(1/6)*(B17*delta^4/(E*I)-C15+4*C16+4*C19-C21)</f>
        <v>-6.984126984116654E-5</v>
      </c>
      <c r="D17">
        <f ca="1">(C19-C16)/(2*delta)</f>
        <v>-2.0105820105794091E-5</v>
      </c>
      <c r="E17">
        <f ca="1">E*I*(C19-2*C17+C16)/(delta^2)</f>
        <v>8999.9999999878619</v>
      </c>
      <c r="F17">
        <f ca="1">(E19-E16)/(2*delta)</f>
        <v>9999.9999999962711</v>
      </c>
      <c r="G17">
        <f ca="1">(F19-F16)/(2*delta)</f>
        <v>-49999.99999996768</v>
      </c>
    </row>
    <row r="18" spans="1:7" x14ac:dyDescent="0.25">
      <c r="A18" s="8">
        <v>0.999</v>
      </c>
      <c r="C18" s="9">
        <f ca="1">lagrange($A18,$A14:$A17,C14:C17)</f>
        <v>-7.0899012380847758E-5</v>
      </c>
      <c r="D18" s="9">
        <f t="shared" ref="D18:G18" ca="1" si="5">lagrange($A18,$A14:$A17,D14:D17)</f>
        <v>-2.1153439153387421E-7</v>
      </c>
      <c r="E18" s="9">
        <f t="shared" ca="1" si="5"/>
        <v>9989.9999999871798</v>
      </c>
      <c r="F18" s="9">
        <f t="shared" ca="1" si="5"/>
        <v>9999.999999997257</v>
      </c>
      <c r="G18" s="9">
        <f t="shared" ca="1" si="5"/>
        <v>-197840.82499996439</v>
      </c>
    </row>
    <row r="19" spans="1:7" x14ac:dyDescent="0.25">
      <c r="A19" s="2">
        <f>A17+delta</f>
        <v>0.99999999999999989</v>
      </c>
      <c r="B19">
        <f>p/delta</f>
        <v>-200000</v>
      </c>
      <c r="C19" s="3">
        <f ca="1">(1/6)*(B19*delta^4/(E*I)-C16+4*C17+4*C21-C22)</f>
        <v>-7.0899470899366281E-5</v>
      </c>
      <c r="D19">
        <f ca="1">(C21-C17)/(2*delta)</f>
        <v>1.3552527156068805E-19</v>
      </c>
      <c r="E19">
        <f ca="1">E*I*(C21-2*C19+C17)/(delta^2)</f>
        <v>9999.9999999876818</v>
      </c>
    </row>
    <row r="20" spans="1:7" x14ac:dyDescent="0.25">
      <c r="A20" s="8">
        <v>1.0009999999999999</v>
      </c>
      <c r="C20" s="9">
        <f ca="1">lagrange($A20,$A21:$A24,C21:C24)</f>
        <v>-7.0899012380847785E-5</v>
      </c>
      <c r="D20" s="9">
        <f t="shared" ref="D20:G20" ca="1" si="6">lagrange($A20,$A21:$A24,D21:D24)</f>
        <v>2.115343915340775E-7</v>
      </c>
      <c r="E20" s="9">
        <f t="shared" ca="1" si="6"/>
        <v>9989.9999999877455</v>
      </c>
      <c r="F20" s="9">
        <f t="shared" ca="1" si="6"/>
        <v>-9999.9999999963511</v>
      </c>
      <c r="G20" s="9">
        <f t="shared" ca="1" si="6"/>
        <v>-197840.82499994195</v>
      </c>
    </row>
    <row r="21" spans="1:7" x14ac:dyDescent="0.25">
      <c r="A21" s="2">
        <f>A19+delta</f>
        <v>1.0999999999999999</v>
      </c>
      <c r="C21" s="3">
        <f ca="1">(1/6)*(B21*delta^4/(E*I)-C17+4*C19+4*C22-C23)</f>
        <v>-6.9841269841166512E-5</v>
      </c>
      <c r="D21">
        <f ca="1">(C22-C19)/(2*delta)</f>
        <v>2.0105820105794498E-5</v>
      </c>
      <c r="E21">
        <f ca="1">E*I*(C22-2*C21+C19)/(delta^2)</f>
        <v>8999.9999999879892</v>
      </c>
      <c r="F21">
        <f ca="1">(E22-E19)/(2*delta)</f>
        <v>-9999.9999999962711</v>
      </c>
      <c r="G21">
        <f ca="1">(F22-F19)/(2*delta)</f>
        <v>-49999.999999971638</v>
      </c>
    </row>
    <row r="22" spans="1:7" x14ac:dyDescent="0.25">
      <c r="A22" s="2">
        <f t="shared" ref="A22:A30" si="7">A21+delta</f>
        <v>1.2</v>
      </c>
      <c r="C22" s="3">
        <f ca="1">(1/6)*(B22*delta^4/(E*I)-C19+4*C21+4*C23-C24)</f>
        <v>-6.6878306878207381E-5</v>
      </c>
      <c r="D22">
        <f t="shared" ref="D22:D30" ca="1" si="8">(C23-C21)/(2*delta)</f>
        <v>3.8095238095187535E-5</v>
      </c>
      <c r="E22">
        <f t="shared" ref="E22:E30" ca="1" si="9">E*I*(C23-2*C22+C21)/(delta^2)</f>
        <v>7999.9999999884276</v>
      </c>
      <c r="F22">
        <f t="shared" ref="F22:G29" ca="1" si="10">(E23-E21)/(2*delta)</f>
        <v>-9999.9999999943284</v>
      </c>
      <c r="G22">
        <f t="shared" ca="1" si="10"/>
        <v>2.408341970294714E-8</v>
      </c>
    </row>
    <row r="23" spans="1:7" x14ac:dyDescent="0.25">
      <c r="A23" s="2">
        <f t="shared" si="7"/>
        <v>1.3</v>
      </c>
      <c r="C23" s="3">
        <f t="shared" ref="C23:C29" ca="1" si="11">(1/6)*(B23*delta^4/(E*I)-C21+4*C22+4*C24-C25)</f>
        <v>-6.2222222222129006E-5</v>
      </c>
      <c r="D23">
        <f t="shared" ca="1" si="8"/>
        <v>5.3968253968179653E-5</v>
      </c>
      <c r="E23">
        <f t="shared" ca="1" si="9"/>
        <v>6999.9999999891234</v>
      </c>
      <c r="F23">
        <f t="shared" ca="1" si="10"/>
        <v>-9999.9999999914544</v>
      </c>
      <c r="G23">
        <f t="shared" ca="1" si="10"/>
        <v>2.8740032576024532E-8</v>
      </c>
    </row>
    <row r="24" spans="1:7" x14ac:dyDescent="0.25">
      <c r="A24" s="2">
        <f t="shared" si="7"/>
        <v>1.4000000000000001</v>
      </c>
      <c r="C24" s="3">
        <f t="shared" ca="1" si="11"/>
        <v>-5.6084656084571451E-5</v>
      </c>
      <c r="D24">
        <f t="shared" ca="1" si="8"/>
        <v>6.7724867724771462E-5</v>
      </c>
      <c r="E24">
        <f t="shared" ca="1" si="9"/>
        <v>5999.9999999901365</v>
      </c>
      <c r="F24">
        <f t="shared" ca="1" si="10"/>
        <v>-9999.9999999885804</v>
      </c>
      <c r="G24">
        <f t="shared" ca="1" si="10"/>
        <v>2.560227585490793E-8</v>
      </c>
    </row>
    <row r="25" spans="1:7" x14ac:dyDescent="0.25">
      <c r="A25" s="2">
        <f t="shared" si="7"/>
        <v>1.5000000000000002</v>
      </c>
      <c r="C25" s="3">
        <f t="shared" ca="1" si="11"/>
        <v>-4.8677248677174713E-5</v>
      </c>
      <c r="D25">
        <f t="shared" ca="1" si="8"/>
        <v>7.9365079364963572E-5</v>
      </c>
      <c r="E25">
        <f t="shared" ca="1" si="9"/>
        <v>4999.9999999914071</v>
      </c>
      <c r="F25">
        <f t="shared" ca="1" si="10"/>
        <v>-9999.9999999863339</v>
      </c>
      <c r="G25">
        <f t="shared" ca="1" si="10"/>
        <v>2.002707333303988E-8</v>
      </c>
    </row>
    <row r="26" spans="1:7" x14ac:dyDescent="0.25">
      <c r="A26" s="2">
        <f t="shared" si="7"/>
        <v>1.6000000000000003</v>
      </c>
      <c r="C26" s="3">
        <f t="shared" ca="1" si="11"/>
        <v>-4.0211640211578736E-5</v>
      </c>
      <c r="D26">
        <f t="shared" ca="1" si="8"/>
        <v>8.8888888888756458E-5</v>
      </c>
      <c r="E26">
        <f t="shared" ca="1" si="9"/>
        <v>3999.9999999928696</v>
      </c>
      <c r="F26">
        <f t="shared" ca="1" si="10"/>
        <v>-9999.999999984575</v>
      </c>
      <c r="G26">
        <f t="shared" ca="1" si="10"/>
        <v>1.5998011804185808E-8</v>
      </c>
    </row>
    <row r="27" spans="1:7" x14ac:dyDescent="0.25">
      <c r="A27" s="2">
        <f t="shared" si="7"/>
        <v>1.7000000000000004</v>
      </c>
      <c r="C27" s="3">
        <f t="shared" ca="1" si="11"/>
        <v>-3.0899470899423422E-5</v>
      </c>
      <c r="D27">
        <f t="shared" ca="1" si="8"/>
        <v>9.6296296296150485E-5</v>
      </c>
      <c r="E27">
        <f t="shared" ca="1" si="9"/>
        <v>2999.9999999944921</v>
      </c>
      <c r="F27">
        <f t="shared" ca="1" si="10"/>
        <v>-9999.9999999831343</v>
      </c>
      <c r="G27">
        <f t="shared" ca="1" si="10"/>
        <v>1.3615135685540736E-8</v>
      </c>
    </row>
    <row r="28" spans="1:7" x14ac:dyDescent="0.25">
      <c r="A28" s="2">
        <f t="shared" si="7"/>
        <v>1.8000000000000005</v>
      </c>
      <c r="C28" s="3">
        <f t="shared" ca="1" si="11"/>
        <v>-2.0952380952348638E-5</v>
      </c>
      <c r="D28">
        <f t="shared" ca="1" si="8"/>
        <v>1.0158730158714598E-4</v>
      </c>
      <c r="E28">
        <f t="shared" ca="1" si="9"/>
        <v>1999.9999999962427</v>
      </c>
      <c r="F28">
        <f t="shared" ca="1" si="10"/>
        <v>-9999.9999999818519</v>
      </c>
      <c r="G28">
        <f t="shared" ca="1" si="10"/>
        <v>9.6042640507221222E-9</v>
      </c>
    </row>
    <row r="29" spans="1:7" x14ac:dyDescent="0.25">
      <c r="A29" s="2">
        <f t="shared" si="7"/>
        <v>1.9000000000000006</v>
      </c>
      <c r="C29" s="3">
        <f t="shared" ca="1" si="11"/>
        <v>-1.0582010581994226E-5</v>
      </c>
      <c r="D29">
        <f t="shared" ca="1" si="8"/>
        <v>1.0476190476174318E-4</v>
      </c>
      <c r="E29">
        <f t="shared" ca="1" si="9"/>
        <v>999.99999999812133</v>
      </c>
      <c r="F29">
        <f t="shared" ca="1" si="10"/>
        <v>-9999.9999999812135</v>
      </c>
      <c r="G29">
        <f ca="1">(F30-F28)/(2*delta)</f>
        <v>3.1923264032229781E-9</v>
      </c>
    </row>
    <row r="30" spans="1:7" x14ac:dyDescent="0.25">
      <c r="A30" s="2">
        <f t="shared" si="7"/>
        <v>2.0000000000000004</v>
      </c>
      <c r="C30" s="4">
        <v>0</v>
      </c>
      <c r="D30">
        <f t="shared" ca="1" si="8"/>
        <v>1.0582010581994226E-4</v>
      </c>
      <c r="E30">
        <f t="shared" ca="1" si="9"/>
        <v>0</v>
      </c>
      <c r="F30" s="7">
        <f ca="1">(0.5*E28-2*E29+1.5*E30)/delta</f>
        <v>-9999.9999999812135</v>
      </c>
      <c r="G30" s="7">
        <f ca="1">(0.5*F28-2*F29+1.5*F30)/delta</f>
        <v>-3.2014213502407074E-9</v>
      </c>
    </row>
    <row r="31" spans="1:7" x14ac:dyDescent="0.25">
      <c r="C31" s="5">
        <f ca="1">2*C30-C29</f>
        <v>1.0582010581994226E-5</v>
      </c>
    </row>
    <row r="33" spans="3:5" x14ac:dyDescent="0.25">
      <c r="C33" s="10" t="s">
        <v>16</v>
      </c>
    </row>
    <row r="34" spans="3:5" x14ac:dyDescent="0.25">
      <c r="C34" t="s">
        <v>11</v>
      </c>
      <c r="D34">
        <f ca="1">F8</f>
        <v>9999.9999999812117</v>
      </c>
      <c r="E34" t="s">
        <v>13</v>
      </c>
    </row>
    <row r="35" spans="3:5" x14ac:dyDescent="0.25">
      <c r="C35" t="s">
        <v>12</v>
      </c>
      <c r="D35">
        <f ca="1">-F30</f>
        <v>9999.9999999812135</v>
      </c>
      <c r="E35" t="s">
        <v>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ando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Hoja1</vt:lpstr>
      <vt:lpstr>delta</vt:lpstr>
      <vt:lpstr>E</vt:lpstr>
      <vt:lpstr>I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unalman</dc:creator>
  <cp:lastModifiedBy>unalman</cp:lastModifiedBy>
  <dcterms:created xsi:type="dcterms:W3CDTF">2019-05-03T11:53:48Z</dcterms:created>
  <dcterms:modified xsi:type="dcterms:W3CDTF">2019-05-03T14:47:26Z</dcterms:modified>
</cp:coreProperties>
</file>