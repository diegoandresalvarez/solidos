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PICHULO\Desktop\otros\"/>
    </mc:Choice>
  </mc:AlternateContent>
  <bookViews>
    <workbookView xWindow="120" yWindow="0" windowWidth="21840" windowHeight="10515"/>
  </bookViews>
  <sheets>
    <sheet name="Hoja1" sheetId="1" r:id="rId1"/>
    <sheet name="Hoja2" sheetId="2" r:id="rId2"/>
    <sheet name="Hoja3" sheetId="3" r:id="rId3"/>
  </sheets>
  <functionGroups builtInGroupCount="18"/>
  <definedNames>
    <definedName name="a">Hoja1!$B$8</definedName>
    <definedName name="b">Hoja1!$B$9</definedName>
    <definedName name="D">Hoja1!$B$4</definedName>
    <definedName name="delta">Hoja1!$B$18</definedName>
    <definedName name="desp_w">Hoja1!$H$57:$AB$97</definedName>
    <definedName name="E">Hoja1!$B$2</definedName>
    <definedName name="eta">Hoja1!$B$16</definedName>
    <definedName name="Mx">Hoja1!$H$107:$AB$147</definedName>
    <definedName name="Mxy">Hoja1!$H$207:$AB$247</definedName>
    <definedName name="My">Hoja1!$H$157:$AB$197</definedName>
    <definedName name="nu">Hoja1!$B$3</definedName>
    <definedName name="p">Hoja1!$B$12</definedName>
    <definedName name="Qx">Hoja1!$H$308:$AB$348</definedName>
    <definedName name="Qy">Hoja1!$H$358:$AB$398</definedName>
    <definedName name="t">Hoja1!$B$7</definedName>
    <definedName name="u">Hoja1!$B$13</definedName>
    <definedName name="v">Hoja1!$B$14</definedName>
    <definedName name="xi">Hoja1!$B$15</definedName>
  </definedNames>
  <calcPr calcId="162913" calcMode="manual" iterate="1" iterateCount="3" iterateDelta="1E-10" calcCompleted="0" calcOnSave="0"/>
</workbook>
</file>

<file path=xl/calcChain.xml><?xml version="1.0" encoding="utf-8"?>
<calcChain xmlns="http://schemas.openxmlformats.org/spreadsheetml/2006/main">
  <c r="G97" i="1" l="1"/>
  <c r="G57" i="1"/>
  <c r="H258" i="1" s="1"/>
  <c r="AC57" i="1"/>
  <c r="AC97" i="1"/>
  <c r="AB98" i="1"/>
  <c r="AB298" i="1" s="1"/>
  <c r="H98" i="1"/>
  <c r="H298" i="1" s="1"/>
  <c r="AB56" i="1"/>
  <c r="AB258" i="1" s="1"/>
  <c r="H56" i="1"/>
  <c r="E397" i="1"/>
  <c r="E396" i="1" s="1"/>
  <c r="E395" i="1" s="1"/>
  <c r="E394" i="1" s="1"/>
  <c r="E393" i="1" s="1"/>
  <c r="E392" i="1" s="1"/>
  <c r="E391" i="1" s="1"/>
  <c r="E390" i="1" s="1"/>
  <c r="E389" i="1" s="1"/>
  <c r="E388" i="1" s="1"/>
  <c r="E387" i="1" s="1"/>
  <c r="E386" i="1" s="1"/>
  <c r="E385" i="1" s="1"/>
  <c r="E384" i="1" s="1"/>
  <c r="E383" i="1" s="1"/>
  <c r="E382" i="1" s="1"/>
  <c r="E381" i="1" s="1"/>
  <c r="E380" i="1" s="1"/>
  <c r="E379" i="1" s="1"/>
  <c r="E378" i="1" s="1"/>
  <c r="E377" i="1" s="1"/>
  <c r="E376" i="1" s="1"/>
  <c r="E375" i="1" s="1"/>
  <c r="E374" i="1" s="1"/>
  <c r="E373" i="1" s="1"/>
  <c r="E372" i="1" s="1"/>
  <c r="E371" i="1" s="1"/>
  <c r="E370" i="1" s="1"/>
  <c r="E369" i="1" s="1"/>
  <c r="E368" i="1" s="1"/>
  <c r="E367" i="1" s="1"/>
  <c r="E366" i="1" s="1"/>
  <c r="E365" i="1" s="1"/>
  <c r="E364" i="1" s="1"/>
  <c r="E363" i="1" s="1"/>
  <c r="E362" i="1" s="1"/>
  <c r="E361" i="1" s="1"/>
  <c r="E360" i="1" s="1"/>
  <c r="E359" i="1" s="1"/>
  <c r="E358" i="1" s="1"/>
  <c r="E347" i="1"/>
  <c r="E346" i="1" s="1"/>
  <c r="E345" i="1" s="1"/>
  <c r="E344" i="1" s="1"/>
  <c r="E343" i="1" s="1"/>
  <c r="E342" i="1" s="1"/>
  <c r="E341" i="1" s="1"/>
  <c r="E340" i="1" s="1"/>
  <c r="E339" i="1" s="1"/>
  <c r="E338" i="1" s="1"/>
  <c r="E337" i="1" s="1"/>
  <c r="E336" i="1" s="1"/>
  <c r="E335" i="1" s="1"/>
  <c r="E334" i="1" s="1"/>
  <c r="E333" i="1" s="1"/>
  <c r="E332" i="1" s="1"/>
  <c r="E331" i="1" s="1"/>
  <c r="E330" i="1" s="1"/>
  <c r="E329" i="1" s="1"/>
  <c r="E328" i="1" s="1"/>
  <c r="E327" i="1" s="1"/>
  <c r="E326" i="1" s="1"/>
  <c r="E325" i="1" s="1"/>
  <c r="E324" i="1" s="1"/>
  <c r="E323" i="1" s="1"/>
  <c r="E322" i="1" s="1"/>
  <c r="E321" i="1" s="1"/>
  <c r="E320" i="1" s="1"/>
  <c r="E319" i="1" s="1"/>
  <c r="E318" i="1" s="1"/>
  <c r="E317" i="1" s="1"/>
  <c r="E316" i="1" s="1"/>
  <c r="E315" i="1" s="1"/>
  <c r="E314" i="1" s="1"/>
  <c r="E313" i="1" s="1"/>
  <c r="E312" i="1" s="1"/>
  <c r="E311" i="1" s="1"/>
  <c r="E310" i="1" s="1"/>
  <c r="E309" i="1" s="1"/>
  <c r="E308" i="1" s="1"/>
  <c r="E297" i="1"/>
  <c r="E296" i="1" s="1"/>
  <c r="E295" i="1" s="1"/>
  <c r="E294" i="1" s="1"/>
  <c r="E293" i="1" s="1"/>
  <c r="E292" i="1" s="1"/>
  <c r="E291" i="1" s="1"/>
  <c r="E290" i="1" s="1"/>
  <c r="E289" i="1" s="1"/>
  <c r="E288" i="1" s="1"/>
  <c r="E287" i="1" s="1"/>
  <c r="E286" i="1" s="1"/>
  <c r="E285" i="1" s="1"/>
  <c r="E284" i="1" s="1"/>
  <c r="E283" i="1" s="1"/>
  <c r="E282" i="1" s="1"/>
  <c r="E281" i="1" s="1"/>
  <c r="E280" i="1" s="1"/>
  <c r="E279" i="1" s="1"/>
  <c r="E278" i="1" s="1"/>
  <c r="E277" i="1" s="1"/>
  <c r="E276" i="1" s="1"/>
  <c r="E275" i="1" s="1"/>
  <c r="E274" i="1" s="1"/>
  <c r="E273" i="1" s="1"/>
  <c r="E272" i="1" s="1"/>
  <c r="E271" i="1" s="1"/>
  <c r="E270" i="1" s="1"/>
  <c r="E269" i="1" s="1"/>
  <c r="E268" i="1" s="1"/>
  <c r="E267" i="1" s="1"/>
  <c r="E266" i="1" s="1"/>
  <c r="E265" i="1" s="1"/>
  <c r="E264" i="1" s="1"/>
  <c r="E263" i="1" s="1"/>
  <c r="E262" i="1" s="1"/>
  <c r="E261" i="1" s="1"/>
  <c r="E260" i="1" s="1"/>
  <c r="E259" i="1" s="1"/>
  <c r="E258" i="1" s="1"/>
  <c r="E246" i="1"/>
  <c r="E245" i="1" s="1"/>
  <c r="E244" i="1" s="1"/>
  <c r="E243" i="1" s="1"/>
  <c r="E242" i="1" s="1"/>
  <c r="E241" i="1" s="1"/>
  <c r="E240" i="1" s="1"/>
  <c r="E239" i="1" s="1"/>
  <c r="E238" i="1" s="1"/>
  <c r="E237" i="1" s="1"/>
  <c r="E236" i="1" s="1"/>
  <c r="E235" i="1" s="1"/>
  <c r="E234" i="1" s="1"/>
  <c r="E233" i="1" s="1"/>
  <c r="E232" i="1" s="1"/>
  <c r="E231" i="1" s="1"/>
  <c r="E230" i="1" s="1"/>
  <c r="E229" i="1" s="1"/>
  <c r="E228" i="1" s="1"/>
  <c r="E227" i="1" s="1"/>
  <c r="E226" i="1" s="1"/>
  <c r="E225" i="1" s="1"/>
  <c r="E224" i="1" s="1"/>
  <c r="E223" i="1" s="1"/>
  <c r="E222" i="1" s="1"/>
  <c r="E221" i="1" s="1"/>
  <c r="E220" i="1" s="1"/>
  <c r="E219" i="1" s="1"/>
  <c r="E218" i="1" s="1"/>
  <c r="E217" i="1" s="1"/>
  <c r="E216" i="1" s="1"/>
  <c r="E215" i="1" s="1"/>
  <c r="E214" i="1" s="1"/>
  <c r="E213" i="1" s="1"/>
  <c r="E212" i="1" s="1"/>
  <c r="E211" i="1" s="1"/>
  <c r="E210" i="1" s="1"/>
  <c r="E209" i="1" s="1"/>
  <c r="E208" i="1" s="1"/>
  <c r="E207" i="1" s="1"/>
  <c r="E196" i="1"/>
  <c r="E195" i="1" s="1"/>
  <c r="E194" i="1" s="1"/>
  <c r="E193" i="1" s="1"/>
  <c r="E192" i="1" s="1"/>
  <c r="E191" i="1" s="1"/>
  <c r="E190" i="1" s="1"/>
  <c r="E189" i="1" s="1"/>
  <c r="E188" i="1" s="1"/>
  <c r="E187" i="1" s="1"/>
  <c r="E186" i="1" s="1"/>
  <c r="E185" i="1" s="1"/>
  <c r="E184" i="1" s="1"/>
  <c r="E183" i="1" s="1"/>
  <c r="E182" i="1" s="1"/>
  <c r="E181" i="1" s="1"/>
  <c r="E180" i="1" s="1"/>
  <c r="E179" i="1" s="1"/>
  <c r="E178" i="1" s="1"/>
  <c r="E177" i="1" s="1"/>
  <c r="E176" i="1" s="1"/>
  <c r="E175" i="1" s="1"/>
  <c r="E174" i="1" s="1"/>
  <c r="E173" i="1" s="1"/>
  <c r="E172" i="1" s="1"/>
  <c r="E171" i="1" s="1"/>
  <c r="E170" i="1" s="1"/>
  <c r="E169" i="1" s="1"/>
  <c r="E168" i="1" s="1"/>
  <c r="E167" i="1" s="1"/>
  <c r="E166" i="1" s="1"/>
  <c r="E165" i="1" s="1"/>
  <c r="E164" i="1" s="1"/>
  <c r="E163" i="1" s="1"/>
  <c r="E162" i="1" s="1"/>
  <c r="E161" i="1" s="1"/>
  <c r="E160" i="1" s="1"/>
  <c r="E159" i="1" s="1"/>
  <c r="E158" i="1" s="1"/>
  <c r="E157" i="1" s="1"/>
  <c r="E146" i="1"/>
  <c r="E145" i="1" s="1"/>
  <c r="E144" i="1" s="1"/>
  <c r="E143" i="1" s="1"/>
  <c r="E142" i="1" s="1"/>
  <c r="E141" i="1" s="1"/>
  <c r="E140" i="1" s="1"/>
  <c r="E139" i="1" s="1"/>
  <c r="E138" i="1" s="1"/>
  <c r="E137" i="1" s="1"/>
  <c r="E136" i="1" s="1"/>
  <c r="E135" i="1" s="1"/>
  <c r="E134" i="1" s="1"/>
  <c r="E133" i="1" s="1"/>
  <c r="E132" i="1" s="1"/>
  <c r="E131" i="1" s="1"/>
  <c r="E130" i="1" s="1"/>
  <c r="E129" i="1" s="1"/>
  <c r="E128" i="1" s="1"/>
  <c r="E127" i="1" s="1"/>
  <c r="E126" i="1" s="1"/>
  <c r="E125" i="1" s="1"/>
  <c r="E124" i="1" s="1"/>
  <c r="E123" i="1" s="1"/>
  <c r="E122" i="1" s="1"/>
  <c r="E121" i="1" s="1"/>
  <c r="E120" i="1" s="1"/>
  <c r="E119" i="1" s="1"/>
  <c r="E118" i="1" s="1"/>
  <c r="E117" i="1" s="1"/>
  <c r="E116" i="1" s="1"/>
  <c r="E115" i="1" s="1"/>
  <c r="E114" i="1" s="1"/>
  <c r="E113" i="1" s="1"/>
  <c r="E112" i="1" s="1"/>
  <c r="E111" i="1" s="1"/>
  <c r="E110" i="1" s="1"/>
  <c r="E109" i="1" s="1"/>
  <c r="E108" i="1" s="1"/>
  <c r="E107" i="1" s="1"/>
  <c r="BF96" i="1"/>
  <c r="BF95" i="1" s="1"/>
  <c r="BF94" i="1" s="1"/>
  <c r="BF93" i="1" s="1"/>
  <c r="BF92" i="1" s="1"/>
  <c r="BF91" i="1" s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BF67" i="1" s="1"/>
  <c r="BF66" i="1" s="1"/>
  <c r="BF65" i="1" s="1"/>
  <c r="BF64" i="1" s="1"/>
  <c r="BF63" i="1" s="1"/>
  <c r="BF62" i="1" s="1"/>
  <c r="BF61" i="1" s="1"/>
  <c r="BF60" i="1" s="1"/>
  <c r="BF59" i="1" s="1"/>
  <c r="BF58" i="1" s="1"/>
  <c r="BF57" i="1" s="1"/>
  <c r="AF96" i="1"/>
  <c r="AF95" i="1" s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E96" i="1"/>
  <c r="E95" i="1" s="1"/>
  <c r="E94" i="1" s="1"/>
  <c r="E93" i="1" s="1"/>
  <c r="E92" i="1" s="1"/>
  <c r="E91" i="1" s="1"/>
  <c r="E90" i="1" s="1"/>
  <c r="E89" i="1" s="1"/>
  <c r="E88" i="1" s="1"/>
  <c r="E87" i="1" s="1"/>
  <c r="E86" i="1" s="1"/>
  <c r="E85" i="1" s="1"/>
  <c r="E84" i="1" s="1"/>
  <c r="E83" i="1" s="1"/>
  <c r="E82" i="1" s="1"/>
  <c r="E81" i="1" s="1"/>
  <c r="E80" i="1" s="1"/>
  <c r="E79" i="1" s="1"/>
  <c r="E78" i="1" s="1"/>
  <c r="E77" i="1" s="1"/>
  <c r="E76" i="1" s="1"/>
  <c r="E75" i="1" s="1"/>
  <c r="E74" i="1" s="1"/>
  <c r="E73" i="1" s="1"/>
  <c r="E72" i="1" s="1"/>
  <c r="E71" i="1" s="1"/>
  <c r="E70" i="1" s="1"/>
  <c r="E69" i="1" s="1"/>
  <c r="E68" i="1" s="1"/>
  <c r="E67" i="1" s="1"/>
  <c r="E66" i="1" s="1"/>
  <c r="E65" i="1" s="1"/>
  <c r="E64" i="1" s="1"/>
  <c r="E63" i="1" s="1"/>
  <c r="E62" i="1" s="1"/>
  <c r="E61" i="1" s="1"/>
  <c r="E60" i="1" s="1"/>
  <c r="E59" i="1" s="1"/>
  <c r="E58" i="1" s="1"/>
  <c r="E57" i="1" s="1"/>
  <c r="E46" i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AF76" i="1" l="1"/>
  <c r="I255" i="1"/>
  <c r="J255" i="1" s="1"/>
  <c r="K255" i="1" s="1"/>
  <c r="L255" i="1" s="1"/>
  <c r="M255" i="1" s="1"/>
  <c r="N255" i="1" s="1"/>
  <c r="O255" i="1" s="1"/>
  <c r="P255" i="1" s="1"/>
  <c r="Q255" i="1" s="1"/>
  <c r="R255" i="1" s="1"/>
  <c r="S255" i="1" s="1"/>
  <c r="T255" i="1" s="1"/>
  <c r="U255" i="1" s="1"/>
  <c r="V255" i="1" s="1"/>
  <c r="W255" i="1" s="1"/>
  <c r="X255" i="1" s="1"/>
  <c r="Y255" i="1" s="1"/>
  <c r="Z255" i="1" s="1"/>
  <c r="AA255" i="1" s="1"/>
  <c r="AB255" i="1" s="1"/>
  <c r="AF75" i="1" l="1"/>
  <c r="V36" i="1"/>
  <c r="U36" i="1"/>
  <c r="T36" i="1"/>
  <c r="S36" i="1"/>
  <c r="V35" i="1"/>
  <c r="U35" i="1"/>
  <c r="T35" i="1"/>
  <c r="S35" i="1"/>
  <c r="V34" i="1"/>
  <c r="U34" i="1"/>
  <c r="T34" i="1"/>
  <c r="S34" i="1"/>
  <c r="V33" i="1"/>
  <c r="U33" i="1"/>
  <c r="T33" i="1"/>
  <c r="S33" i="1"/>
  <c r="V32" i="1"/>
  <c r="U32" i="1"/>
  <c r="T32" i="1"/>
  <c r="S32" i="1"/>
  <c r="V31" i="1"/>
  <c r="U31" i="1"/>
  <c r="T31" i="1"/>
  <c r="S31" i="1"/>
  <c r="V30" i="1"/>
  <c r="U30" i="1"/>
  <c r="T30" i="1"/>
  <c r="S30" i="1"/>
  <c r="V29" i="1"/>
  <c r="U29" i="1"/>
  <c r="T29" i="1"/>
  <c r="S29" i="1"/>
  <c r="V28" i="1"/>
  <c r="U28" i="1"/>
  <c r="T28" i="1"/>
  <c r="S28" i="1"/>
  <c r="W36" i="1"/>
  <c r="W35" i="1"/>
  <c r="W34" i="1"/>
  <c r="W33" i="1"/>
  <c r="W32" i="1"/>
  <c r="W31" i="1"/>
  <c r="W30" i="1"/>
  <c r="W29" i="1"/>
  <c r="W28" i="1"/>
  <c r="R36" i="1"/>
  <c r="R35" i="1"/>
  <c r="R34" i="1"/>
  <c r="R33" i="1"/>
  <c r="R32" i="1"/>
  <c r="R31" i="1"/>
  <c r="R30" i="1"/>
  <c r="R29" i="1"/>
  <c r="R28" i="1"/>
  <c r="V37" i="1"/>
  <c r="U37" i="1"/>
  <c r="T37" i="1"/>
  <c r="S37" i="1"/>
  <c r="V27" i="1"/>
  <c r="U27" i="1"/>
  <c r="T27" i="1"/>
  <c r="S27" i="1"/>
  <c r="W27" i="1"/>
  <c r="W37" i="1"/>
  <c r="R37" i="1"/>
  <c r="R27" i="1"/>
  <c r="B4" i="1"/>
  <c r="BI54" i="1"/>
  <c r="BJ54" i="1" s="1"/>
  <c r="BK54" i="1" s="1"/>
  <c r="BL54" i="1" s="1"/>
  <c r="BM54" i="1" s="1"/>
  <c r="BN54" i="1" s="1"/>
  <c r="BO54" i="1" s="1"/>
  <c r="BP54" i="1" s="1"/>
  <c r="BQ54" i="1" s="1"/>
  <c r="BR54" i="1" s="1"/>
  <c r="BS54" i="1" s="1"/>
  <c r="BT54" i="1" s="1"/>
  <c r="BU54" i="1" s="1"/>
  <c r="BV54" i="1" s="1"/>
  <c r="BW54" i="1" s="1"/>
  <c r="BX54" i="1" s="1"/>
  <c r="BY54" i="1" s="1"/>
  <c r="BZ54" i="1" s="1"/>
  <c r="CA54" i="1" s="1"/>
  <c r="CB54" i="1" s="1"/>
  <c r="AI54" i="1"/>
  <c r="I355" i="1"/>
  <c r="J355" i="1" s="1"/>
  <c r="K355" i="1" s="1"/>
  <c r="L355" i="1" s="1"/>
  <c r="M355" i="1" s="1"/>
  <c r="N355" i="1" s="1"/>
  <c r="O355" i="1" s="1"/>
  <c r="P355" i="1" s="1"/>
  <c r="Q355" i="1" s="1"/>
  <c r="R355" i="1" s="1"/>
  <c r="S355" i="1" s="1"/>
  <c r="T355" i="1" s="1"/>
  <c r="U355" i="1" s="1"/>
  <c r="V355" i="1" s="1"/>
  <c r="W355" i="1" s="1"/>
  <c r="X355" i="1" s="1"/>
  <c r="Y355" i="1" s="1"/>
  <c r="Z355" i="1" s="1"/>
  <c r="AA355" i="1" s="1"/>
  <c r="AB355" i="1" s="1"/>
  <c r="I305" i="1"/>
  <c r="J305" i="1" s="1"/>
  <c r="K305" i="1" s="1"/>
  <c r="L305" i="1" s="1"/>
  <c r="M305" i="1" s="1"/>
  <c r="N305" i="1" s="1"/>
  <c r="O305" i="1" s="1"/>
  <c r="P305" i="1" s="1"/>
  <c r="Q305" i="1" s="1"/>
  <c r="R305" i="1" s="1"/>
  <c r="S305" i="1" s="1"/>
  <c r="T305" i="1" s="1"/>
  <c r="U305" i="1" s="1"/>
  <c r="V305" i="1" s="1"/>
  <c r="W305" i="1" s="1"/>
  <c r="X305" i="1" s="1"/>
  <c r="Y305" i="1" s="1"/>
  <c r="Z305" i="1" s="1"/>
  <c r="AA305" i="1" s="1"/>
  <c r="AB305" i="1" s="1"/>
  <c r="I204" i="1"/>
  <c r="J204" i="1" s="1"/>
  <c r="K204" i="1" s="1"/>
  <c r="L204" i="1" s="1"/>
  <c r="M204" i="1" s="1"/>
  <c r="N204" i="1" s="1"/>
  <c r="O204" i="1" s="1"/>
  <c r="P204" i="1" s="1"/>
  <c r="Q204" i="1" s="1"/>
  <c r="R204" i="1" s="1"/>
  <c r="S204" i="1" s="1"/>
  <c r="T204" i="1" s="1"/>
  <c r="U204" i="1" s="1"/>
  <c r="V204" i="1" s="1"/>
  <c r="W204" i="1" s="1"/>
  <c r="X204" i="1" s="1"/>
  <c r="Y204" i="1" s="1"/>
  <c r="Z204" i="1" s="1"/>
  <c r="AA204" i="1" s="1"/>
  <c r="AB204" i="1" s="1"/>
  <c r="I154" i="1"/>
  <c r="J154" i="1" s="1"/>
  <c r="K154" i="1" s="1"/>
  <c r="L154" i="1" s="1"/>
  <c r="M154" i="1" s="1"/>
  <c r="N154" i="1" s="1"/>
  <c r="O154" i="1" s="1"/>
  <c r="P154" i="1" s="1"/>
  <c r="Q154" i="1" s="1"/>
  <c r="R154" i="1" s="1"/>
  <c r="S154" i="1" s="1"/>
  <c r="T154" i="1" s="1"/>
  <c r="U154" i="1" s="1"/>
  <c r="V154" i="1" s="1"/>
  <c r="W154" i="1" s="1"/>
  <c r="X154" i="1" s="1"/>
  <c r="Y154" i="1" s="1"/>
  <c r="Z154" i="1" s="1"/>
  <c r="AA154" i="1" s="1"/>
  <c r="AB154" i="1" s="1"/>
  <c r="I104" i="1"/>
  <c r="J104" i="1" s="1"/>
  <c r="K104" i="1" s="1"/>
  <c r="L104" i="1" s="1"/>
  <c r="M104" i="1" s="1"/>
  <c r="N104" i="1" s="1"/>
  <c r="O104" i="1" s="1"/>
  <c r="P104" i="1" s="1"/>
  <c r="Q104" i="1" s="1"/>
  <c r="R104" i="1" s="1"/>
  <c r="S104" i="1" s="1"/>
  <c r="T104" i="1" s="1"/>
  <c r="U104" i="1" s="1"/>
  <c r="V104" i="1" s="1"/>
  <c r="W104" i="1" s="1"/>
  <c r="X104" i="1" s="1"/>
  <c r="Y104" i="1" s="1"/>
  <c r="Z104" i="1" s="1"/>
  <c r="AA104" i="1" s="1"/>
  <c r="AB104" i="1" s="1"/>
  <c r="I54" i="1"/>
  <c r="J54" i="1" s="1"/>
  <c r="K54" i="1" s="1"/>
  <c r="L54" i="1" s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I4" i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I88" i="1"/>
  <c r="AI87" i="1"/>
  <c r="AI80" i="1"/>
  <c r="AI96" i="1"/>
  <c r="AI95" i="1"/>
  <c r="AI75" i="1"/>
  <c r="AI82" i="1"/>
  <c r="AI83" i="1"/>
  <c r="AI76" i="1"/>
  <c r="AI90" i="1"/>
  <c r="AI91" i="1"/>
  <c r="AI92" i="1"/>
  <c r="AI86" i="1"/>
  <c r="AI93" i="1"/>
  <c r="AI79" i="1"/>
  <c r="AI84" i="1"/>
  <c r="AI77" i="1"/>
  <c r="AI78" i="1"/>
  <c r="AI85" i="1"/>
  <c r="AI81" i="1"/>
  <c r="AI94" i="1"/>
  <c r="AI89" i="1"/>
  <c r="AB157" i="1" l="1"/>
  <c r="H157" i="1"/>
  <c r="AB147" i="1"/>
  <c r="H147" i="1"/>
  <c r="H197" i="1"/>
  <c r="AB107" i="1"/>
  <c r="H107" i="1"/>
  <c r="AB197" i="1"/>
  <c r="AJ54" i="1"/>
  <c r="AF74" i="1"/>
  <c r="AJ78" i="1"/>
  <c r="AI74" i="1"/>
  <c r="AJ93" i="1"/>
  <c r="AJ96" i="1"/>
  <c r="AJ79" i="1"/>
  <c r="AJ74" i="1"/>
  <c r="AJ86" i="1"/>
  <c r="AJ85" i="1"/>
  <c r="AJ75" i="1"/>
  <c r="AJ87" i="1"/>
  <c r="AJ80" i="1"/>
  <c r="AJ76" i="1"/>
  <c r="AJ95" i="1"/>
  <c r="AJ88" i="1"/>
  <c r="AJ81" i="1"/>
  <c r="AJ82" i="1"/>
  <c r="AJ89" i="1"/>
  <c r="AJ90" i="1"/>
  <c r="AJ83" i="1"/>
  <c r="AJ92" i="1"/>
  <c r="AJ84" i="1"/>
  <c r="AJ94" i="1"/>
  <c r="AJ91" i="1"/>
  <c r="AJ77" i="1"/>
  <c r="AF73" i="1" l="1"/>
  <c r="AK54" i="1"/>
  <c r="AK78" i="1"/>
  <c r="AK79" i="1"/>
  <c r="AK88" i="1"/>
  <c r="AK90" i="1"/>
  <c r="AK86" i="1"/>
  <c r="AK87" i="1"/>
  <c r="AK96" i="1"/>
  <c r="AK91" i="1"/>
  <c r="AI73" i="1"/>
  <c r="AK94" i="1"/>
  <c r="AK95" i="1"/>
  <c r="AK82" i="1"/>
  <c r="AK85" i="1"/>
  <c r="AJ73" i="1"/>
  <c r="AK81" i="1"/>
  <c r="AK83" i="1"/>
  <c r="AK73" i="1"/>
  <c r="AK89" i="1"/>
  <c r="AK77" i="1"/>
  <c r="AK74" i="1"/>
  <c r="AK75" i="1"/>
  <c r="AK84" i="1"/>
  <c r="AK93" i="1"/>
  <c r="AK92" i="1"/>
  <c r="AK76" i="1"/>
  <c r="AK80" i="1"/>
  <c r="AL54" i="1" l="1"/>
  <c r="AF72" i="1"/>
  <c r="AL88" i="1"/>
  <c r="AL92" i="1"/>
  <c r="AL85" i="1"/>
  <c r="AL87" i="1"/>
  <c r="AL82" i="1"/>
  <c r="AL78" i="1"/>
  <c r="AL80" i="1"/>
  <c r="AL93" i="1"/>
  <c r="AL95" i="1"/>
  <c r="AL77" i="1"/>
  <c r="AL73" i="1"/>
  <c r="AL86" i="1"/>
  <c r="AL79" i="1"/>
  <c r="AJ72" i="1"/>
  <c r="AI72" i="1"/>
  <c r="AL84" i="1"/>
  <c r="AL74" i="1"/>
  <c r="AL94" i="1"/>
  <c r="AL72" i="1"/>
  <c r="AL75" i="1"/>
  <c r="AL96" i="1"/>
  <c r="AL76" i="1"/>
  <c r="AL81" i="1"/>
  <c r="AK72" i="1"/>
  <c r="AL83" i="1"/>
  <c r="AL89" i="1"/>
  <c r="AL90" i="1"/>
  <c r="AL91" i="1"/>
  <c r="AF71" i="1" l="1"/>
  <c r="AM54" i="1"/>
  <c r="AM95" i="1"/>
  <c r="AM93" i="1"/>
  <c r="AM86" i="1"/>
  <c r="AM80" i="1"/>
  <c r="AM72" i="1"/>
  <c r="AM82" i="1"/>
  <c r="AK71" i="1"/>
  <c r="AM94" i="1"/>
  <c r="AM71" i="1"/>
  <c r="AM90" i="1"/>
  <c r="AM88" i="1"/>
  <c r="AM81" i="1"/>
  <c r="AM92" i="1"/>
  <c r="AI71" i="1"/>
  <c r="AM96" i="1"/>
  <c r="AM89" i="1"/>
  <c r="AM77" i="1"/>
  <c r="AM73" i="1"/>
  <c r="AM83" i="1"/>
  <c r="AM84" i="1"/>
  <c r="AM87" i="1"/>
  <c r="AL71" i="1"/>
  <c r="AM74" i="1"/>
  <c r="AM91" i="1"/>
  <c r="AJ71" i="1"/>
  <c r="AM85" i="1"/>
  <c r="AM76" i="1"/>
  <c r="AM79" i="1"/>
  <c r="AM75" i="1"/>
  <c r="AM78" i="1"/>
  <c r="AN54" i="1" l="1"/>
  <c r="AF70" i="1"/>
  <c r="AN71" i="1"/>
  <c r="AN72" i="1"/>
  <c r="AN93" i="1"/>
  <c r="AN86" i="1"/>
  <c r="AM70" i="1"/>
  <c r="AN70" i="1"/>
  <c r="AN96" i="1"/>
  <c r="AN76" i="1"/>
  <c r="AN80" i="1"/>
  <c r="AN94" i="1"/>
  <c r="AJ70" i="1"/>
  <c r="AN74" i="1"/>
  <c r="AN84" i="1"/>
  <c r="AN73" i="1"/>
  <c r="AN88" i="1"/>
  <c r="AN92" i="1"/>
  <c r="AK70" i="1"/>
  <c r="AI70" i="1"/>
  <c r="AN82" i="1"/>
  <c r="AN75" i="1"/>
  <c r="AN83" i="1"/>
  <c r="AN79" i="1"/>
  <c r="AN91" i="1"/>
  <c r="AN87" i="1"/>
  <c r="AN81" i="1"/>
  <c r="AN77" i="1"/>
  <c r="AN90" i="1"/>
  <c r="AL70" i="1"/>
  <c r="AN95" i="1"/>
  <c r="AN89" i="1"/>
  <c r="AN85" i="1"/>
  <c r="AN78" i="1"/>
  <c r="AF69" i="1" l="1"/>
  <c r="AO54" i="1"/>
  <c r="AO89" i="1"/>
  <c r="AO87" i="1"/>
  <c r="AO96" i="1"/>
  <c r="AN69" i="1"/>
  <c r="AO82" i="1"/>
  <c r="AK69" i="1"/>
  <c r="AM69" i="1"/>
  <c r="AO75" i="1"/>
  <c r="AO70" i="1"/>
  <c r="AO71" i="1"/>
  <c r="AO72" i="1"/>
  <c r="AO79" i="1"/>
  <c r="AI69" i="1"/>
  <c r="AO84" i="1"/>
  <c r="AO90" i="1"/>
  <c r="AO93" i="1"/>
  <c r="AO92" i="1"/>
  <c r="AO69" i="1"/>
  <c r="AO77" i="1"/>
  <c r="AO91" i="1"/>
  <c r="AO86" i="1"/>
  <c r="AO73" i="1"/>
  <c r="AO85" i="1"/>
  <c r="AL69" i="1"/>
  <c r="AO74" i="1"/>
  <c r="AO80" i="1"/>
  <c r="AO78" i="1"/>
  <c r="AO94" i="1"/>
  <c r="AJ69" i="1"/>
  <c r="AO81" i="1"/>
  <c r="AO76" i="1"/>
  <c r="AO88" i="1"/>
  <c r="AO95" i="1"/>
  <c r="AO83" i="1"/>
  <c r="AP54" i="1" l="1"/>
  <c r="AF68" i="1"/>
  <c r="AP69" i="1"/>
  <c r="AP70" i="1"/>
  <c r="AP71" i="1"/>
  <c r="AP72" i="1"/>
  <c r="AP74" i="1"/>
  <c r="AP82" i="1"/>
  <c r="AI68" i="1"/>
  <c r="AO68" i="1"/>
  <c r="AP75" i="1"/>
  <c r="AP90" i="1"/>
  <c r="AP68" i="1"/>
  <c r="AP80" i="1"/>
  <c r="AK68" i="1"/>
  <c r="AP78" i="1"/>
  <c r="AP76" i="1"/>
  <c r="AP77" i="1"/>
  <c r="AL68" i="1"/>
  <c r="AJ68" i="1"/>
  <c r="AM68" i="1"/>
  <c r="AP96" i="1"/>
  <c r="AP86" i="1"/>
  <c r="AP83" i="1"/>
  <c r="AP84" i="1"/>
  <c r="AP85" i="1"/>
  <c r="AP81" i="1"/>
  <c r="AP94" i="1"/>
  <c r="AP91" i="1"/>
  <c r="AP79" i="1"/>
  <c r="AP93" i="1"/>
  <c r="AP87" i="1"/>
  <c r="AP92" i="1"/>
  <c r="AP89" i="1"/>
  <c r="AP95" i="1"/>
  <c r="AP88" i="1"/>
  <c r="AN68" i="1"/>
  <c r="AP73" i="1"/>
  <c r="AF67" i="1" l="1"/>
  <c r="AQ54" i="1"/>
  <c r="AQ89" i="1"/>
  <c r="AQ76" i="1"/>
  <c r="AQ81" i="1"/>
  <c r="AN67" i="1"/>
  <c r="AQ77" i="1"/>
  <c r="AO67" i="1"/>
  <c r="AM67" i="1"/>
  <c r="AQ68" i="1"/>
  <c r="AQ69" i="1"/>
  <c r="AQ70" i="1"/>
  <c r="AQ71" i="1"/>
  <c r="AQ72" i="1"/>
  <c r="AQ83" i="1"/>
  <c r="AP67" i="1"/>
  <c r="AQ84" i="1"/>
  <c r="AQ93" i="1"/>
  <c r="AQ96" i="1"/>
  <c r="AI67" i="1"/>
  <c r="AQ91" i="1"/>
  <c r="AQ92" i="1"/>
  <c r="AQ85" i="1"/>
  <c r="AQ67" i="1"/>
  <c r="AQ78" i="1"/>
  <c r="AQ79" i="1"/>
  <c r="AQ74" i="1"/>
  <c r="AQ75" i="1"/>
  <c r="AQ90" i="1"/>
  <c r="AQ86" i="1"/>
  <c r="AK67" i="1"/>
  <c r="AQ87" i="1"/>
  <c r="AQ80" i="1"/>
  <c r="AQ95" i="1"/>
  <c r="AQ88" i="1"/>
  <c r="AQ82" i="1"/>
  <c r="AQ94" i="1"/>
  <c r="AL67" i="1"/>
  <c r="AQ73" i="1"/>
  <c r="AJ67" i="1"/>
  <c r="AR54" i="1" l="1"/>
  <c r="AF66" i="1"/>
  <c r="AR67" i="1"/>
  <c r="AR68" i="1"/>
  <c r="AR69" i="1"/>
  <c r="AR70" i="1"/>
  <c r="AR71" i="1"/>
  <c r="AR72" i="1"/>
  <c r="AR92" i="1"/>
  <c r="AR77" i="1"/>
  <c r="AR73" i="1"/>
  <c r="AO66" i="1"/>
  <c r="AR95" i="1"/>
  <c r="AP66" i="1"/>
  <c r="AR81" i="1"/>
  <c r="AM66" i="1"/>
  <c r="AR79" i="1"/>
  <c r="AR75" i="1"/>
  <c r="AR66" i="1"/>
  <c r="AR94" i="1"/>
  <c r="AR80" i="1"/>
  <c r="AR74" i="1"/>
  <c r="AR87" i="1"/>
  <c r="AJ66" i="1"/>
  <c r="AR88" i="1"/>
  <c r="AR85" i="1"/>
  <c r="AN66" i="1"/>
  <c r="AR82" i="1"/>
  <c r="AR96" i="1"/>
  <c r="AR93" i="1"/>
  <c r="AR76" i="1"/>
  <c r="AR78" i="1"/>
  <c r="AR83" i="1"/>
  <c r="AR91" i="1"/>
  <c r="AK66" i="1"/>
  <c r="AR89" i="1"/>
  <c r="AR90" i="1"/>
  <c r="AI66" i="1"/>
  <c r="AL66" i="1"/>
  <c r="AR84" i="1"/>
  <c r="AR86" i="1"/>
  <c r="AQ66" i="1"/>
  <c r="AF65" i="1" l="1"/>
  <c r="AS54" i="1"/>
  <c r="AS85" i="1"/>
  <c r="AS90" i="1"/>
  <c r="AL65" i="1"/>
  <c r="AS76" i="1"/>
  <c r="AS84" i="1"/>
  <c r="AS92" i="1"/>
  <c r="AS80" i="1"/>
  <c r="AM65" i="1"/>
  <c r="AS95" i="1"/>
  <c r="AS83" i="1"/>
  <c r="AS66" i="1"/>
  <c r="AS67" i="1"/>
  <c r="AS68" i="1"/>
  <c r="AS69" i="1"/>
  <c r="AS70" i="1"/>
  <c r="AS71" i="1"/>
  <c r="AS72" i="1"/>
  <c r="AS93" i="1"/>
  <c r="AJ65" i="1"/>
  <c r="AS91" i="1"/>
  <c r="AR65" i="1"/>
  <c r="AS79" i="1"/>
  <c r="AN65" i="1"/>
  <c r="AO65" i="1"/>
  <c r="AS88" i="1"/>
  <c r="AS86" i="1"/>
  <c r="AS87" i="1"/>
  <c r="AS96" i="1"/>
  <c r="AK65" i="1"/>
  <c r="AS94" i="1"/>
  <c r="AS65" i="1"/>
  <c r="AS74" i="1"/>
  <c r="AQ65" i="1"/>
  <c r="AI65" i="1"/>
  <c r="AS73" i="1"/>
  <c r="AS81" i="1"/>
  <c r="AS77" i="1"/>
  <c r="AS82" i="1"/>
  <c r="AS75" i="1"/>
  <c r="AS89" i="1"/>
  <c r="AS78" i="1"/>
  <c r="AP65" i="1"/>
  <c r="AT54" i="1" l="1"/>
  <c r="AF64" i="1"/>
  <c r="AT65" i="1"/>
  <c r="AT66" i="1"/>
  <c r="AT67" i="1"/>
  <c r="AT68" i="1"/>
  <c r="AT69" i="1"/>
  <c r="AT70" i="1"/>
  <c r="AT71" i="1"/>
  <c r="AT72" i="1"/>
  <c r="AR64" i="1"/>
  <c r="AQ64" i="1"/>
  <c r="AT91" i="1"/>
  <c r="AT89" i="1"/>
  <c r="AT86" i="1"/>
  <c r="AT80" i="1"/>
  <c r="AT81" i="1"/>
  <c r="AT96" i="1"/>
  <c r="AT84" i="1"/>
  <c r="AO64" i="1"/>
  <c r="AS64" i="1"/>
  <c r="AT79" i="1"/>
  <c r="AM64" i="1"/>
  <c r="AT82" i="1"/>
  <c r="AK64" i="1"/>
  <c r="AT64" i="1"/>
  <c r="AT78" i="1"/>
  <c r="AT92" i="1"/>
  <c r="AT73" i="1"/>
  <c r="AT75" i="1"/>
  <c r="AT83" i="1"/>
  <c r="AT90" i="1"/>
  <c r="AP64" i="1"/>
  <c r="AN64" i="1"/>
  <c r="AT77" i="1"/>
  <c r="AT74" i="1"/>
  <c r="AT94" i="1"/>
  <c r="AL64" i="1"/>
  <c r="AT85" i="1"/>
  <c r="AT87" i="1"/>
  <c r="AI64" i="1"/>
  <c r="AT93" i="1"/>
  <c r="AT95" i="1"/>
  <c r="AT76" i="1"/>
  <c r="AT88" i="1"/>
  <c r="AJ64" i="1"/>
  <c r="AF63" i="1" l="1"/>
  <c r="AU54" i="1"/>
  <c r="AU95" i="1"/>
  <c r="AU80" i="1"/>
  <c r="AU86" i="1"/>
  <c r="AO63" i="1"/>
  <c r="AU88" i="1"/>
  <c r="AU94" i="1"/>
  <c r="AU78" i="1"/>
  <c r="AU64" i="1"/>
  <c r="AU65" i="1"/>
  <c r="AU66" i="1"/>
  <c r="AU67" i="1"/>
  <c r="AU68" i="1"/>
  <c r="AU69" i="1"/>
  <c r="AU70" i="1"/>
  <c r="AU71" i="1"/>
  <c r="AU72" i="1"/>
  <c r="AU82" i="1"/>
  <c r="AK63" i="1"/>
  <c r="AM63" i="1"/>
  <c r="AU90" i="1"/>
  <c r="AI63" i="1"/>
  <c r="AS63" i="1"/>
  <c r="AU96" i="1"/>
  <c r="AU93" i="1"/>
  <c r="AU74" i="1"/>
  <c r="AU63" i="1"/>
  <c r="AU84" i="1"/>
  <c r="AQ63" i="1"/>
  <c r="AU77" i="1"/>
  <c r="AU81" i="1"/>
  <c r="AJ63" i="1"/>
  <c r="AU76" i="1"/>
  <c r="AN63" i="1"/>
  <c r="AU92" i="1"/>
  <c r="AU73" i="1"/>
  <c r="AU85" i="1"/>
  <c r="AU89" i="1"/>
  <c r="AL63" i="1"/>
  <c r="AU83" i="1"/>
  <c r="AU79" i="1"/>
  <c r="AT63" i="1"/>
  <c r="AR63" i="1"/>
  <c r="AU75" i="1"/>
  <c r="AU91" i="1"/>
  <c r="AU87" i="1"/>
  <c r="AP63" i="1"/>
  <c r="AV54" i="1" l="1"/>
  <c r="AF62" i="1"/>
  <c r="AV63" i="1"/>
  <c r="AV64" i="1"/>
  <c r="AV65" i="1"/>
  <c r="AV66" i="1"/>
  <c r="AV67" i="1"/>
  <c r="AV68" i="1"/>
  <c r="AV69" i="1"/>
  <c r="AV70" i="1"/>
  <c r="AV71" i="1"/>
  <c r="AV72" i="1"/>
  <c r="AV86" i="1"/>
  <c r="AR62" i="1"/>
  <c r="AJ62" i="1"/>
  <c r="AV90" i="1"/>
  <c r="AV94" i="1"/>
  <c r="AM62" i="1"/>
  <c r="AV76" i="1"/>
  <c r="AV78" i="1"/>
  <c r="AV84" i="1"/>
  <c r="AI62" i="1"/>
  <c r="AV73" i="1"/>
  <c r="AV80" i="1"/>
  <c r="AV81" i="1"/>
  <c r="AU62" i="1"/>
  <c r="AV87" i="1"/>
  <c r="AV85" i="1"/>
  <c r="AV92" i="1"/>
  <c r="AQ62" i="1"/>
  <c r="AV74" i="1"/>
  <c r="AV88" i="1"/>
  <c r="AK62" i="1"/>
  <c r="AN62" i="1"/>
  <c r="AV89" i="1"/>
  <c r="AV93" i="1"/>
  <c r="AV79" i="1"/>
  <c r="AV75" i="1"/>
  <c r="AV96" i="1"/>
  <c r="AS62" i="1"/>
  <c r="AV62" i="1"/>
  <c r="AV83" i="1"/>
  <c r="AT62" i="1"/>
  <c r="AV95" i="1"/>
  <c r="AV82" i="1"/>
  <c r="AV77" i="1"/>
  <c r="AV91" i="1"/>
  <c r="AL62" i="1"/>
  <c r="AP62" i="1"/>
  <c r="AO62" i="1"/>
  <c r="AF61" i="1" l="1"/>
  <c r="AW54" i="1"/>
  <c r="AW84" i="1"/>
  <c r="AK61" i="1"/>
  <c r="AI61" i="1"/>
  <c r="AW95" i="1"/>
  <c r="AW96" i="1"/>
  <c r="AS61" i="1"/>
  <c r="AN61" i="1"/>
  <c r="AW90" i="1"/>
  <c r="AR61" i="1"/>
  <c r="AW62" i="1"/>
  <c r="AW63" i="1"/>
  <c r="AW64" i="1"/>
  <c r="AW65" i="1"/>
  <c r="AW66" i="1"/>
  <c r="AW67" i="1"/>
  <c r="AW68" i="1"/>
  <c r="AW69" i="1"/>
  <c r="AW70" i="1"/>
  <c r="AW71" i="1"/>
  <c r="AW72" i="1"/>
  <c r="AW92" i="1"/>
  <c r="AM61" i="1"/>
  <c r="AQ61" i="1"/>
  <c r="AW82" i="1"/>
  <c r="AW87" i="1"/>
  <c r="AW86" i="1"/>
  <c r="AP61" i="1"/>
  <c r="AW83" i="1"/>
  <c r="AW94" i="1"/>
  <c r="AV61" i="1"/>
  <c r="AU61" i="1"/>
  <c r="AW77" i="1"/>
  <c r="AW91" i="1"/>
  <c r="AW85" i="1"/>
  <c r="AT61" i="1"/>
  <c r="AW74" i="1"/>
  <c r="AW75" i="1"/>
  <c r="AL61" i="1"/>
  <c r="AW79" i="1"/>
  <c r="AO61" i="1"/>
  <c r="AW73" i="1"/>
  <c r="AW78" i="1"/>
  <c r="AJ61" i="1"/>
  <c r="AW93" i="1"/>
  <c r="AW81" i="1"/>
  <c r="AW89" i="1"/>
  <c r="AW76" i="1"/>
  <c r="AW88" i="1"/>
  <c r="AW61" i="1"/>
  <c r="AW80" i="1"/>
  <c r="AX54" i="1" l="1"/>
  <c r="AF60" i="1"/>
  <c r="AX61" i="1"/>
  <c r="AW60" i="1"/>
  <c r="AX74" i="1"/>
  <c r="AS60" i="1"/>
  <c r="AN60" i="1"/>
  <c r="AX75" i="1"/>
  <c r="AX77" i="1"/>
  <c r="AQ60" i="1"/>
  <c r="AX83" i="1"/>
  <c r="AX93" i="1"/>
  <c r="AL60" i="1"/>
  <c r="AX91" i="1"/>
  <c r="AR60" i="1"/>
  <c r="AX78" i="1"/>
  <c r="AV60" i="1"/>
  <c r="AX76" i="1"/>
  <c r="AX85" i="1"/>
  <c r="AX60" i="1"/>
  <c r="AX79" i="1"/>
  <c r="AJ60" i="1"/>
  <c r="AX87" i="1"/>
  <c r="AX81" i="1"/>
  <c r="AX86" i="1"/>
  <c r="AX94" i="1"/>
  <c r="AX84" i="1"/>
  <c r="AX80" i="1"/>
  <c r="AX89" i="1"/>
  <c r="AU60" i="1"/>
  <c r="AX82" i="1"/>
  <c r="AX88" i="1"/>
  <c r="AP60" i="1"/>
  <c r="AX73" i="1"/>
  <c r="AX90" i="1"/>
  <c r="AK60" i="1"/>
  <c r="AX92" i="1"/>
  <c r="AM60" i="1"/>
  <c r="AO60" i="1"/>
  <c r="AX96" i="1"/>
  <c r="AI60" i="1"/>
  <c r="AT60" i="1"/>
  <c r="AX95" i="1"/>
  <c r="AX62" i="1"/>
  <c r="AX63" i="1"/>
  <c r="AX64" i="1"/>
  <c r="AX65" i="1"/>
  <c r="AX66" i="1"/>
  <c r="AX67" i="1"/>
  <c r="AX68" i="1"/>
  <c r="AX69" i="1"/>
  <c r="AX70" i="1"/>
  <c r="AX71" i="1"/>
  <c r="AX72" i="1"/>
  <c r="AF59" i="1" l="1"/>
  <c r="AY54" i="1"/>
  <c r="AY91" i="1"/>
  <c r="AP59" i="1"/>
  <c r="AN59" i="1"/>
  <c r="AY81" i="1"/>
  <c r="AY90" i="1"/>
  <c r="AY78" i="1"/>
  <c r="AV59" i="1"/>
  <c r="AY89" i="1"/>
  <c r="AK59" i="1"/>
  <c r="AY85" i="1"/>
  <c r="AY60" i="1"/>
  <c r="AX59" i="1"/>
  <c r="AY77" i="1"/>
  <c r="AY84" i="1"/>
  <c r="AY93" i="1"/>
  <c r="AS59" i="1"/>
  <c r="AY86" i="1"/>
  <c r="AO59" i="1"/>
  <c r="AY92" i="1"/>
  <c r="AI59" i="1"/>
  <c r="AY94" i="1"/>
  <c r="AL59" i="1"/>
  <c r="AW59" i="1"/>
  <c r="AJ59" i="1"/>
  <c r="AQ59" i="1"/>
  <c r="AT59" i="1"/>
  <c r="AY73" i="1"/>
  <c r="AY79" i="1"/>
  <c r="AY80" i="1"/>
  <c r="AY87" i="1"/>
  <c r="AY88" i="1"/>
  <c r="AY75" i="1"/>
  <c r="AY83" i="1"/>
  <c r="AY76" i="1"/>
  <c r="AR59" i="1"/>
  <c r="AY59" i="1"/>
  <c r="AY74" i="1"/>
  <c r="AM59" i="1"/>
  <c r="AY95" i="1"/>
  <c r="AY96" i="1"/>
  <c r="AU59" i="1"/>
  <c r="AY82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Z54" i="1" l="1"/>
  <c r="AF58" i="1"/>
  <c r="AZ59" i="1"/>
  <c r="AZ60" i="1"/>
  <c r="AZ61" i="1"/>
  <c r="AZ83" i="1"/>
  <c r="AS58" i="1"/>
  <c r="AZ81" i="1"/>
  <c r="AZ90" i="1"/>
  <c r="AV58" i="1"/>
  <c r="AZ78" i="1"/>
  <c r="AZ91" i="1"/>
  <c r="AZ89" i="1"/>
  <c r="AZ77" i="1"/>
  <c r="AJ58" i="1"/>
  <c r="AZ58" i="1"/>
  <c r="AI58" i="1"/>
  <c r="AL58" i="1"/>
  <c r="AT58" i="1"/>
  <c r="AZ84" i="1"/>
  <c r="AO58" i="1"/>
  <c r="AR58" i="1"/>
  <c r="AZ82" i="1"/>
  <c r="AZ80" i="1"/>
  <c r="AM58" i="1"/>
  <c r="AZ73" i="1"/>
  <c r="AZ92" i="1"/>
  <c r="AW58" i="1"/>
  <c r="AZ88" i="1"/>
  <c r="AU58" i="1"/>
  <c r="AZ74" i="1"/>
  <c r="AZ79" i="1"/>
  <c r="AP58" i="1"/>
  <c r="AN58" i="1"/>
  <c r="AY58" i="1"/>
  <c r="AZ96" i="1"/>
  <c r="AZ85" i="1"/>
  <c r="AZ75" i="1"/>
  <c r="AZ87" i="1"/>
  <c r="AX58" i="1"/>
  <c r="AK58" i="1"/>
  <c r="AZ86" i="1"/>
  <c r="AZ93" i="1"/>
  <c r="AZ76" i="1"/>
  <c r="AZ95" i="1"/>
  <c r="AQ58" i="1"/>
  <c r="AZ94" i="1"/>
  <c r="AZ62" i="1"/>
  <c r="AZ63" i="1"/>
  <c r="AZ64" i="1"/>
  <c r="AZ65" i="1"/>
  <c r="AZ66" i="1"/>
  <c r="AZ67" i="1"/>
  <c r="AZ68" i="1"/>
  <c r="AZ69" i="1"/>
  <c r="AZ70" i="1"/>
  <c r="AZ71" i="1"/>
  <c r="AZ72" i="1"/>
  <c r="AF57" i="1" l="1"/>
  <c r="BA54" i="1"/>
  <c r="BA82" i="1"/>
  <c r="BA94" i="1"/>
  <c r="BA87" i="1"/>
  <c r="BA96" i="1"/>
  <c r="BA58" i="1"/>
  <c r="BA59" i="1"/>
  <c r="BA60" i="1"/>
  <c r="BA90" i="1"/>
  <c r="BA81" i="1"/>
  <c r="BA95" i="1"/>
  <c r="BA83" i="1"/>
  <c r="BA77" i="1"/>
  <c r="BA73" i="1"/>
  <c r="BA89" i="1"/>
  <c r="BA85" i="1"/>
  <c r="BA74" i="1"/>
  <c r="BA93" i="1"/>
  <c r="BA75" i="1"/>
  <c r="BA84" i="1"/>
  <c r="BA91" i="1"/>
  <c r="BA80" i="1"/>
  <c r="BA76" i="1"/>
  <c r="BA92" i="1"/>
  <c r="BA79" i="1"/>
  <c r="BA88" i="1"/>
  <c r="BA78" i="1"/>
  <c r="BA86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B54" i="1" l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G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C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G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C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G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C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G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C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G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C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G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C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G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C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G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C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G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C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G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C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G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C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G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C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G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C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G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C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G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C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G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C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G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C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G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C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G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C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G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C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G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C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G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C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G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C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G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C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G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C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G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C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G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C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G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C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G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C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G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C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G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C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G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C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G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C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G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C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G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C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G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C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G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C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G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C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G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C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BL99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</calcChain>
</file>

<file path=xl/comments1.xml><?xml version="1.0" encoding="utf-8"?>
<comments xmlns="http://schemas.openxmlformats.org/spreadsheetml/2006/main">
  <authors>
    <author>Windows XP</author>
  </authors>
  <commentList>
    <comment ref="A2" authorId="0" shapeId="0">
      <text>
        <r>
          <rPr>
            <b/>
            <sz val="8"/>
            <color indexed="81"/>
            <rFont val="Tahoma"/>
            <family val="2"/>
          </rPr>
          <t>módulo de elasticidad</t>
        </r>
      </text>
    </comment>
    <comment ref="A3" authorId="0" shapeId="0">
      <text>
        <r>
          <rPr>
            <b/>
            <sz val="8"/>
            <color indexed="81"/>
            <rFont val="Tahoma"/>
            <family val="2"/>
          </rPr>
          <t>coeficiente de Poisson</t>
        </r>
      </text>
    </comment>
    <comment ref="A4" authorId="0" shapeId="0">
      <text>
        <r>
          <rPr>
            <b/>
            <sz val="8"/>
            <color indexed="81"/>
            <rFont val="Tahoma"/>
            <family val="2"/>
          </rPr>
          <t>rigidez a la flexión de la placa</t>
        </r>
      </text>
    </comment>
    <comment ref="A7" authorId="0" shapeId="0">
      <text>
        <r>
          <rPr>
            <b/>
            <sz val="8"/>
            <color indexed="81"/>
            <rFont val="Tahoma"/>
            <family val="2"/>
          </rPr>
          <t>espesor</t>
        </r>
      </text>
    </comment>
    <comment ref="A8" authorId="0" shapeId="0">
      <text>
        <r>
          <rPr>
            <b/>
            <sz val="8"/>
            <color indexed="81"/>
            <rFont val="Tahoma"/>
            <family val="2"/>
          </rPr>
          <t>a,b son el ancho en la dirección x y en la dirección y de la placa</t>
        </r>
      </text>
    </comment>
    <comment ref="A13" authorId="0" shapeId="0">
      <text>
        <r>
          <rPr>
            <b/>
            <sz val="8"/>
            <color indexed="81"/>
            <rFont val="Tahoma"/>
            <family val="2"/>
          </rPr>
          <t>u,v son el ancho en la dirección x y en la dirección y de la carga distribuída</t>
        </r>
      </text>
    </comment>
    <comment ref="A15" authorId="0" shapeId="0">
      <text>
        <r>
          <rPr>
            <b/>
            <sz val="8"/>
            <color indexed="81"/>
            <rFont val="Tahoma"/>
            <family val="2"/>
          </rPr>
          <t>(xi,eta) representa el centro de la carga distribuída</t>
        </r>
      </text>
    </comment>
  </commentList>
</comments>
</file>

<file path=xl/sharedStrings.xml><?xml version="1.0" encoding="utf-8"?>
<sst xmlns="http://schemas.openxmlformats.org/spreadsheetml/2006/main" count="71" uniqueCount="50">
  <si>
    <t>Material</t>
  </si>
  <si>
    <t>E =</t>
  </si>
  <si>
    <t xml:space="preserve">D = </t>
  </si>
  <si>
    <t xml:space="preserve">Losa = </t>
  </si>
  <si>
    <t>a  =</t>
  </si>
  <si>
    <t xml:space="preserve">b = </t>
  </si>
  <si>
    <t xml:space="preserve">u = </t>
  </si>
  <si>
    <t xml:space="preserve">v = </t>
  </si>
  <si>
    <t>xi =</t>
  </si>
  <si>
    <t>eta =</t>
  </si>
  <si>
    <t>Carga</t>
  </si>
  <si>
    <t>nu =</t>
  </si>
  <si>
    <t>t =</t>
  </si>
  <si>
    <t>p =</t>
  </si>
  <si>
    <t>m</t>
  </si>
  <si>
    <t xml:space="preserve">delta = </t>
  </si>
  <si>
    <t>Eje y</t>
  </si>
  <si>
    <t>Eje X</t>
  </si>
  <si>
    <t>Momento Mx</t>
  </si>
  <si>
    <t>Momento My</t>
  </si>
  <si>
    <t>Momento Mxy</t>
  </si>
  <si>
    <t>Deformación vertical w calculada por diferencias finitas</t>
  </si>
  <si>
    <t>Deformación vertical w calculada teóricamente</t>
  </si>
  <si>
    <t>Error de la aproximación por diferencias finitas</t>
  </si>
  <si>
    <t>Figura 2: lado de una placa simplemente apoyado</t>
  </si>
  <si>
    <t>La región rosada representa una carga distribuída de magnitud p</t>
  </si>
  <si>
    <t>Figura 1: losa rectangular considerada</t>
  </si>
  <si>
    <t>Pa</t>
  </si>
  <si>
    <t>Se pide determinar</t>
  </si>
  <si>
    <t>a) solución por medio de diferecias finitas</t>
  </si>
  <si>
    <t>b) compararlo con la solución teórica</t>
  </si>
  <si>
    <t>c) Calcular los momentos Mx, My, Mxy</t>
  </si>
  <si>
    <t>d) Calcular las fuerzas cortantes Qx, Qy</t>
  </si>
  <si>
    <t>N/m^2</t>
  </si>
  <si>
    <r>
      <t xml:space="preserve">Para ver el código de la función </t>
    </r>
    <r>
      <rPr>
        <b/>
        <sz val="14"/>
        <color rgb="FFFF0000"/>
        <rFont val="Calibri"/>
        <family val="2"/>
      </rPr>
      <t>=CALCW()</t>
    </r>
    <r>
      <rPr>
        <sz val="14"/>
        <color theme="1"/>
        <rFont val="Calibri"/>
        <family val="2"/>
      </rPr>
      <t xml:space="preserve"> oprima </t>
    </r>
    <r>
      <rPr>
        <b/>
        <sz val="14"/>
        <color rgb="FFFF0000"/>
        <rFont val="Calibri"/>
        <family val="2"/>
      </rPr>
      <t>ALT+F11</t>
    </r>
  </si>
  <si>
    <t>Para hacer las iteraciones</t>
  </si>
  <si>
    <t>más rápido en vez de utilizar</t>
  </si>
  <si>
    <t>el botón F9 utilice el botón</t>
  </si>
  <si>
    <t>Hacer iteraciones:</t>
  </si>
  <si>
    <t>La deformación en la losa está dada por:</t>
  </si>
  <si>
    <t>El código de dicho botón se puede ver</t>
  </si>
  <si>
    <r>
      <t xml:space="preserve">presionando </t>
    </r>
    <r>
      <rPr>
        <b/>
        <sz val="11"/>
        <color rgb="FFFF0000"/>
        <rFont val="Calibri"/>
        <family val="2"/>
      </rPr>
      <t>Alt+F11</t>
    </r>
  </si>
  <si>
    <t>Considere una losa como la mostrada en la Figura 1. Dicha losa se encuentra simplemente apoyada en todos sus lados (ver Figura 2).</t>
  </si>
  <si>
    <r>
      <t>Se programó en MS EXCEL utilizando</t>
    </r>
    <r>
      <rPr>
        <sz val="14"/>
        <color rgb="FFFF0000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>VBA for Applications</t>
    </r>
    <r>
      <rPr>
        <b/>
        <sz val="14"/>
        <color theme="1"/>
        <rFont val="Calibri"/>
        <family val="2"/>
      </rPr>
      <t xml:space="preserve"> </t>
    </r>
    <r>
      <rPr>
        <sz val="14"/>
        <color theme="1"/>
        <rFont val="Calibri"/>
        <family val="2"/>
      </rPr>
      <t>la ecuación anterior &gt;&gt; ver la función</t>
    </r>
    <r>
      <rPr>
        <b/>
        <sz val="14"/>
        <color theme="1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>=CALCW()</t>
    </r>
  </si>
  <si>
    <t>e) Graficar en MATLAB w, Mx, My, Mxy, Qx, Qy (sino se dispone de MATLAB enviar el código respectivo)</t>
  </si>
  <si>
    <t>Fuerza cortante Qx</t>
  </si>
  <si>
    <t>Fuerza cortante Qy</t>
  </si>
  <si>
    <t>Laplaciano de w</t>
  </si>
  <si>
    <t>p = Carga (N/m^2)</t>
  </si>
  <si>
    <t>Error máximo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</si>
</sst>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%"/>
    <numFmt numFmtId="166" formatCode="0.E+00"/>
  </numFmts>
  <fonts count="9" x14ac:knownFonts="1"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4"/>
      <color rgb="FFFF0000"/>
      <name val="Calibri"/>
      <family val="2"/>
    </font>
    <font>
      <sz val="14"/>
      <color rgb="FFFF0000"/>
      <name val="Calibri"/>
      <family val="2"/>
    </font>
    <font>
      <b/>
      <sz val="8"/>
      <color indexed="81"/>
      <name val="Tahoma"/>
      <family val="2"/>
    </font>
    <font>
      <b/>
      <sz val="11"/>
      <color rgb="FFFF0000"/>
      <name val="Calibri"/>
      <family val="2"/>
    </font>
    <font>
      <b/>
      <sz val="16"/>
      <color rgb="FF000000"/>
      <name val="Calibri"/>
      <family val="2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164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2" fillId="0" borderId="0" xfId="0" applyFont="1"/>
    <xf numFmtId="11" fontId="0" fillId="0" borderId="0" xfId="0" applyNumberFormat="1"/>
    <xf numFmtId="0" fontId="0" fillId="4" borderId="0" xfId="0" applyFill="1" applyAlignment="1">
      <alignment shrinkToFit="1"/>
    </xf>
    <xf numFmtId="0" fontId="0" fillId="3" borderId="0" xfId="0" applyFill="1" applyAlignment="1">
      <alignment shrinkToFit="1"/>
    </xf>
    <xf numFmtId="0" fontId="0" fillId="6" borderId="0" xfId="0" applyFill="1" applyAlignment="1">
      <alignment shrinkToFit="1"/>
    </xf>
    <xf numFmtId="0" fontId="0" fillId="7" borderId="0" xfId="0" applyFill="1"/>
    <xf numFmtId="11" fontId="0" fillId="5" borderId="0" xfId="0" applyNumberFormat="1" applyFill="1" applyAlignment="1">
      <alignment shrinkToFit="1"/>
    </xf>
    <xf numFmtId="166" fontId="0" fillId="4" borderId="0" xfId="0" applyNumberFormat="1" applyFill="1" applyAlignment="1">
      <alignment shrinkToFit="1"/>
    </xf>
    <xf numFmtId="166" fontId="0" fillId="6" borderId="0" xfId="0" applyNumberFormat="1" applyFill="1" applyAlignment="1">
      <alignment shrinkToFit="1"/>
    </xf>
    <xf numFmtId="1" fontId="0" fillId="3" borderId="0" xfId="0" applyNumberFormat="1" applyFill="1" applyAlignment="1">
      <alignment shrinkToFit="1"/>
    </xf>
    <xf numFmtId="165" fontId="0" fillId="0" borderId="0" xfId="1" applyNumberFormat="1" applyFont="1"/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16109</xdr:colOff>
      <xdr:row>5</xdr:row>
      <xdr:rowOff>9525</xdr:rowOff>
    </xdr:from>
    <xdr:to>
      <xdr:col>43</xdr:col>
      <xdr:colOff>57150</xdr:colOff>
      <xdr:row>23</xdr:row>
      <xdr:rowOff>9525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086"/>
        <a:stretch>
          <a:fillRect/>
        </a:stretch>
      </xdr:blipFill>
      <xdr:spPr bwMode="auto">
        <a:xfrm>
          <a:off x="14036909" y="1057275"/>
          <a:ext cx="5070241" cy="3590925"/>
        </a:xfrm>
        <a:prstGeom prst="rect">
          <a:avLst/>
        </a:prstGeom>
        <a:noFill/>
      </xdr:spPr>
    </xdr:pic>
    <xdr:clientData/>
  </xdr:twoCellAnchor>
  <xdr:twoCellAnchor editAs="oneCell">
    <xdr:from>
      <xdr:col>45</xdr:col>
      <xdr:colOff>9526</xdr:colOff>
      <xdr:row>5</xdr:row>
      <xdr:rowOff>9525</xdr:rowOff>
    </xdr:from>
    <xdr:to>
      <xdr:col>55</xdr:col>
      <xdr:colOff>219076</xdr:colOff>
      <xdr:row>13</xdr:row>
      <xdr:rowOff>53135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0316826" y="1104900"/>
          <a:ext cx="4400550" cy="1729535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9526</xdr:colOff>
      <xdr:row>26</xdr:row>
      <xdr:rowOff>38101</xdr:rowOff>
    </xdr:from>
    <xdr:to>
      <xdr:col>44</xdr:col>
      <xdr:colOff>390525</xdr:colOff>
      <xdr:row>36</xdr:row>
      <xdr:rowOff>187873</xdr:rowOff>
    </xdr:to>
    <xdr:pic>
      <xdr:nvPicPr>
        <xdr:cNvPr id="1040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4058901" y="5343526"/>
          <a:ext cx="5829299" cy="2054772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Hacer iteraciones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B398"/>
  <sheetViews>
    <sheetView tabSelected="1" zoomScaleNormal="100" workbookViewId="0">
      <pane xSplit="4695" activePane="topRight"/>
      <selection activeCell="A295" sqref="A295"/>
      <selection pane="topRight"/>
    </sheetView>
  </sheetViews>
  <sheetFormatPr baseColWidth="10" defaultRowHeight="15" x14ac:dyDescent="0.25"/>
  <cols>
    <col min="2" max="2" width="11.85546875" bestFit="1" customWidth="1"/>
    <col min="4" max="55" width="6.28515625" customWidth="1"/>
    <col min="58" max="80" width="6.28515625" customWidth="1"/>
  </cols>
  <sheetData>
    <row r="1" spans="1:46" ht="18.75" x14ac:dyDescent="0.3">
      <c r="A1" s="1" t="s">
        <v>0</v>
      </c>
      <c r="AF1" s="6" t="s">
        <v>42</v>
      </c>
    </row>
    <row r="2" spans="1:46" ht="18.75" x14ac:dyDescent="0.3">
      <c r="A2" t="s">
        <v>1</v>
      </c>
      <c r="B2" s="7">
        <v>210000000000</v>
      </c>
      <c r="C2" t="s">
        <v>27</v>
      </c>
      <c r="E2" s="1" t="s">
        <v>48</v>
      </c>
      <c r="AF2" s="6" t="s">
        <v>25</v>
      </c>
    </row>
    <row r="3" spans="1:46" x14ac:dyDescent="0.25">
      <c r="A3" t="s">
        <v>11</v>
      </c>
      <c r="B3">
        <v>0.3</v>
      </c>
      <c r="H3" s="18" t="s">
        <v>17</v>
      </c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46" ht="18.75" x14ac:dyDescent="0.3">
      <c r="A4" t="s">
        <v>2</v>
      </c>
      <c r="B4">
        <f xml:space="preserve"> (E*t^3)/(12*(1-nu^2))</f>
        <v>2403846.1538461545</v>
      </c>
      <c r="H4" s="2">
        <v>0</v>
      </c>
      <c r="I4" s="2">
        <f t="shared" ref="I4:AB4" si="0">+H4+delta</f>
        <v>0.1</v>
      </c>
      <c r="J4" s="2">
        <f t="shared" si="0"/>
        <v>0.2</v>
      </c>
      <c r="K4" s="2">
        <f t="shared" si="0"/>
        <v>0.30000000000000004</v>
      </c>
      <c r="L4" s="2">
        <f t="shared" si="0"/>
        <v>0.4</v>
      </c>
      <c r="M4" s="2">
        <f t="shared" si="0"/>
        <v>0.5</v>
      </c>
      <c r="N4" s="2">
        <f t="shared" si="0"/>
        <v>0.6</v>
      </c>
      <c r="O4" s="2">
        <f t="shared" si="0"/>
        <v>0.7</v>
      </c>
      <c r="P4" s="2">
        <f t="shared" si="0"/>
        <v>0.79999999999999993</v>
      </c>
      <c r="Q4" s="2">
        <f t="shared" si="0"/>
        <v>0.89999999999999991</v>
      </c>
      <c r="R4" s="2">
        <f t="shared" si="0"/>
        <v>0.99999999999999989</v>
      </c>
      <c r="S4" s="2">
        <f t="shared" si="0"/>
        <v>1.0999999999999999</v>
      </c>
      <c r="T4" s="2">
        <f t="shared" si="0"/>
        <v>1.2</v>
      </c>
      <c r="U4" s="2">
        <f t="shared" si="0"/>
        <v>1.3</v>
      </c>
      <c r="V4" s="2">
        <f t="shared" si="0"/>
        <v>1.4000000000000001</v>
      </c>
      <c r="W4" s="2">
        <f t="shared" si="0"/>
        <v>1.5000000000000002</v>
      </c>
      <c r="X4" s="2">
        <f t="shared" si="0"/>
        <v>1.6000000000000003</v>
      </c>
      <c r="Y4" s="2">
        <f t="shared" si="0"/>
        <v>1.7000000000000004</v>
      </c>
      <c r="Z4" s="2">
        <f t="shared" si="0"/>
        <v>1.8000000000000005</v>
      </c>
      <c r="AA4" s="2">
        <f t="shared" si="0"/>
        <v>1.9000000000000006</v>
      </c>
      <c r="AB4" s="2">
        <f t="shared" si="0"/>
        <v>2.0000000000000004</v>
      </c>
      <c r="AF4" s="6" t="s">
        <v>26</v>
      </c>
      <c r="AT4" s="6" t="s">
        <v>24</v>
      </c>
    </row>
    <row r="5" spans="1:46" ht="15" customHeight="1" x14ac:dyDescent="0.25"/>
    <row r="6" spans="1:46" ht="18.75" x14ac:dyDescent="0.3">
      <c r="A6" s="1" t="s">
        <v>3</v>
      </c>
    </row>
    <row r="7" spans="1:46" ht="20.25" customHeight="1" x14ac:dyDescent="0.25">
      <c r="A7" t="s">
        <v>12</v>
      </c>
      <c r="B7">
        <v>0.05</v>
      </c>
      <c r="C7" t="s">
        <v>14</v>
      </c>
      <c r="D7" s="17" t="s">
        <v>16</v>
      </c>
      <c r="E7" s="2">
        <f t="shared" ref="E7:E46" si="1">E8+delta</f>
        <v>4.0000000000000018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</row>
    <row r="8" spans="1:46" x14ac:dyDescent="0.25">
      <c r="A8" t="s">
        <v>4</v>
      </c>
      <c r="B8">
        <v>2</v>
      </c>
      <c r="C8" t="s">
        <v>14</v>
      </c>
      <c r="D8" s="17"/>
      <c r="E8" s="2">
        <f t="shared" si="1"/>
        <v>3.9000000000000021</v>
      </c>
      <c r="H8" s="9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9">
        <v>0</v>
      </c>
    </row>
    <row r="9" spans="1:46" x14ac:dyDescent="0.25">
      <c r="A9" t="s">
        <v>5</v>
      </c>
      <c r="B9">
        <v>4</v>
      </c>
      <c r="C9" t="s">
        <v>14</v>
      </c>
      <c r="D9" s="17"/>
      <c r="E9" s="2">
        <f t="shared" si="1"/>
        <v>3.800000000000002</v>
      </c>
      <c r="H9" s="9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9">
        <v>0</v>
      </c>
    </row>
    <row r="10" spans="1:46" x14ac:dyDescent="0.25">
      <c r="D10" s="17"/>
      <c r="E10" s="2">
        <f t="shared" si="1"/>
        <v>3.700000000000002</v>
      </c>
      <c r="H10" s="9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9">
        <v>0</v>
      </c>
    </row>
    <row r="11" spans="1:46" ht="18.75" x14ac:dyDescent="0.3">
      <c r="A11" s="1" t="s">
        <v>10</v>
      </c>
      <c r="D11" s="17"/>
      <c r="E11" s="2">
        <f t="shared" si="1"/>
        <v>3.6000000000000019</v>
      </c>
      <c r="H11" s="9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9">
        <v>0</v>
      </c>
    </row>
    <row r="12" spans="1:46" x14ac:dyDescent="0.25">
      <c r="A12" t="s">
        <v>13</v>
      </c>
      <c r="B12">
        <v>-10000</v>
      </c>
      <c r="C12" t="s">
        <v>33</v>
      </c>
      <c r="D12" s="17"/>
      <c r="E12" s="2">
        <f t="shared" si="1"/>
        <v>3.5000000000000018</v>
      </c>
      <c r="H12" s="9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9">
        <v>0</v>
      </c>
    </row>
    <row r="13" spans="1:46" x14ac:dyDescent="0.25">
      <c r="A13" t="s">
        <v>6</v>
      </c>
      <c r="B13">
        <v>0.5</v>
      </c>
      <c r="C13" t="s">
        <v>14</v>
      </c>
      <c r="D13" s="17"/>
      <c r="E13" s="2">
        <f t="shared" si="1"/>
        <v>3.4000000000000017</v>
      </c>
      <c r="H13" s="9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9">
        <v>0</v>
      </c>
    </row>
    <row r="14" spans="1:46" x14ac:dyDescent="0.25">
      <c r="A14" t="s">
        <v>7</v>
      </c>
      <c r="B14">
        <v>1</v>
      </c>
      <c r="C14" t="s">
        <v>14</v>
      </c>
      <c r="D14" s="17"/>
      <c r="E14" s="2">
        <f t="shared" si="1"/>
        <v>3.3000000000000016</v>
      </c>
      <c r="H14" s="9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9">
        <v>0</v>
      </c>
    </row>
    <row r="15" spans="1:46" x14ac:dyDescent="0.25">
      <c r="A15" t="s">
        <v>8</v>
      </c>
      <c r="B15">
        <v>1.25</v>
      </c>
      <c r="C15" t="s">
        <v>14</v>
      </c>
      <c r="D15" s="17"/>
      <c r="E15" s="2">
        <f t="shared" si="1"/>
        <v>3.2000000000000015</v>
      </c>
      <c r="H15" s="9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9">
        <v>0</v>
      </c>
    </row>
    <row r="16" spans="1:46" x14ac:dyDescent="0.25">
      <c r="A16" t="s">
        <v>9</v>
      </c>
      <c r="B16">
        <v>1.5</v>
      </c>
      <c r="C16" t="s">
        <v>14</v>
      </c>
      <c r="D16" s="17"/>
      <c r="E16" s="2">
        <f t="shared" si="1"/>
        <v>3.1000000000000014</v>
      </c>
      <c r="H16" s="9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9">
        <v>0</v>
      </c>
    </row>
    <row r="17" spans="1:32" x14ac:dyDescent="0.25">
      <c r="D17" s="17"/>
      <c r="E17" s="2">
        <f t="shared" si="1"/>
        <v>3.0000000000000013</v>
      </c>
      <c r="H17" s="9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9">
        <v>0</v>
      </c>
    </row>
    <row r="18" spans="1:32" x14ac:dyDescent="0.25">
      <c r="A18" t="s">
        <v>15</v>
      </c>
      <c r="B18">
        <v>0.1</v>
      </c>
      <c r="C18" t="s">
        <v>14</v>
      </c>
      <c r="D18" s="17"/>
      <c r="E18" s="2">
        <f t="shared" si="1"/>
        <v>2.9000000000000012</v>
      </c>
      <c r="H18" s="9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9">
        <v>0</v>
      </c>
    </row>
    <row r="19" spans="1:32" x14ac:dyDescent="0.25">
      <c r="D19" s="17"/>
      <c r="E19" s="2">
        <f t="shared" si="1"/>
        <v>2.8000000000000012</v>
      </c>
      <c r="H19" s="9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9">
        <v>0</v>
      </c>
    </row>
    <row r="20" spans="1:32" x14ac:dyDescent="0.25">
      <c r="D20" s="17"/>
      <c r="E20" s="2">
        <f t="shared" si="1"/>
        <v>2.7000000000000011</v>
      </c>
      <c r="H20" s="9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9">
        <v>0</v>
      </c>
    </row>
    <row r="21" spans="1:32" x14ac:dyDescent="0.25">
      <c r="A21" t="s">
        <v>35</v>
      </c>
      <c r="D21" s="17"/>
      <c r="E21" s="2">
        <f t="shared" si="1"/>
        <v>2.600000000000001</v>
      </c>
      <c r="H21" s="9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9">
        <v>0</v>
      </c>
    </row>
    <row r="22" spans="1:32" x14ac:dyDescent="0.25">
      <c r="A22" t="s">
        <v>36</v>
      </c>
      <c r="D22" s="17"/>
      <c r="E22" s="2">
        <f t="shared" si="1"/>
        <v>2.5000000000000009</v>
      </c>
      <c r="H22" s="9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9">
        <v>0</v>
      </c>
    </row>
    <row r="23" spans="1:32" x14ac:dyDescent="0.25">
      <c r="A23" t="s">
        <v>37</v>
      </c>
      <c r="D23" s="17"/>
      <c r="E23" s="2">
        <f t="shared" si="1"/>
        <v>2.4000000000000008</v>
      </c>
      <c r="H23" s="9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9">
        <v>0</v>
      </c>
    </row>
    <row r="24" spans="1:32" x14ac:dyDescent="0.25">
      <c r="A24" t="s">
        <v>38</v>
      </c>
      <c r="D24" s="17"/>
      <c r="E24" s="2">
        <f t="shared" si="1"/>
        <v>2.3000000000000007</v>
      </c>
      <c r="H24" s="9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9">
        <v>0</v>
      </c>
    </row>
    <row r="25" spans="1:32" x14ac:dyDescent="0.25">
      <c r="D25" s="17"/>
      <c r="E25" s="2">
        <f t="shared" si="1"/>
        <v>2.2000000000000006</v>
      </c>
      <c r="H25" s="9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9">
        <v>0</v>
      </c>
    </row>
    <row r="26" spans="1:32" ht="18.75" x14ac:dyDescent="0.3">
      <c r="D26" s="17"/>
      <c r="E26" s="2">
        <f t="shared" si="1"/>
        <v>2.1000000000000005</v>
      </c>
      <c r="H26" s="9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9">
        <v>0</v>
      </c>
      <c r="AF26" s="6" t="s">
        <v>39</v>
      </c>
    </row>
    <row r="27" spans="1:32" x14ac:dyDescent="0.25">
      <c r="D27" s="17"/>
      <c r="E27" s="2">
        <f t="shared" si="1"/>
        <v>2.0000000000000004</v>
      </c>
      <c r="H27" s="9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10">
        <f>p/4</f>
        <v>-2500</v>
      </c>
      <c r="S27" s="10">
        <f>p/2</f>
        <v>-5000</v>
      </c>
      <c r="T27" s="10">
        <f>p/2</f>
        <v>-5000</v>
      </c>
      <c r="U27" s="10">
        <f>p/2</f>
        <v>-5000</v>
      </c>
      <c r="V27" s="10">
        <f>p/2</f>
        <v>-5000</v>
      </c>
      <c r="W27" s="10">
        <f>p/4</f>
        <v>-2500</v>
      </c>
      <c r="X27" s="8">
        <v>0</v>
      </c>
      <c r="Y27" s="8">
        <v>0</v>
      </c>
      <c r="Z27" s="8">
        <v>0</v>
      </c>
      <c r="AA27" s="8">
        <v>0</v>
      </c>
      <c r="AB27" s="9">
        <v>0</v>
      </c>
    </row>
    <row r="28" spans="1:32" x14ac:dyDescent="0.25">
      <c r="D28" s="17"/>
      <c r="E28" s="2">
        <f t="shared" si="1"/>
        <v>1.9000000000000006</v>
      </c>
      <c r="H28" s="9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10">
        <f t="shared" ref="R28:R36" si="2">p/2</f>
        <v>-5000</v>
      </c>
      <c r="S28" s="10">
        <f t="shared" ref="S28:V36" si="3">p</f>
        <v>-10000</v>
      </c>
      <c r="T28" s="10">
        <f t="shared" si="3"/>
        <v>-10000</v>
      </c>
      <c r="U28" s="10">
        <f t="shared" si="3"/>
        <v>-10000</v>
      </c>
      <c r="V28" s="10">
        <f t="shared" si="3"/>
        <v>-10000</v>
      </c>
      <c r="W28" s="10">
        <f t="shared" ref="W28:W36" si="4">p/2</f>
        <v>-5000</v>
      </c>
      <c r="X28" s="8">
        <v>0</v>
      </c>
      <c r="Y28" s="8">
        <v>0</v>
      </c>
      <c r="Z28" s="8">
        <v>0</v>
      </c>
      <c r="AA28" s="8">
        <v>0</v>
      </c>
      <c r="AB28" s="9">
        <v>0</v>
      </c>
    </row>
    <row r="29" spans="1:32" x14ac:dyDescent="0.25">
      <c r="D29" s="17"/>
      <c r="E29" s="2">
        <f t="shared" si="1"/>
        <v>1.8000000000000005</v>
      </c>
      <c r="H29" s="9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10">
        <f t="shared" si="2"/>
        <v>-5000</v>
      </c>
      <c r="S29" s="10">
        <f t="shared" si="3"/>
        <v>-10000</v>
      </c>
      <c r="T29" s="10">
        <f t="shared" si="3"/>
        <v>-10000</v>
      </c>
      <c r="U29" s="10">
        <f t="shared" si="3"/>
        <v>-10000</v>
      </c>
      <c r="V29" s="10">
        <f t="shared" si="3"/>
        <v>-10000</v>
      </c>
      <c r="W29" s="10">
        <f t="shared" si="4"/>
        <v>-5000</v>
      </c>
      <c r="X29" s="8">
        <v>0</v>
      </c>
      <c r="Y29" s="8">
        <v>0</v>
      </c>
      <c r="Z29" s="8">
        <v>0</v>
      </c>
      <c r="AA29" s="8">
        <v>0</v>
      </c>
      <c r="AB29" s="9">
        <v>0</v>
      </c>
    </row>
    <row r="30" spans="1:32" x14ac:dyDescent="0.25">
      <c r="A30" t="s">
        <v>40</v>
      </c>
      <c r="D30" s="17"/>
      <c r="E30" s="2">
        <f t="shared" si="1"/>
        <v>1.7000000000000004</v>
      </c>
      <c r="H30" s="9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10">
        <f t="shared" si="2"/>
        <v>-5000</v>
      </c>
      <c r="S30" s="10">
        <f t="shared" si="3"/>
        <v>-10000</v>
      </c>
      <c r="T30" s="10">
        <f t="shared" si="3"/>
        <v>-10000</v>
      </c>
      <c r="U30" s="10">
        <f t="shared" si="3"/>
        <v>-10000</v>
      </c>
      <c r="V30" s="10">
        <f t="shared" si="3"/>
        <v>-10000</v>
      </c>
      <c r="W30" s="10">
        <f t="shared" si="4"/>
        <v>-5000</v>
      </c>
      <c r="X30" s="8">
        <v>0</v>
      </c>
      <c r="Y30" s="8">
        <v>0</v>
      </c>
      <c r="Z30" s="8">
        <v>0</v>
      </c>
      <c r="AA30" s="8">
        <v>0</v>
      </c>
      <c r="AB30" s="9">
        <v>0</v>
      </c>
    </row>
    <row r="31" spans="1:32" x14ac:dyDescent="0.25">
      <c r="A31" t="s">
        <v>41</v>
      </c>
      <c r="D31" s="17"/>
      <c r="E31" s="2">
        <f t="shared" si="1"/>
        <v>1.6000000000000003</v>
      </c>
      <c r="H31" s="9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10">
        <f t="shared" si="2"/>
        <v>-5000</v>
      </c>
      <c r="S31" s="10">
        <f t="shared" si="3"/>
        <v>-10000</v>
      </c>
      <c r="T31" s="10">
        <f t="shared" si="3"/>
        <v>-10000</v>
      </c>
      <c r="U31" s="10">
        <f t="shared" si="3"/>
        <v>-10000</v>
      </c>
      <c r="V31" s="10">
        <f t="shared" si="3"/>
        <v>-10000</v>
      </c>
      <c r="W31" s="10">
        <f t="shared" si="4"/>
        <v>-5000</v>
      </c>
      <c r="X31" s="8">
        <v>0</v>
      </c>
      <c r="Y31" s="8">
        <v>0</v>
      </c>
      <c r="Z31" s="8">
        <v>0</v>
      </c>
      <c r="AA31" s="8">
        <v>0</v>
      </c>
      <c r="AB31" s="9">
        <v>0</v>
      </c>
    </row>
    <row r="32" spans="1:32" x14ac:dyDescent="0.25">
      <c r="D32" s="17"/>
      <c r="E32" s="2">
        <f t="shared" si="1"/>
        <v>1.5000000000000002</v>
      </c>
      <c r="H32" s="9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10">
        <f t="shared" si="2"/>
        <v>-5000</v>
      </c>
      <c r="S32" s="10">
        <f t="shared" si="3"/>
        <v>-10000</v>
      </c>
      <c r="T32" s="10">
        <f t="shared" si="3"/>
        <v>-10000</v>
      </c>
      <c r="U32" s="10">
        <f t="shared" si="3"/>
        <v>-10000</v>
      </c>
      <c r="V32" s="10">
        <f t="shared" si="3"/>
        <v>-10000</v>
      </c>
      <c r="W32" s="10">
        <f t="shared" si="4"/>
        <v>-5000</v>
      </c>
      <c r="X32" s="8">
        <v>0</v>
      </c>
      <c r="Y32" s="8">
        <v>0</v>
      </c>
      <c r="Z32" s="8">
        <v>0</v>
      </c>
      <c r="AA32" s="8">
        <v>0</v>
      </c>
      <c r="AB32" s="9">
        <v>0</v>
      </c>
    </row>
    <row r="33" spans="4:32" x14ac:dyDescent="0.25">
      <c r="D33" s="17"/>
      <c r="E33" s="2">
        <f t="shared" si="1"/>
        <v>1.4000000000000001</v>
      </c>
      <c r="H33" s="9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10">
        <f t="shared" si="2"/>
        <v>-5000</v>
      </c>
      <c r="S33" s="10">
        <f t="shared" si="3"/>
        <v>-10000</v>
      </c>
      <c r="T33" s="10">
        <f t="shared" si="3"/>
        <v>-10000</v>
      </c>
      <c r="U33" s="10">
        <f t="shared" si="3"/>
        <v>-10000</v>
      </c>
      <c r="V33" s="10">
        <f t="shared" si="3"/>
        <v>-10000</v>
      </c>
      <c r="W33" s="10">
        <f t="shared" si="4"/>
        <v>-5000</v>
      </c>
      <c r="X33" s="8">
        <v>0</v>
      </c>
      <c r="Y33" s="8">
        <v>0</v>
      </c>
      <c r="Z33" s="8">
        <v>0</v>
      </c>
      <c r="AA33" s="8">
        <v>0</v>
      </c>
      <c r="AB33" s="9">
        <v>0</v>
      </c>
    </row>
    <row r="34" spans="4:32" x14ac:dyDescent="0.25">
      <c r="D34" s="17"/>
      <c r="E34" s="2">
        <f t="shared" si="1"/>
        <v>1.3</v>
      </c>
      <c r="H34" s="9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10">
        <f t="shared" si="2"/>
        <v>-5000</v>
      </c>
      <c r="S34" s="10">
        <f t="shared" si="3"/>
        <v>-10000</v>
      </c>
      <c r="T34" s="10">
        <f t="shared" si="3"/>
        <v>-10000</v>
      </c>
      <c r="U34" s="10">
        <f t="shared" si="3"/>
        <v>-10000</v>
      </c>
      <c r="V34" s="10">
        <f t="shared" si="3"/>
        <v>-10000</v>
      </c>
      <c r="W34" s="10">
        <f t="shared" si="4"/>
        <v>-5000</v>
      </c>
      <c r="X34" s="8">
        <v>0</v>
      </c>
      <c r="Y34" s="8">
        <v>0</v>
      </c>
      <c r="Z34" s="8">
        <v>0</v>
      </c>
      <c r="AA34" s="8">
        <v>0</v>
      </c>
      <c r="AB34" s="9">
        <v>0</v>
      </c>
    </row>
    <row r="35" spans="4:32" x14ac:dyDescent="0.25">
      <c r="D35" s="17"/>
      <c r="E35" s="2">
        <f t="shared" si="1"/>
        <v>1.2</v>
      </c>
      <c r="H35" s="9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10">
        <f t="shared" si="2"/>
        <v>-5000</v>
      </c>
      <c r="S35" s="10">
        <f t="shared" si="3"/>
        <v>-10000</v>
      </c>
      <c r="T35" s="10">
        <f t="shared" si="3"/>
        <v>-10000</v>
      </c>
      <c r="U35" s="10">
        <f t="shared" si="3"/>
        <v>-10000</v>
      </c>
      <c r="V35" s="10">
        <f t="shared" si="3"/>
        <v>-10000</v>
      </c>
      <c r="W35" s="10">
        <f t="shared" si="4"/>
        <v>-5000</v>
      </c>
      <c r="X35" s="8">
        <v>0</v>
      </c>
      <c r="Y35" s="8">
        <v>0</v>
      </c>
      <c r="Z35" s="8">
        <v>0</v>
      </c>
      <c r="AA35" s="8">
        <v>0</v>
      </c>
      <c r="AB35" s="9">
        <v>0</v>
      </c>
    </row>
    <row r="36" spans="4:32" x14ac:dyDescent="0.25">
      <c r="D36" s="17"/>
      <c r="E36" s="2">
        <f t="shared" si="1"/>
        <v>1.0999999999999999</v>
      </c>
      <c r="H36" s="9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0</v>
      </c>
      <c r="R36" s="10">
        <f t="shared" si="2"/>
        <v>-5000</v>
      </c>
      <c r="S36" s="10">
        <f t="shared" si="3"/>
        <v>-10000</v>
      </c>
      <c r="T36" s="10">
        <f t="shared" si="3"/>
        <v>-10000</v>
      </c>
      <c r="U36" s="10">
        <f t="shared" si="3"/>
        <v>-10000</v>
      </c>
      <c r="V36" s="10">
        <f t="shared" si="3"/>
        <v>-10000</v>
      </c>
      <c r="W36" s="10">
        <f t="shared" si="4"/>
        <v>-5000</v>
      </c>
      <c r="X36" s="8">
        <v>0</v>
      </c>
      <c r="Y36" s="8">
        <v>0</v>
      </c>
      <c r="Z36" s="8">
        <v>0</v>
      </c>
      <c r="AA36" s="8">
        <v>0</v>
      </c>
      <c r="AB36" s="9">
        <v>0</v>
      </c>
    </row>
    <row r="37" spans="4:32" x14ac:dyDescent="0.25">
      <c r="D37" s="17"/>
      <c r="E37" s="2">
        <f t="shared" si="1"/>
        <v>0.99999999999999989</v>
      </c>
      <c r="H37" s="9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10">
        <f>p/4</f>
        <v>-2500</v>
      </c>
      <c r="S37" s="10">
        <f>p/2</f>
        <v>-5000</v>
      </c>
      <c r="T37" s="10">
        <f>p/2</f>
        <v>-5000</v>
      </c>
      <c r="U37" s="10">
        <f>p/2</f>
        <v>-5000</v>
      </c>
      <c r="V37" s="10">
        <f>p/2</f>
        <v>-5000</v>
      </c>
      <c r="W37" s="10">
        <f>p/4</f>
        <v>-2500</v>
      </c>
      <c r="X37" s="8">
        <v>0</v>
      </c>
      <c r="Y37" s="8">
        <v>0</v>
      </c>
      <c r="Z37" s="8">
        <v>0</v>
      </c>
      <c r="AA37" s="8">
        <v>0</v>
      </c>
      <c r="AB37" s="9">
        <v>0</v>
      </c>
    </row>
    <row r="38" spans="4:32" x14ac:dyDescent="0.25">
      <c r="D38" s="17"/>
      <c r="E38" s="2">
        <f t="shared" si="1"/>
        <v>0.89999999999999991</v>
      </c>
      <c r="H38" s="9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0</v>
      </c>
      <c r="T38" s="8">
        <v>0</v>
      </c>
      <c r="U38" s="8">
        <v>0</v>
      </c>
      <c r="V38" s="8">
        <v>0</v>
      </c>
      <c r="W38" s="8">
        <v>0</v>
      </c>
      <c r="X38" s="8">
        <v>0</v>
      </c>
      <c r="Y38" s="8">
        <v>0</v>
      </c>
      <c r="Z38" s="8">
        <v>0</v>
      </c>
      <c r="AA38" s="8">
        <v>0</v>
      </c>
      <c r="AB38" s="9">
        <v>0</v>
      </c>
    </row>
    <row r="39" spans="4:32" ht="18.75" x14ac:dyDescent="0.3">
      <c r="D39" s="17"/>
      <c r="E39" s="2">
        <f t="shared" si="1"/>
        <v>0.79999999999999993</v>
      </c>
      <c r="H39" s="9">
        <v>0</v>
      </c>
      <c r="I39" s="8">
        <v>0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  <c r="T39" s="8"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8">
        <v>0</v>
      </c>
      <c r="AA39" s="8">
        <v>0</v>
      </c>
      <c r="AB39" s="9">
        <v>0</v>
      </c>
      <c r="AF39" s="6" t="s">
        <v>43</v>
      </c>
    </row>
    <row r="40" spans="4:32" ht="18.75" x14ac:dyDescent="0.3">
      <c r="D40" s="17"/>
      <c r="E40" s="2">
        <f t="shared" si="1"/>
        <v>0.7</v>
      </c>
      <c r="H40" s="9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9">
        <v>0</v>
      </c>
      <c r="AF40" s="6" t="s">
        <v>34</v>
      </c>
    </row>
    <row r="41" spans="4:32" x14ac:dyDescent="0.25">
      <c r="D41" s="17"/>
      <c r="E41" s="2">
        <f t="shared" si="1"/>
        <v>0.6</v>
      </c>
      <c r="H41" s="9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9">
        <v>0</v>
      </c>
    </row>
    <row r="42" spans="4:32" x14ac:dyDescent="0.25">
      <c r="D42" s="17"/>
      <c r="E42" s="2">
        <f t="shared" si="1"/>
        <v>0.5</v>
      </c>
      <c r="H42" s="9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9">
        <v>0</v>
      </c>
    </row>
    <row r="43" spans="4:32" x14ac:dyDescent="0.25">
      <c r="D43" s="17"/>
      <c r="E43" s="2">
        <f t="shared" si="1"/>
        <v>0.4</v>
      </c>
      <c r="H43" s="9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9">
        <v>0</v>
      </c>
      <c r="AF43" t="s">
        <v>28</v>
      </c>
    </row>
    <row r="44" spans="4:32" x14ac:dyDescent="0.25">
      <c r="D44" s="17"/>
      <c r="E44" s="2">
        <f t="shared" si="1"/>
        <v>0.30000000000000004</v>
      </c>
      <c r="H44" s="9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0</v>
      </c>
      <c r="AB44" s="9">
        <v>0</v>
      </c>
      <c r="AF44" t="s">
        <v>29</v>
      </c>
    </row>
    <row r="45" spans="4:32" x14ac:dyDescent="0.25">
      <c r="D45" s="17"/>
      <c r="E45" s="2">
        <f t="shared" si="1"/>
        <v>0.2</v>
      </c>
      <c r="H45" s="9">
        <v>0</v>
      </c>
      <c r="I45" s="8">
        <v>0</v>
      </c>
      <c r="J45" s="8">
        <v>0</v>
      </c>
      <c r="K45" s="8">
        <v>0</v>
      </c>
      <c r="L45" s="8">
        <v>0</v>
      </c>
      <c r="M45" s="8">
        <v>0</v>
      </c>
      <c r="N45" s="8">
        <v>0</v>
      </c>
      <c r="O45" s="8">
        <v>0</v>
      </c>
      <c r="P45" s="8">
        <v>0</v>
      </c>
      <c r="Q45" s="8">
        <v>0</v>
      </c>
      <c r="R45" s="8">
        <v>0</v>
      </c>
      <c r="S45" s="8">
        <v>0</v>
      </c>
      <c r="T45" s="8"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9">
        <v>0</v>
      </c>
      <c r="AF45" t="s">
        <v>30</v>
      </c>
    </row>
    <row r="46" spans="4:32" x14ac:dyDescent="0.25">
      <c r="D46" s="17"/>
      <c r="E46" s="2">
        <f t="shared" si="1"/>
        <v>0.1</v>
      </c>
      <c r="H46" s="9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0</v>
      </c>
      <c r="AA46" s="8">
        <v>0</v>
      </c>
      <c r="AB46" s="9">
        <v>0</v>
      </c>
      <c r="AF46" t="s">
        <v>31</v>
      </c>
    </row>
    <row r="47" spans="4:32" x14ac:dyDescent="0.25">
      <c r="D47" s="17"/>
      <c r="E47" s="2">
        <v>0</v>
      </c>
      <c r="H47" s="9">
        <v>0</v>
      </c>
      <c r="I47" s="9">
        <v>0</v>
      </c>
      <c r="J47" s="9">
        <v>0</v>
      </c>
      <c r="K47" s="9">
        <v>0</v>
      </c>
      <c r="L47" s="9">
        <v>0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  <c r="S47" s="9">
        <v>0</v>
      </c>
      <c r="T47" s="9">
        <v>0</v>
      </c>
      <c r="U47" s="9">
        <v>0</v>
      </c>
      <c r="V47" s="9">
        <v>0</v>
      </c>
      <c r="W47" s="9">
        <v>0</v>
      </c>
      <c r="X47" s="9">
        <v>0</v>
      </c>
      <c r="Y47" s="9">
        <v>0</v>
      </c>
      <c r="Z47" s="9">
        <v>0</v>
      </c>
      <c r="AA47" s="9">
        <v>0</v>
      </c>
      <c r="AB47" s="9">
        <v>0</v>
      </c>
      <c r="AF47" t="s">
        <v>32</v>
      </c>
    </row>
    <row r="48" spans="4:32" x14ac:dyDescent="0.25">
      <c r="AF48" t="s">
        <v>44</v>
      </c>
    </row>
    <row r="52" spans="4:80" ht="18.75" x14ac:dyDescent="0.3">
      <c r="E52" s="1" t="s">
        <v>21</v>
      </c>
      <c r="AF52" s="1" t="s">
        <v>22</v>
      </c>
      <c r="BF52" s="1" t="s">
        <v>23</v>
      </c>
    </row>
    <row r="53" spans="4:80" x14ac:dyDescent="0.25">
      <c r="H53" s="18" t="s">
        <v>17</v>
      </c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H53" s="18" t="s">
        <v>17</v>
      </c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H53" s="18" t="s">
        <v>17</v>
      </c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</row>
    <row r="54" spans="4:80" x14ac:dyDescent="0.25">
      <c r="H54" s="2">
        <v>0</v>
      </c>
      <c r="I54" s="2">
        <f t="shared" ref="I54:AB54" si="5">+H54+delta</f>
        <v>0.1</v>
      </c>
      <c r="J54" s="2">
        <f t="shared" si="5"/>
        <v>0.2</v>
      </c>
      <c r="K54" s="2">
        <f t="shared" si="5"/>
        <v>0.30000000000000004</v>
      </c>
      <c r="L54" s="2">
        <f t="shared" si="5"/>
        <v>0.4</v>
      </c>
      <c r="M54" s="2">
        <f t="shared" si="5"/>
        <v>0.5</v>
      </c>
      <c r="N54" s="2">
        <f t="shared" si="5"/>
        <v>0.6</v>
      </c>
      <c r="O54" s="2">
        <f t="shared" si="5"/>
        <v>0.7</v>
      </c>
      <c r="P54" s="2">
        <f t="shared" si="5"/>
        <v>0.79999999999999993</v>
      </c>
      <c r="Q54" s="2">
        <f t="shared" si="5"/>
        <v>0.89999999999999991</v>
      </c>
      <c r="R54" s="2">
        <f t="shared" si="5"/>
        <v>0.99999999999999989</v>
      </c>
      <c r="S54" s="2">
        <f t="shared" si="5"/>
        <v>1.0999999999999999</v>
      </c>
      <c r="T54" s="2">
        <f t="shared" si="5"/>
        <v>1.2</v>
      </c>
      <c r="U54" s="2">
        <f t="shared" si="5"/>
        <v>1.3</v>
      </c>
      <c r="V54" s="2">
        <f t="shared" si="5"/>
        <v>1.4000000000000001</v>
      </c>
      <c r="W54" s="2">
        <f t="shared" si="5"/>
        <v>1.5000000000000002</v>
      </c>
      <c r="X54" s="2">
        <f t="shared" si="5"/>
        <v>1.6000000000000003</v>
      </c>
      <c r="Y54" s="2">
        <f t="shared" si="5"/>
        <v>1.7000000000000004</v>
      </c>
      <c r="Z54" s="2">
        <f t="shared" si="5"/>
        <v>1.8000000000000005</v>
      </c>
      <c r="AA54" s="2">
        <f t="shared" si="5"/>
        <v>1.9000000000000006</v>
      </c>
      <c r="AB54" s="2">
        <f t="shared" si="5"/>
        <v>2.0000000000000004</v>
      </c>
      <c r="AH54" s="2">
        <v>0</v>
      </c>
      <c r="AI54" s="2">
        <f t="shared" ref="AI54:BB54" si="6">+AH54+delta</f>
        <v>0.1</v>
      </c>
      <c r="AJ54" s="2">
        <f t="shared" si="6"/>
        <v>0.2</v>
      </c>
      <c r="AK54" s="2">
        <f t="shared" si="6"/>
        <v>0.30000000000000004</v>
      </c>
      <c r="AL54" s="2">
        <f t="shared" si="6"/>
        <v>0.4</v>
      </c>
      <c r="AM54" s="2">
        <f t="shared" si="6"/>
        <v>0.5</v>
      </c>
      <c r="AN54" s="2">
        <f t="shared" si="6"/>
        <v>0.6</v>
      </c>
      <c r="AO54" s="2">
        <f t="shared" si="6"/>
        <v>0.7</v>
      </c>
      <c r="AP54" s="2">
        <f t="shared" si="6"/>
        <v>0.79999999999999993</v>
      </c>
      <c r="AQ54" s="2">
        <f t="shared" si="6"/>
        <v>0.89999999999999991</v>
      </c>
      <c r="AR54" s="2">
        <f t="shared" si="6"/>
        <v>0.99999999999999989</v>
      </c>
      <c r="AS54" s="2">
        <f t="shared" si="6"/>
        <v>1.0999999999999999</v>
      </c>
      <c r="AT54" s="2">
        <f t="shared" si="6"/>
        <v>1.2</v>
      </c>
      <c r="AU54" s="2">
        <f t="shared" si="6"/>
        <v>1.3</v>
      </c>
      <c r="AV54" s="2">
        <f t="shared" si="6"/>
        <v>1.4000000000000001</v>
      </c>
      <c r="AW54" s="2">
        <f t="shared" si="6"/>
        <v>1.5000000000000002</v>
      </c>
      <c r="AX54" s="2">
        <f t="shared" si="6"/>
        <v>1.6000000000000003</v>
      </c>
      <c r="AY54" s="2">
        <f t="shared" si="6"/>
        <v>1.7000000000000004</v>
      </c>
      <c r="AZ54" s="2">
        <f t="shared" si="6"/>
        <v>1.8000000000000005</v>
      </c>
      <c r="BA54" s="2">
        <f t="shared" si="6"/>
        <v>1.9000000000000006</v>
      </c>
      <c r="BB54" s="2">
        <f t="shared" si="6"/>
        <v>2.0000000000000004</v>
      </c>
      <c r="BH54" s="2">
        <v>0</v>
      </c>
      <c r="BI54" s="2">
        <f t="shared" ref="BI54:CB54" si="7">+BH54+delta</f>
        <v>0.1</v>
      </c>
      <c r="BJ54" s="2">
        <f t="shared" si="7"/>
        <v>0.2</v>
      </c>
      <c r="BK54" s="2">
        <f t="shared" si="7"/>
        <v>0.30000000000000004</v>
      </c>
      <c r="BL54" s="2">
        <f t="shared" si="7"/>
        <v>0.4</v>
      </c>
      <c r="BM54" s="2">
        <f t="shared" si="7"/>
        <v>0.5</v>
      </c>
      <c r="BN54" s="2">
        <f t="shared" si="7"/>
        <v>0.6</v>
      </c>
      <c r="BO54" s="2">
        <f t="shared" si="7"/>
        <v>0.7</v>
      </c>
      <c r="BP54" s="2">
        <f t="shared" si="7"/>
        <v>0.79999999999999993</v>
      </c>
      <c r="BQ54" s="2">
        <f t="shared" si="7"/>
        <v>0.89999999999999991</v>
      </c>
      <c r="BR54" s="2">
        <f t="shared" si="7"/>
        <v>0.99999999999999989</v>
      </c>
      <c r="BS54" s="2">
        <f t="shared" si="7"/>
        <v>1.0999999999999999</v>
      </c>
      <c r="BT54" s="2">
        <f t="shared" si="7"/>
        <v>1.2</v>
      </c>
      <c r="BU54" s="2">
        <f t="shared" si="7"/>
        <v>1.3</v>
      </c>
      <c r="BV54" s="2">
        <f t="shared" si="7"/>
        <v>1.4000000000000001</v>
      </c>
      <c r="BW54" s="2">
        <f t="shared" si="7"/>
        <v>1.5000000000000002</v>
      </c>
      <c r="BX54" s="2">
        <f t="shared" si="7"/>
        <v>1.6000000000000003</v>
      </c>
      <c r="BY54" s="2">
        <f t="shared" si="7"/>
        <v>1.7000000000000004</v>
      </c>
      <c r="BZ54" s="2">
        <f t="shared" si="7"/>
        <v>1.8000000000000005</v>
      </c>
      <c r="CA54" s="2">
        <f t="shared" si="7"/>
        <v>1.9000000000000006</v>
      </c>
      <c r="CB54" s="2">
        <f t="shared" si="7"/>
        <v>2.0000000000000004</v>
      </c>
    </row>
    <row r="56" spans="4:80" x14ac:dyDescent="0.25">
      <c r="H56" s="12">
        <f>-H58</f>
        <v>0</v>
      </c>
      <c r="I56" s="12">
        <f t="shared" ref="I56:AB56" ca="1" si="8">-I58</f>
        <v>4.6576456414509753E-7</v>
      </c>
      <c r="J56" s="12">
        <f t="shared" ca="1" si="8"/>
        <v>9.2072948507316919E-7</v>
      </c>
      <c r="K56" s="12">
        <f t="shared" ca="1" si="8"/>
        <v>1.3542935351613799E-6</v>
      </c>
      <c r="L56" s="12">
        <f t="shared" ca="1" si="8"/>
        <v>1.7562543159127576E-6</v>
      </c>
      <c r="M56" s="12">
        <f t="shared" ca="1" si="8"/>
        <v>2.1170119429269379E-6</v>
      </c>
      <c r="N56" s="12">
        <f t="shared" ca="1" si="8"/>
        <v>2.4277758914816697E-6</v>
      </c>
      <c r="O56" s="12">
        <f t="shared" ca="1" si="8"/>
        <v>2.6807729806347229E-6</v>
      </c>
      <c r="P56" s="12">
        <f t="shared" ca="1" si="8"/>
        <v>2.8694522407356246E-6</v>
      </c>
      <c r="Q56" s="12">
        <f t="shared" ca="1" si="8"/>
        <v>2.9886801286228396E-6</v>
      </c>
      <c r="R56" s="12">
        <f t="shared" ca="1" si="8"/>
        <v>3.0349175517935506E-6</v>
      </c>
      <c r="S56" s="12">
        <f t="shared" ca="1" si="8"/>
        <v>3.0063687759742548E-6</v>
      </c>
      <c r="T56" s="12">
        <f t="shared" ca="1" si="8"/>
        <v>2.9030918153098911E-6</v>
      </c>
      <c r="U56" s="12">
        <f t="shared" ca="1" si="8"/>
        <v>2.7270605289957695E-6</v>
      </c>
      <c r="V56" s="12">
        <f t="shared" ca="1" si="8"/>
        <v>2.4821703995558976E-6</v>
      </c>
      <c r="W56" s="12">
        <f t="shared" ca="1" si="8"/>
        <v>2.1741826894718326E-6</v>
      </c>
      <c r="X56" s="12">
        <f t="shared" ca="1" si="8"/>
        <v>1.8106050473033429E-6</v>
      </c>
      <c r="Y56" s="12">
        <f t="shared" ca="1" si="8"/>
        <v>1.4005102513605216E-6</v>
      </c>
      <c r="Z56" s="12">
        <f t="shared" ca="1" si="8"/>
        <v>9.5429822748553087E-7</v>
      </c>
      <c r="AA56" s="12">
        <f t="shared" ca="1" si="8"/>
        <v>4.8340943481287107E-7</v>
      </c>
      <c r="AB56" s="12">
        <f t="shared" si="8"/>
        <v>0</v>
      </c>
    </row>
    <row r="57" spans="4:80" x14ac:dyDescent="0.25">
      <c r="D57" s="17" t="s">
        <v>16</v>
      </c>
      <c r="E57" s="2">
        <f t="shared" ref="E57:E96" si="9">E58+delta</f>
        <v>4.0000000000000018</v>
      </c>
      <c r="G57" s="12">
        <f>-I57</f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12">
        <f t="shared" ref="AC57:AC96" si="10">-AA57</f>
        <v>0</v>
      </c>
      <c r="AF57" s="2">
        <f t="shared" ref="AF57:AF96" si="11">AF58+delta</f>
        <v>4.0000000000000018</v>
      </c>
      <c r="AH57" s="15">
        <v>0</v>
      </c>
      <c r="AI57" s="15">
        <v>0</v>
      </c>
      <c r="AJ57" s="15">
        <v>0</v>
      </c>
      <c r="AK57" s="15">
        <v>0</v>
      </c>
      <c r="AL57" s="15">
        <v>0</v>
      </c>
      <c r="AM57" s="15">
        <v>0</v>
      </c>
      <c r="AN57" s="15">
        <v>0</v>
      </c>
      <c r="AO57" s="15">
        <v>0</v>
      </c>
      <c r="AP57" s="15">
        <v>0</v>
      </c>
      <c r="AQ57" s="15">
        <v>0</v>
      </c>
      <c r="AR57" s="15">
        <v>0</v>
      </c>
      <c r="AS57" s="15">
        <v>0</v>
      </c>
      <c r="AT57" s="15">
        <v>0</v>
      </c>
      <c r="AU57" s="15">
        <v>0</v>
      </c>
      <c r="AV57" s="15">
        <v>0</v>
      </c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F57" s="2">
        <f t="shared" ref="BF57:BF96" si="12">BF58+delta</f>
        <v>4.0000000000000018</v>
      </c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</row>
    <row r="58" spans="4:80" x14ac:dyDescent="0.25">
      <c r="D58" s="17"/>
      <c r="E58" s="2">
        <f t="shared" si="9"/>
        <v>3.9000000000000021</v>
      </c>
      <c r="G58" s="12">
        <f t="shared" ref="G58:G97" ca="1" si="13">-I58</f>
        <v>4.6576456414509753E-7</v>
      </c>
      <c r="H58" s="9">
        <v>0</v>
      </c>
      <c r="I58" s="8">
        <f t="shared" ref="I58:I96" ca="1" si="14" xml:space="preserve"> -(D*G58+2*D*H57+D*I56+2*D*J57+D*K58-8*D*I59-8*D*H58-8*D*I57+2*D*J59+D*I60+2*D*H59-8*D*J58-delta^4*I8)/(20*D)</f>
        <v>-4.6576456414509775E-7</v>
      </c>
      <c r="J58" s="8">
        <f t="shared" ref="J58:J96" ca="1" si="15" xml:space="preserve"> -(D*H58+2*D*I57+D*J56+2*D*K57+D*L58-8*D*J59-8*D*I58-8*D*J57+2*D*K59+D*J60+2*D*I59-8*D*K58-delta^4*J8)/(20*D)</f>
        <v>-9.2072948507316951E-7</v>
      </c>
      <c r="K58" s="8">
        <f t="shared" ref="K58:K96" ca="1" si="16" xml:space="preserve"> -(D*I58+2*D*J57+D*K56+2*D*L57+D*M58-8*D*K59-8*D*J58-8*D*K57+2*D*L59+D*K60+2*D*J59-8*D*L58-delta^4*K8)/(20*D)</f>
        <v>-1.3542935351613806E-6</v>
      </c>
      <c r="L58" s="8">
        <f t="shared" ref="L58:L96" ca="1" si="17" xml:space="preserve"> -(D*J58+2*D*K57+D*L56+2*D*M57+D*N58-8*D*L59-8*D*K58-8*D*L57+2*D*M59+D*L60+2*D*K59-8*D*M58-delta^4*L8)/(20*D)</f>
        <v>-1.756254315912758E-6</v>
      </c>
      <c r="M58" s="8">
        <f t="shared" ref="M58:M96" ca="1" si="18" xml:space="preserve"> -(D*K58+2*D*L57+D*M56+2*D*N57+D*O58-8*D*M59-8*D*L58-8*D*M57+2*D*N59+D*M60+2*D*L59-8*D*N58-delta^4*M8)/(20*D)</f>
        <v>-2.1170119429269379E-6</v>
      </c>
      <c r="N58" s="8">
        <f t="shared" ref="N58:N96" ca="1" si="19" xml:space="preserve"> -(D*L58+2*D*M57+D*N56+2*D*O57+D*P58-8*D*N59-8*D*M58-8*D*N57+2*D*O59+D*N60+2*D*M59-8*D*O58-delta^4*N8)/(20*D)</f>
        <v>-2.4277758914816697E-6</v>
      </c>
      <c r="O58" s="8">
        <f t="shared" ref="O58:O96" ca="1" si="20" xml:space="preserve"> -(D*M58+2*D*N57+D*O56+2*D*P57+D*Q58-8*D*O59-8*D*N58-8*D*O57+2*D*P59+D*O60+2*D*N59-8*D*P58-delta^4*O8)/(20*D)</f>
        <v>-2.6807729806347225E-6</v>
      </c>
      <c r="P58" s="8">
        <f t="shared" ref="P58:P96" ca="1" si="21" xml:space="preserve"> -(D*N58+2*D*O57+D*P56+2*D*Q57+D*R58-8*D*P59-8*D*O58-8*D*P57+2*D*Q59+D*P60+2*D*O59-8*D*Q58-delta^4*P8)/(20*D)</f>
        <v>-2.8694522407356246E-6</v>
      </c>
      <c r="Q58" s="8">
        <f t="shared" ref="Q58:Q96" ca="1" si="22" xml:space="preserve"> -(D*O58+2*D*P57+D*Q56+2*D*R57+D*S58-8*D*Q59-8*D*P58-8*D*Q57+2*D*R59+D*Q60+2*D*P59-8*D*R58-delta^4*Q8)/(20*D)</f>
        <v>-2.9886801286228396E-6</v>
      </c>
      <c r="R58" s="8">
        <f t="shared" ref="R58:R96" ca="1" si="23" xml:space="preserve"> -(D*P58+2*D*Q57+D*R56+2*D*S57+D*T58-8*D*R59-8*D*Q58-8*D*R57+2*D*S59+D*R60+2*D*Q59-8*D*S58-delta^4*R8)/(20*D)</f>
        <v>-3.0349175517935506E-6</v>
      </c>
      <c r="S58" s="8">
        <f t="shared" ref="S58:S96" ca="1" si="24" xml:space="preserve"> -(D*Q58+2*D*R57+D*S56+2*D*T57+D*U58-8*D*S59-8*D*R58-8*D*S57+2*D*T59+D*S60+2*D*R59-8*D*T58-delta^4*S8)/(20*D)</f>
        <v>-3.0063687759742548E-6</v>
      </c>
      <c r="T58" s="8">
        <f t="shared" ref="T58:T96" ca="1" si="25" xml:space="preserve"> -(D*R58+2*D*S57+D*T56+2*D*U57+D*V58-8*D*T59-8*D*S58-8*D*T57+2*D*U59+D*T60+2*D*S59-8*D*U58-delta^4*T8)/(20*D)</f>
        <v>-2.9030918153098924E-6</v>
      </c>
      <c r="U58" s="8">
        <f t="shared" ref="U58:U96" ca="1" si="26" xml:space="preserve"> -(D*S58+2*D*T57+D*U56+2*D*V57+D*W58-8*D*U59-8*D*T58-8*D*U57+2*D*V59+D*U60+2*D*T59-8*D*V58-delta^4*U8)/(20*D)</f>
        <v>-2.7270605289957712E-6</v>
      </c>
      <c r="V58" s="8">
        <f t="shared" ref="V58:V96" ca="1" si="27" xml:space="preserve"> -(D*T58+2*D*U57+D*V56+2*D*W57+D*X58-8*D*V59-8*D*U58-8*D*V57+2*D*W59+D*V60+2*D*U59-8*D*W58-delta^4*V8)/(20*D)</f>
        <v>-2.482170399555898E-6</v>
      </c>
      <c r="W58" s="8">
        <f t="shared" ref="W58:W96" ca="1" si="28" xml:space="preserve"> -(D*U58+2*D*V57+D*W56+2*D*X57+D*Y58-8*D*W59-8*D*V58-8*D*W57+2*D*X59+D*W60+2*D*V59-8*D*X58-delta^4*W8)/(20*D)</f>
        <v>-2.1741826894718326E-6</v>
      </c>
      <c r="X58" s="8">
        <f t="shared" ref="X58:X96" ca="1" si="29" xml:space="preserve"> -(D*V58+2*D*W57+D*X56+2*D*Y57+D*Z58-8*D*X59-8*D*W58-8*D*X57+2*D*Y59+D*X60+2*D*W59-8*D*Y58-delta^4*X8)/(20*D)</f>
        <v>-1.8106050473033429E-6</v>
      </c>
      <c r="Y58" s="8">
        <f t="shared" ref="Y58:Y96" ca="1" si="30" xml:space="preserve"> -(D*W58+2*D*X57+D*Y56+2*D*Z57+D*AA58-8*D*Y59-8*D*X58-8*D*Y57+2*D*Z59+D*Y60+2*D*X59-8*D*Z58-delta^4*Y8)/(20*D)</f>
        <v>-1.4005102513605216E-6</v>
      </c>
      <c r="Z58" s="8">
        <f t="shared" ref="Z58:Z96" ca="1" si="31" xml:space="preserve"> -(D*X58+2*D*Y57+D*Z56+2*D*AA57+D*AB58-8*D*Z59-8*D*Y58-8*D*Z57+2*D*AA59+D*Z60+2*D*Y59-8*D*AA58-delta^4*Z8)/(20*D)</f>
        <v>-9.5429822748553087E-7</v>
      </c>
      <c r="AA58" s="8">
        <f t="shared" ref="AA58:AA96" ca="1" si="32" xml:space="preserve"> -(D*Y58+2*D*Z57+D*AA56+2*D*AB57+D*AC58-8*D*AA59-8*D*Z58-8*D*AA57+2*D*AB59+D*AA60+2*D*Z59-8*D*AB58-delta^4*AA8)/(20*D)</f>
        <v>-4.8340943481287097E-7</v>
      </c>
      <c r="AB58" s="9">
        <v>0</v>
      </c>
      <c r="AC58" s="12">
        <f t="shared" ca="1" si="10"/>
        <v>4.8340943481287097E-7</v>
      </c>
      <c r="AF58" s="2">
        <f t="shared" si="11"/>
        <v>3.9000000000000021</v>
      </c>
      <c r="AH58" s="15">
        <v>0</v>
      </c>
      <c r="AI58" s="13">
        <f t="shared" ref="AI58:AW58" si="33">CalcW(AI$54, $AF58, E, nu, t, a, b, p, u, v, xi, eta)</f>
        <v>-4.6491399065023947E-7</v>
      </c>
      <c r="AJ58" s="13">
        <f t="shared" si="33"/>
        <v>-9.1901333446492971E-7</v>
      </c>
      <c r="AK58" s="13">
        <f t="shared" si="33"/>
        <v>-1.3517134244175833E-6</v>
      </c>
      <c r="AL58" s="13">
        <f t="shared" si="33"/>
        <v>-1.7528108029095088E-6</v>
      </c>
      <c r="AM58" s="13">
        <f t="shared" si="33"/>
        <v>-2.1126767578233706E-6</v>
      </c>
      <c r="AN58" s="13">
        <f t="shared" si="33"/>
        <v>-2.4225269152544546E-6</v>
      </c>
      <c r="AO58" s="13">
        <f t="shared" si="33"/>
        <v>-2.6745869348000637E-6</v>
      </c>
      <c r="AP58" s="13">
        <f t="shared" si="33"/>
        <v>-2.8621718813700114E-6</v>
      </c>
      <c r="AQ58" s="13">
        <f t="shared" si="33"/>
        <v>-2.9799759336193116E-6</v>
      </c>
      <c r="AR58" s="13">
        <f t="shared" si="33"/>
        <v>-3.0245623389401538E-6</v>
      </c>
      <c r="AS58" s="13">
        <f t="shared" si="33"/>
        <v>-2.9945937552334999E-6</v>
      </c>
      <c r="AT58" s="13">
        <f t="shared" si="33"/>
        <v>-2.8906227364130368E-6</v>
      </c>
      <c r="AU58" s="13">
        <f t="shared" si="33"/>
        <v>-2.7148522411695403E-6</v>
      </c>
      <c r="AV58" s="13">
        <f t="shared" si="33"/>
        <v>-2.4711506518834807E-6</v>
      </c>
      <c r="AW58" s="13">
        <f t="shared" si="33"/>
        <v>-2.1650698281519743E-6</v>
      </c>
      <c r="AX58" s="13">
        <f t="shared" ref="AX58:BA58" si="34">CalcW(AX$54, $AF58, E, nu, t, a, b, p, u, v, xi, eta)</f>
        <v>-1.8037021691322912E-6</v>
      </c>
      <c r="AY58" s="13">
        <f t="shared" si="34"/>
        <v>-1.3956478325436481E-6</v>
      </c>
      <c r="AZ58" s="13">
        <f t="shared" si="34"/>
        <v>-9.5113329126454538E-7</v>
      </c>
      <c r="BA58" s="13">
        <f t="shared" si="34"/>
        <v>-4.8179944185818517E-7</v>
      </c>
      <c r="BB58" s="15">
        <v>0</v>
      </c>
      <c r="BF58" s="2">
        <f t="shared" si="12"/>
        <v>3.9000000000000021</v>
      </c>
      <c r="BH58" s="3"/>
      <c r="BI58" s="13">
        <f t="shared" ref="BI58:BI96" ca="1" si="35">(I58-AI58)/AI58</f>
        <v>1.8295287127596228E-3</v>
      </c>
      <c r="BJ58" s="13">
        <f t="shared" ref="BJ58:BJ96" ca="1" si="36">(J58-AJ58)/AJ58</f>
        <v>1.8673837950773417E-3</v>
      </c>
      <c r="BK58" s="13">
        <f t="shared" ref="BK58:BK96" ca="1" si="37">(K58-AK58)/AK58</f>
        <v>1.908770525756189E-3</v>
      </c>
      <c r="BL58" s="13">
        <f t="shared" ref="BL58:BL96" ca="1" si="38">(L58-AL58)/AL58</f>
        <v>1.9645662826434642E-3</v>
      </c>
      <c r="BM58" s="13">
        <f t="shared" ref="BM58:BM96" ca="1" si="39">(M58-AM58)/AM58</f>
        <v>2.0519869343541778E-3</v>
      </c>
      <c r="BN58" s="13">
        <f t="shared" ref="BN58:BN96" ca="1" si="40">(N58-AN58)/AN58</f>
        <v>2.1667359789328622E-3</v>
      </c>
      <c r="BO58" s="13">
        <f t="shared" ref="BO58:BO96" ca="1" si="41">(O58-AO58)/AO58</f>
        <v>2.3128976494163618E-3</v>
      </c>
      <c r="BP58" s="13">
        <f t="shared" ref="BP58:BP96" ca="1" si="42">(P58-AP58)/AP58</f>
        <v>2.5436485533944929E-3</v>
      </c>
      <c r="BQ58" s="13">
        <f t="shared" ref="BQ58:BQ96" ca="1" si="43">(Q58-AQ58)/AQ58</f>
        <v>2.9208943955988127E-3</v>
      </c>
      <c r="BR58" s="13">
        <f t="shared" ref="BR58:BR96" ca="1" si="44">(R58-AR58)/AR58</f>
        <v>3.4237062070360249E-3</v>
      </c>
      <c r="BS58" s="13">
        <f t="shared" ref="BS58:BS96" ca="1" si="45">(S58-AS58)/AS58</f>
        <v>3.9320928657439183E-3</v>
      </c>
      <c r="BT58" s="13">
        <f t="shared" ref="BT58:BT96" ca="1" si="46">(T58-AT58)/AT58</f>
        <v>4.3136306719597783E-3</v>
      </c>
      <c r="BU58" s="13">
        <f t="shared" ref="BU58:BU96" ca="1" si="47">(U58-AU58)/AU58</f>
        <v>4.4968516669517096E-3</v>
      </c>
      <c r="BV58" s="13">
        <f t="shared" ref="BV58:BV96" ca="1" si="48">(V58-AV58)/AV58</f>
        <v>4.459358907971933E-3</v>
      </c>
      <c r="BW58" s="13">
        <f t="shared" ref="BW58:BW96" ca="1" si="49">(W58-AW58)/AW58</f>
        <v>4.2090380649000567E-3</v>
      </c>
      <c r="BX58" s="13">
        <f t="shared" ref="BX58:BX96" ca="1" si="50">(X58-AX58)/AX58</f>
        <v>3.8270609689250749E-3</v>
      </c>
      <c r="BY58" s="13">
        <f t="shared" ref="BY58:BY96" ca="1" si="51">(Y58-AY58)/AY58</f>
        <v>3.4839869367413725E-3</v>
      </c>
      <c r="BZ58" s="13">
        <f t="shared" ref="BZ58:BZ96" ca="1" si="52">(Z58-AZ58)/AZ58</f>
        <v>3.3275422593795059E-3</v>
      </c>
      <c r="CA58" s="13">
        <f t="shared" ref="CA58:CA96" ca="1" si="53">(AA58-BA58)/BA58</f>
        <v>3.3416247816237493E-3</v>
      </c>
      <c r="CB58" s="3"/>
    </row>
    <row r="59" spans="4:80" x14ac:dyDescent="0.25">
      <c r="D59" s="17"/>
      <c r="E59" s="2">
        <f t="shared" si="9"/>
        <v>3.800000000000002</v>
      </c>
      <c r="G59" s="12">
        <f t="shared" ca="1" si="13"/>
        <v>9.3620599924498287E-7</v>
      </c>
      <c r="H59" s="9">
        <v>0</v>
      </c>
      <c r="I59" s="8">
        <f t="shared" ca="1" si="14"/>
        <v>-9.362059992449833E-7</v>
      </c>
      <c r="J59" s="8">
        <f t="shared" ca="1" si="15"/>
        <v>-1.850746104128524E-6</v>
      </c>
      <c r="K59" s="8">
        <f t="shared" ca="1" si="16"/>
        <v>-2.722347934774176E-6</v>
      </c>
      <c r="L59" s="8">
        <f t="shared" ca="1" si="17"/>
        <v>-3.5305306984503823E-6</v>
      </c>
      <c r="M59" s="8">
        <f t="shared" ca="1" si="18"/>
        <v>-4.2560108862153898E-6</v>
      </c>
      <c r="N59" s="8">
        <f t="shared" ca="1" si="19"/>
        <v>-4.8811157991220642E-6</v>
      </c>
      <c r="O59" s="8">
        <f t="shared" ca="1" si="20"/>
        <v>-5.3902011416165293E-6</v>
      </c>
      <c r="P59" s="8">
        <f t="shared" ca="1" si="21"/>
        <v>-5.7700642535820385E-6</v>
      </c>
      <c r="Q59" s="8">
        <f t="shared" ca="1" si="22"/>
        <v>-6.0103397472708E-6</v>
      </c>
      <c r="R59" s="8">
        <f t="shared" ca="1" si="23"/>
        <v>-6.1038600491391247E-6</v>
      </c>
      <c r="S59" s="8">
        <f t="shared" ca="1" si="24"/>
        <v>-6.0469603402014155E-6</v>
      </c>
      <c r="T59" s="8">
        <f t="shared" ca="1" si="25"/>
        <v>-5.8397062849220653E-6</v>
      </c>
      <c r="U59" s="8">
        <f t="shared" ca="1" si="26"/>
        <v>-5.486024158874732E-6</v>
      </c>
      <c r="V59" s="8">
        <f t="shared" ca="1" si="27"/>
        <v>-4.9937166029552795E-6</v>
      </c>
      <c r="W59" s="8">
        <f t="shared" ca="1" si="28"/>
        <v>-4.3743529159426337E-6</v>
      </c>
      <c r="X59" s="8">
        <f t="shared" ca="1" si="29"/>
        <v>-3.6430298590979226E-6</v>
      </c>
      <c r="Y59" s="8">
        <f t="shared" ca="1" si="30"/>
        <v>-2.8180064899038618E-6</v>
      </c>
      <c r="Z59" s="8">
        <f t="shared" ca="1" si="31"/>
        <v>-1.9202236733400351E-6</v>
      </c>
      <c r="AA59" s="8">
        <f t="shared" ca="1" si="32"/>
        <v>-9.7272494898992878E-7</v>
      </c>
      <c r="AB59" s="9">
        <v>0</v>
      </c>
      <c r="AC59" s="12">
        <f t="shared" ca="1" si="10"/>
        <v>9.7272494898992878E-7</v>
      </c>
      <c r="AF59" s="2">
        <f t="shared" si="11"/>
        <v>3.800000000000002</v>
      </c>
      <c r="AH59" s="15">
        <v>0</v>
      </c>
      <c r="AI59" s="13">
        <f t="shared" ref="AI59:BA72" si="54">CalcW(AI$54, $AF59, E, nu, t, a, b, p, u, v, xi, eta)</f>
        <v>-9.3452870563572761E-7</v>
      </c>
      <c r="AJ59" s="13">
        <f t="shared" si="54"/>
        <v>-1.8473694185671592E-6</v>
      </c>
      <c r="AK59" s="13">
        <f t="shared" si="54"/>
        <v>-2.7172681249266339E-6</v>
      </c>
      <c r="AL59" s="13">
        <f t="shared" si="54"/>
        <v>-3.5237464943064651E-6</v>
      </c>
      <c r="AM59" s="13">
        <f t="shared" si="54"/>
        <v>-4.2474974301044525E-6</v>
      </c>
      <c r="AN59" s="13">
        <f t="shared" si="54"/>
        <v>-4.8708748860293556E-6</v>
      </c>
      <c r="AO59" s="13">
        <f t="shared" si="54"/>
        <v>-5.3782613402207298E-6</v>
      </c>
      <c r="AP59" s="13">
        <f t="shared" si="54"/>
        <v>-5.7563279380055783E-6</v>
      </c>
      <c r="AQ59" s="13">
        <f t="shared" si="54"/>
        <v>-5.9945343437615772E-6</v>
      </c>
      <c r="AR59" s="13">
        <f t="shared" si="54"/>
        <v>-6.0858533592415623E-6</v>
      </c>
      <c r="AS59" s="13">
        <f t="shared" si="54"/>
        <v>-6.0271707359167454E-6</v>
      </c>
      <c r="AT59" s="13">
        <f t="shared" si="54"/>
        <v>-5.8191381670954521E-6</v>
      </c>
      <c r="AU59" s="13">
        <f t="shared" si="54"/>
        <v>-5.4659536426900956E-6</v>
      </c>
      <c r="AV59" s="13">
        <f t="shared" si="54"/>
        <v>-4.9753939806388505E-6</v>
      </c>
      <c r="AW59" s="13">
        <f t="shared" si="54"/>
        <v>-4.3587920519555046E-6</v>
      </c>
      <c r="AX59" s="13">
        <f t="shared" si="54"/>
        <v>-3.6307619458987172E-6</v>
      </c>
      <c r="AY59" s="13">
        <f t="shared" si="54"/>
        <v>-2.8089996178421539E-6</v>
      </c>
      <c r="AZ59" s="13">
        <f t="shared" si="54"/>
        <v>-1.9142188381031925E-6</v>
      </c>
      <c r="BA59" s="13">
        <f t="shared" si="54"/>
        <v>-9.6966145477365993E-7</v>
      </c>
      <c r="BB59" s="15">
        <v>0</v>
      </c>
      <c r="BF59" s="2">
        <f t="shared" si="12"/>
        <v>3.800000000000002</v>
      </c>
      <c r="BH59" s="3"/>
      <c r="BI59" s="13">
        <f t="shared" ca="1" si="35"/>
        <v>1.7948015926537854E-3</v>
      </c>
      <c r="BJ59" s="13">
        <f t="shared" ca="1" si="36"/>
        <v>1.827834502090976E-3</v>
      </c>
      <c r="BK59" s="13">
        <f t="shared" ca="1" si="37"/>
        <v>1.8694547663305253E-3</v>
      </c>
      <c r="BL59" s="13">
        <f t="shared" ca="1" si="38"/>
        <v>1.925281558954048E-3</v>
      </c>
      <c r="BM59" s="13">
        <f t="shared" ca="1" si="39"/>
        <v>2.0043463830248689E-3</v>
      </c>
      <c r="BN59" s="13">
        <f t="shared" ca="1" si="40"/>
        <v>2.1024791915886789E-3</v>
      </c>
      <c r="BO59" s="13">
        <f t="shared" ca="1" si="41"/>
        <v>2.220011382955505E-3</v>
      </c>
      <c r="BP59" s="13">
        <f t="shared" ca="1" si="42"/>
        <v>2.3862983006523271E-3</v>
      </c>
      <c r="BQ59" s="13">
        <f t="shared" ca="1" si="43"/>
        <v>2.6366357423026933E-3</v>
      </c>
      <c r="BR59" s="13">
        <f t="shared" ca="1" si="44"/>
        <v>2.9587781424635614E-3</v>
      </c>
      <c r="BS59" s="13">
        <f t="shared" ca="1" si="45"/>
        <v>3.2833986544866219E-3</v>
      </c>
      <c r="BT59" s="13">
        <f t="shared" ca="1" si="46"/>
        <v>3.5345642663919675E-3</v>
      </c>
      <c r="BU59" s="13">
        <f t="shared" ca="1" si="47"/>
        <v>3.6719148197456473E-3</v>
      </c>
      <c r="BV59" s="13">
        <f t="shared" ca="1" si="48"/>
        <v>3.6826475225337644E-3</v>
      </c>
      <c r="BW59" s="13">
        <f t="shared" ca="1" si="49"/>
        <v>3.569994576857138E-3</v>
      </c>
      <c r="BX59" s="13">
        <f t="shared" ca="1" si="50"/>
        <v>3.3788811775619745E-3</v>
      </c>
      <c r="BY59" s="13">
        <f t="shared" ca="1" si="51"/>
        <v>3.206434064461285E-3</v>
      </c>
      <c r="BZ59" s="13">
        <f t="shared" ca="1" si="52"/>
        <v>3.1369638190337709E-3</v>
      </c>
      <c r="CA59" s="13">
        <f t="shared" ca="1" si="53"/>
        <v>3.1593441207621582E-3</v>
      </c>
      <c r="CB59" s="3"/>
    </row>
    <row r="60" spans="4:80" x14ac:dyDescent="0.25">
      <c r="D60" s="17"/>
      <c r="E60" s="2">
        <f t="shared" si="9"/>
        <v>3.700000000000002</v>
      </c>
      <c r="G60" s="12">
        <f t="shared" ca="1" si="13"/>
        <v>1.4159359765150296E-6</v>
      </c>
      <c r="H60" s="9">
        <v>0</v>
      </c>
      <c r="I60" s="8">
        <f t="shared" ca="1" si="14"/>
        <v>-1.4159359765150296E-6</v>
      </c>
      <c r="J60" s="8">
        <f t="shared" ca="1" si="15"/>
        <v>-2.7992112271387169E-6</v>
      </c>
      <c r="K60" s="8">
        <f t="shared" ca="1" si="16"/>
        <v>-4.1177466057847446E-6</v>
      </c>
      <c r="L60" s="8">
        <f t="shared" ca="1" si="17"/>
        <v>-5.3406343914332396E-6</v>
      </c>
      <c r="M60" s="8">
        <f t="shared" ca="1" si="18"/>
        <v>-6.4387423223257238E-6</v>
      </c>
      <c r="N60" s="8">
        <f t="shared" ca="1" si="19"/>
        <v>-7.3853332310058718E-6</v>
      </c>
      <c r="O60" s="8">
        <f t="shared" ca="1" si="20"/>
        <v>-8.1566953816528704E-6</v>
      </c>
      <c r="P60" s="8">
        <f t="shared" ca="1" si="21"/>
        <v>-8.7327711076900608E-6</v>
      </c>
      <c r="Q60" s="8">
        <f t="shared" ca="1" si="22"/>
        <v>-9.0977635125145422E-6</v>
      </c>
      <c r="R60" s="8">
        <f t="shared" ca="1" si="23"/>
        <v>-9.2406939148223564E-6</v>
      </c>
      <c r="S60" s="8">
        <f t="shared" ca="1" si="24"/>
        <v>-9.1558775891870365E-6</v>
      </c>
      <c r="T60" s="8">
        <f t="shared" ca="1" si="25"/>
        <v>-8.8432832787470104E-6</v>
      </c>
      <c r="U60" s="8">
        <f t="shared" ca="1" si="26"/>
        <v>-8.3087436978037345E-6</v>
      </c>
      <c r="V60" s="8">
        <f t="shared" ca="1" si="27"/>
        <v>-7.5639899675730225E-6</v>
      </c>
      <c r="W60" s="8">
        <f t="shared" ca="1" si="28"/>
        <v>-6.6264920979874867E-6</v>
      </c>
      <c r="X60" s="8">
        <f t="shared" ca="1" si="29"/>
        <v>-5.5190990619442758E-6</v>
      </c>
      <c r="Y60" s="8">
        <f t="shared" ca="1" si="30"/>
        <v>-4.269484152531351E-6</v>
      </c>
      <c r="Z60" s="8">
        <f t="shared" ca="1" si="31"/>
        <v>-2.9094126287914088E-6</v>
      </c>
      <c r="AA60" s="8">
        <f t="shared" ca="1" si="32"/>
        <v>-1.4738579871314101E-6</v>
      </c>
      <c r="AB60" s="9">
        <v>0</v>
      </c>
      <c r="AC60" s="12">
        <f t="shared" ca="1" si="10"/>
        <v>1.4738579871314101E-6</v>
      </c>
      <c r="AF60" s="2">
        <f t="shared" si="11"/>
        <v>3.700000000000002</v>
      </c>
      <c r="AH60" s="15">
        <v>0</v>
      </c>
      <c r="AI60" s="13">
        <f t="shared" si="54"/>
        <v>-1.413480934368144E-6</v>
      </c>
      <c r="AJ60" s="13">
        <f t="shared" si="54"/>
        <v>-2.7942800883852995E-6</v>
      </c>
      <c r="AK60" s="13">
        <f t="shared" si="54"/>
        <v>-4.1103179631177565E-6</v>
      </c>
      <c r="AL60" s="13">
        <f t="shared" si="54"/>
        <v>-5.3306961845077287E-6</v>
      </c>
      <c r="AM60" s="13">
        <f t="shared" si="54"/>
        <v>-6.4263037133498128E-6</v>
      </c>
      <c r="AN60" s="13">
        <f t="shared" si="54"/>
        <v>-7.3704647861228214E-6</v>
      </c>
      <c r="AO60" s="13">
        <f t="shared" si="54"/>
        <v>-8.1395541481295995E-6</v>
      </c>
      <c r="AP60" s="13">
        <f t="shared" si="54"/>
        <v>-8.7135685290313897E-6</v>
      </c>
      <c r="AQ60" s="13">
        <f t="shared" si="54"/>
        <v>-9.0767457234567022E-6</v>
      </c>
      <c r="AR60" s="13">
        <f t="shared" si="54"/>
        <v>-9.218215038250636E-6</v>
      </c>
      <c r="AS60" s="13">
        <f t="shared" si="54"/>
        <v>-9.1324958423149592E-6</v>
      </c>
      <c r="AT60" s="13">
        <f t="shared" si="54"/>
        <v>-8.8197511835557284E-6</v>
      </c>
      <c r="AU60" s="13">
        <f t="shared" si="54"/>
        <v>-8.2859078379531493E-6</v>
      </c>
      <c r="AV60" s="13">
        <f t="shared" si="54"/>
        <v>-7.5427080200738948E-6</v>
      </c>
      <c r="AW60" s="13">
        <f t="shared" si="54"/>
        <v>-6.6075742272975727E-6</v>
      </c>
      <c r="AX60" s="13">
        <f t="shared" si="54"/>
        <v>-5.5032207836739263E-6</v>
      </c>
      <c r="AY60" s="13">
        <f t="shared" si="54"/>
        <v>-4.2571269114226349E-6</v>
      </c>
      <c r="AZ60" s="13">
        <f t="shared" si="54"/>
        <v>-2.9009180013909722E-6</v>
      </c>
      <c r="BA60" s="13">
        <f t="shared" si="54"/>
        <v>-1.469512418441539E-6</v>
      </c>
      <c r="BB60" s="15">
        <v>0</v>
      </c>
      <c r="BF60" s="2">
        <f t="shared" si="12"/>
        <v>3.700000000000002</v>
      </c>
      <c r="BH60" s="3"/>
      <c r="BI60" s="13">
        <f t="shared" ca="1" si="35"/>
        <v>1.7368767326055787E-3</v>
      </c>
      <c r="BJ60" s="13">
        <f t="shared" ca="1" si="36"/>
        <v>1.7647260107940424E-3</v>
      </c>
      <c r="BK60" s="13">
        <f t="shared" ca="1" si="37"/>
        <v>1.8073158168409275E-3</v>
      </c>
      <c r="BL60" s="13">
        <f t="shared" ca="1" si="38"/>
        <v>1.8643356480141874E-3</v>
      </c>
      <c r="BM60" s="13">
        <f t="shared" ca="1" si="39"/>
        <v>1.9355775155897909E-3</v>
      </c>
      <c r="BN60" s="13">
        <f t="shared" ca="1" si="40"/>
        <v>2.0173008506932789E-3</v>
      </c>
      <c r="BO60" s="13">
        <f t="shared" ca="1" si="41"/>
        <v>2.1059179914921749E-3</v>
      </c>
      <c r="BP60" s="13">
        <f t="shared" ca="1" si="42"/>
        <v>2.2037559691753072E-3</v>
      </c>
      <c r="BQ60" s="13">
        <f t="shared" ca="1" si="43"/>
        <v>2.3155643771670827E-3</v>
      </c>
      <c r="BR60" s="13">
        <f t="shared" ca="1" si="44"/>
        <v>2.4385281183445084E-3</v>
      </c>
      <c r="BS60" s="13">
        <f t="shared" ca="1" si="45"/>
        <v>2.5602800456518307E-3</v>
      </c>
      <c r="BT60" s="13">
        <f t="shared" ca="1" si="46"/>
        <v>2.6681132723060446E-3</v>
      </c>
      <c r="BU60" s="13">
        <f t="shared" ca="1" si="47"/>
        <v>2.7559876717415019E-3</v>
      </c>
      <c r="BV60" s="13">
        <f t="shared" ca="1" si="48"/>
        <v>2.8215260941413423E-3</v>
      </c>
      <c r="BW60" s="13">
        <f t="shared" ca="1" si="49"/>
        <v>2.863058368948694E-3</v>
      </c>
      <c r="BX60" s="13">
        <f t="shared" ca="1" si="50"/>
        <v>2.8852700799238615E-3</v>
      </c>
      <c r="BY60" s="13">
        <f t="shared" ca="1" si="51"/>
        <v>2.9027185155226262E-3</v>
      </c>
      <c r="BZ60" s="13">
        <f t="shared" ca="1" si="52"/>
        <v>2.9282549166724115E-3</v>
      </c>
      <c r="CA60" s="13">
        <f t="shared" ca="1" si="53"/>
        <v>2.9571500283609E-3</v>
      </c>
      <c r="CB60" s="3"/>
    </row>
    <row r="61" spans="4:80" x14ac:dyDescent="0.25">
      <c r="D61" s="17"/>
      <c r="E61" s="2">
        <f t="shared" si="9"/>
        <v>3.6000000000000019</v>
      </c>
      <c r="G61" s="12">
        <f t="shared" ca="1" si="13"/>
        <v>1.9094298134565782E-6</v>
      </c>
      <c r="H61" s="9">
        <v>0</v>
      </c>
      <c r="I61" s="8">
        <f t="shared" ca="1" si="14"/>
        <v>-1.9094298134565782E-6</v>
      </c>
      <c r="J61" s="8">
        <f t="shared" ca="1" si="15"/>
        <v>-3.7750230256150046E-6</v>
      </c>
      <c r="K61" s="8">
        <f t="shared" ca="1" si="16"/>
        <v>-5.5537011281405852E-6</v>
      </c>
      <c r="L61" s="8">
        <f t="shared" ca="1" si="17"/>
        <v>-7.2039155420287098E-6</v>
      </c>
      <c r="M61" s="8">
        <f t="shared" ca="1" si="18"/>
        <v>-8.6864436422352796E-6</v>
      </c>
      <c r="N61" s="8">
        <f t="shared" ca="1" si="19"/>
        <v>-9.965213013001459E-6</v>
      </c>
      <c r="O61" s="8">
        <f t="shared" ca="1" si="20"/>
        <v>-1.1008148912290324E-5</v>
      </c>
      <c r="P61" s="8">
        <f t="shared" ca="1" si="21"/>
        <v>-1.1788028971752201E-5</v>
      </c>
      <c r="Q61" s="8">
        <f t="shared" ca="1" si="22"/>
        <v>-1.2283317493551217E-5</v>
      </c>
      <c r="R61" s="8">
        <f t="shared" ca="1" si="23"/>
        <v>-1.2478940898821044E-5</v>
      </c>
      <c r="S61" s="8">
        <f t="shared" ca="1" si="24"/>
        <v>-1.2366957762260353E-5</v>
      </c>
      <c r="T61" s="8">
        <f t="shared" ca="1" si="25"/>
        <v>-1.1947073210607118E-5</v>
      </c>
      <c r="U61" s="8">
        <f t="shared" ca="1" si="26"/>
        <v>-1.1226949561404474E-5</v>
      </c>
      <c r="V61" s="8">
        <f t="shared" ca="1" si="27"/>
        <v>-1.0222273303927078E-5</v>
      </c>
      <c r="W61" s="8">
        <f t="shared" ca="1" si="28"/>
        <v>-8.9565520757157977E-6</v>
      </c>
      <c r="X61" s="8">
        <f t="shared" ca="1" si="29"/>
        <v>-7.4606322797967599E-6</v>
      </c>
      <c r="Y61" s="8">
        <f t="shared" ca="1" si="30"/>
        <v>-5.7719458965797316E-6</v>
      </c>
      <c r="Z61" s="8">
        <f t="shared" ca="1" si="31"/>
        <v>-3.9335113837949209E-6</v>
      </c>
      <c r="AA61" s="8">
        <f t="shared" ca="1" si="32"/>
        <v>-1.9927265290081425E-6</v>
      </c>
      <c r="AB61" s="9">
        <v>0</v>
      </c>
      <c r="AC61" s="12">
        <f t="shared" ca="1" si="10"/>
        <v>1.9927265290081425E-6</v>
      </c>
      <c r="AF61" s="2">
        <f t="shared" si="11"/>
        <v>3.6000000000000019</v>
      </c>
      <c r="AH61" s="15">
        <v>0</v>
      </c>
      <c r="AI61" s="13">
        <f t="shared" si="54"/>
        <v>-1.9062733756566961E-6</v>
      </c>
      <c r="AJ61" s="13">
        <f t="shared" si="54"/>
        <v>-3.7686890220141402E-6</v>
      </c>
      <c r="AK61" s="13">
        <f t="shared" si="54"/>
        <v>-5.5441358262737832E-6</v>
      </c>
      <c r="AL61" s="13">
        <f t="shared" si="54"/>
        <v>-7.1910770337530729E-6</v>
      </c>
      <c r="AM61" s="13">
        <f t="shared" si="54"/>
        <v>-8.6703657399118872E-6</v>
      </c>
      <c r="AN61" s="13">
        <f t="shared" si="54"/>
        <v>-9.9460232667488987E-6</v>
      </c>
      <c r="AO61" s="13">
        <f t="shared" si="54"/>
        <v>-1.0986124277882378E-5</v>
      </c>
      <c r="AP61" s="13">
        <f t="shared" si="54"/>
        <v>-1.1763745380964247E-5</v>
      </c>
      <c r="AQ61" s="13">
        <f t="shared" si="54"/>
        <v>-1.2257686611967304E-5</v>
      </c>
      <c r="AR61" s="13">
        <f t="shared" si="54"/>
        <v>-1.2452942853819869E-5</v>
      </c>
      <c r="AS61" s="13">
        <f t="shared" si="54"/>
        <v>-1.2341287008807965E-5</v>
      </c>
      <c r="AT61" s="13">
        <f t="shared" si="54"/>
        <v>-1.1922067810859433E-5</v>
      </c>
      <c r="AU61" s="13">
        <f t="shared" si="54"/>
        <v>-1.1202799381681743E-5</v>
      </c>
      <c r="AV61" s="13">
        <f t="shared" si="54"/>
        <v>-1.0199231927490214E-5</v>
      </c>
      <c r="AW61" s="13">
        <f t="shared" si="54"/>
        <v>-8.935079391464682E-6</v>
      </c>
      <c r="AX61" s="13">
        <f t="shared" si="54"/>
        <v>-7.4415348698907271E-6</v>
      </c>
      <c r="AY61" s="13">
        <f t="shared" si="54"/>
        <v>-5.7563600023673658E-6</v>
      </c>
      <c r="AZ61" s="13">
        <f t="shared" si="54"/>
        <v>-3.9225605242035394E-6</v>
      </c>
      <c r="BA61" s="13">
        <f t="shared" si="54"/>
        <v>-1.9871229478937213E-6</v>
      </c>
      <c r="BB61" s="15">
        <v>0</v>
      </c>
      <c r="BF61" s="2">
        <f t="shared" si="12"/>
        <v>3.6000000000000019</v>
      </c>
      <c r="BH61" s="3"/>
      <c r="BI61" s="13">
        <f t="shared" ca="1" si="35"/>
        <v>1.6558159182151536E-3</v>
      </c>
      <c r="BJ61" s="13">
        <f t="shared" ca="1" si="36"/>
        <v>1.6806914987852509E-3</v>
      </c>
      <c r="BK61" s="13">
        <f t="shared" ca="1" si="37"/>
        <v>1.7253007802355376E-3</v>
      </c>
      <c r="BL61" s="13">
        <f t="shared" ca="1" si="38"/>
        <v>1.7853387212202257E-3</v>
      </c>
      <c r="BM61" s="13">
        <f t="shared" ca="1" si="39"/>
        <v>1.8543511087867599E-3</v>
      </c>
      <c r="BN61" s="13">
        <f t="shared" ca="1" si="40"/>
        <v>1.9293888359093803E-3</v>
      </c>
      <c r="BO61" s="13">
        <f t="shared" ca="1" si="41"/>
        <v>2.004768365153778E-3</v>
      </c>
      <c r="BP61" s="13">
        <f t="shared" ca="1" si="42"/>
        <v>2.0642737496892908E-3</v>
      </c>
      <c r="BQ61" s="13">
        <f t="shared" ca="1" si="43"/>
        <v>2.0910048033769596E-3</v>
      </c>
      <c r="BR61" s="13">
        <f t="shared" ca="1" si="44"/>
        <v>2.0877029073654478E-3</v>
      </c>
      <c r="BS61" s="13">
        <f t="shared" ca="1" si="45"/>
        <v>2.0800710196648819E-3</v>
      </c>
      <c r="BT61" s="13">
        <f t="shared" ca="1" si="46"/>
        <v>2.0974045899074842E-3</v>
      </c>
      <c r="BU61" s="13">
        <f t="shared" ca="1" si="47"/>
        <v>2.1557272338751663E-3</v>
      </c>
      <c r="BV61" s="13">
        <f t="shared" ca="1" si="48"/>
        <v>2.2591285893559018E-3</v>
      </c>
      <c r="BW61" s="13">
        <f t="shared" ca="1" si="49"/>
        <v>2.4031889712840997E-3</v>
      </c>
      <c r="BX61" s="13">
        <f t="shared" ca="1" si="50"/>
        <v>2.5663267376872779E-3</v>
      </c>
      <c r="BY61" s="13">
        <f t="shared" ca="1" si="51"/>
        <v>2.7075954606653996E-3</v>
      </c>
      <c r="BZ61" s="13">
        <f t="shared" ca="1" si="52"/>
        <v>2.7917630649192137E-3</v>
      </c>
      <c r="CA61" s="13">
        <f t="shared" ca="1" si="53"/>
        <v>2.819946858527698E-3</v>
      </c>
      <c r="CB61" s="3"/>
    </row>
    <row r="62" spans="4:80" x14ac:dyDescent="0.25">
      <c r="D62" s="17"/>
      <c r="E62" s="2">
        <f t="shared" si="9"/>
        <v>3.5000000000000018</v>
      </c>
      <c r="G62" s="12">
        <f t="shared" ca="1" si="13"/>
        <v>2.420943335519765E-6</v>
      </c>
      <c r="H62" s="9">
        <v>0</v>
      </c>
      <c r="I62" s="8">
        <f t="shared" ca="1" si="14"/>
        <v>-2.4209433355197654E-6</v>
      </c>
      <c r="J62" s="8">
        <f t="shared" ca="1" si="15"/>
        <v>-4.7866555258330253E-6</v>
      </c>
      <c r="K62" s="8">
        <f t="shared" ca="1" si="16"/>
        <v>-7.0428227617514737E-6</v>
      </c>
      <c r="L62" s="8">
        <f t="shared" ca="1" si="17"/>
        <v>-9.1369875632634643E-6</v>
      </c>
      <c r="M62" s="8">
        <f t="shared" ca="1" si="18"/>
        <v>-1.1019526725033992E-5</v>
      </c>
      <c r="N62" s="8">
        <f t="shared" ca="1" si="19"/>
        <v>-1.2644676953379462E-5</v>
      </c>
      <c r="O62" s="8">
        <f t="shared" ca="1" si="20"/>
        <v>-1.3971604617374395E-5</v>
      </c>
      <c r="P62" s="8">
        <f t="shared" ca="1" si="21"/>
        <v>-1.4965500826190373E-5</v>
      </c>
      <c r="Q62" s="8">
        <f t="shared" ca="1" si="22"/>
        <v>-1.5598666410333081E-5</v>
      </c>
      <c r="R62" s="8">
        <f t="shared" ca="1" si="23"/>
        <v>-1.5851535476048659E-5</v>
      </c>
      <c r="S62" s="8">
        <f t="shared" ca="1" si="24"/>
        <v>-1.5713573711237124E-5</v>
      </c>
      <c r="T62" s="8">
        <f t="shared" ca="1" si="25"/>
        <v>-1.5183981342032182E-5</v>
      </c>
      <c r="U62" s="8">
        <f t="shared" ca="1" si="26"/>
        <v>-1.4272132755725832E-5</v>
      </c>
      <c r="V62" s="8">
        <f t="shared" ca="1" si="27"/>
        <v>-1.2997696105805723E-5</v>
      </c>
      <c r="W62" s="8">
        <f t="shared" ca="1" si="28"/>
        <v>-1.13903955782951E-5</v>
      </c>
      <c r="X62" s="8">
        <f t="shared" ca="1" si="29"/>
        <v>-9.4894034764708348E-6</v>
      </c>
      <c r="Y62" s="8">
        <f t="shared" ca="1" si="30"/>
        <v>-7.3423748385885013E-6</v>
      </c>
      <c r="Z62" s="8">
        <f t="shared" ca="1" si="31"/>
        <v>-5.0041599801604191E-6</v>
      </c>
      <c r="AA62" s="8">
        <f t="shared" ca="1" si="32"/>
        <v>-2.5352473972049076E-6</v>
      </c>
      <c r="AB62" s="9">
        <v>0</v>
      </c>
      <c r="AC62" s="12">
        <f t="shared" ca="1" si="10"/>
        <v>2.5352473972049076E-6</v>
      </c>
      <c r="AF62" s="2">
        <f t="shared" si="11"/>
        <v>3.5000000000000018</v>
      </c>
      <c r="AH62" s="15">
        <v>0</v>
      </c>
      <c r="AI62" s="13">
        <f t="shared" si="54"/>
        <v>-2.4171915628119993E-6</v>
      </c>
      <c r="AJ62" s="13">
        <f t="shared" si="54"/>
        <v>-4.7791166252360412E-6</v>
      </c>
      <c r="AK62" s="13">
        <f t="shared" si="54"/>
        <v>-7.0313973290742561E-6</v>
      </c>
      <c r="AL62" s="13">
        <f t="shared" si="54"/>
        <v>-9.1215770801974026E-6</v>
      </c>
      <c r="AM62" s="13">
        <f t="shared" si="54"/>
        <v>-1.1000128305361425E-5</v>
      </c>
      <c r="AN62" s="13">
        <f t="shared" si="54"/>
        <v>-1.2621391020088194E-5</v>
      </c>
      <c r="AO62" s="13">
        <f t="shared" si="54"/>
        <v>-1.3944709345120139E-5</v>
      </c>
      <c r="AP62" s="13">
        <f t="shared" si="54"/>
        <v>-1.4935709963963679E-5</v>
      </c>
      <c r="AQ62" s="13">
        <f t="shared" si="54"/>
        <v>-1.5567220093032827E-5</v>
      </c>
      <c r="AR62" s="13">
        <f t="shared" si="54"/>
        <v>-1.5819780964807928E-5</v>
      </c>
      <c r="AS62" s="13">
        <f t="shared" si="54"/>
        <v>-1.5682392899451214E-5</v>
      </c>
      <c r="AT62" s="13">
        <f t="shared" si="54"/>
        <v>-1.5153688291289136E-5</v>
      </c>
      <c r="AU62" s="13">
        <f t="shared" si="54"/>
        <v>-1.4242819495113091E-5</v>
      </c>
      <c r="AV62" s="13">
        <f t="shared" si="54"/>
        <v>-1.2969553355287396E-5</v>
      </c>
      <c r="AW62" s="13">
        <f t="shared" si="54"/>
        <v>-1.136391268951246E-5</v>
      </c>
      <c r="AX62" s="13">
        <f t="shared" si="54"/>
        <v>-9.4656012738114172E-6</v>
      </c>
      <c r="AY62" s="13">
        <f t="shared" si="54"/>
        <v>-7.3228118253321348E-6</v>
      </c>
      <c r="AZ62" s="13">
        <f t="shared" si="54"/>
        <v>-4.990399298826425E-6</v>
      </c>
      <c r="BA62" s="13">
        <f t="shared" si="54"/>
        <v>-2.5282262276452203E-6</v>
      </c>
      <c r="BB62" s="15">
        <v>0</v>
      </c>
      <c r="BF62" s="2">
        <f t="shared" si="12"/>
        <v>3.5000000000000018</v>
      </c>
      <c r="BH62" s="3"/>
      <c r="BI62" s="13">
        <f t="shared" ca="1" si="35"/>
        <v>1.5521205540704422E-3</v>
      </c>
      <c r="BJ62" s="13">
        <f t="shared" ca="1" si="36"/>
        <v>1.5774673832346206E-3</v>
      </c>
      <c r="BK62" s="13">
        <f t="shared" ca="1" si="37"/>
        <v>1.6249163775704108E-3</v>
      </c>
      <c r="BL62" s="13">
        <f t="shared" ca="1" si="38"/>
        <v>1.689453800650029E-3</v>
      </c>
      <c r="BM62" s="13">
        <f t="shared" ca="1" si="39"/>
        <v>1.7634721281489004E-3</v>
      </c>
      <c r="BN62" s="13">
        <f t="shared" ca="1" si="40"/>
        <v>1.8449577589511694E-3</v>
      </c>
      <c r="BO62" s="13">
        <f t="shared" ca="1" si="41"/>
        <v>1.928707984413295E-3</v>
      </c>
      <c r="BP62" s="13">
        <f t="shared" ca="1" si="42"/>
        <v>1.9946063694710504E-3</v>
      </c>
      <c r="BQ62" s="13">
        <f t="shared" ca="1" si="43"/>
        <v>2.0200342201320337E-3</v>
      </c>
      <c r="BR62" s="13">
        <f t="shared" ca="1" si="44"/>
        <v>2.0072661758952903E-3</v>
      </c>
      <c r="BS62" s="13">
        <f t="shared" ca="1" si="45"/>
        <v>1.9882687537436392E-3</v>
      </c>
      <c r="BT62" s="13">
        <f t="shared" ca="1" si="46"/>
        <v>1.99905463018267E-3</v>
      </c>
      <c r="BU62" s="13">
        <f t="shared" ca="1" si="47"/>
        <v>2.0581079906825325E-3</v>
      </c>
      <c r="BV62" s="13">
        <f t="shared" ca="1" si="48"/>
        <v>2.1699089974331542E-3</v>
      </c>
      <c r="BW62" s="13">
        <f t="shared" ca="1" si="49"/>
        <v>2.3304375443750666E-3</v>
      </c>
      <c r="BX62" s="13">
        <f t="shared" ca="1" si="50"/>
        <v>2.5146001792058711E-3</v>
      </c>
      <c r="BY62" s="13">
        <f t="shared" ca="1" si="51"/>
        <v>2.6715165872064801E-3</v>
      </c>
      <c r="BZ62" s="13">
        <f t="shared" ca="1" si="52"/>
        <v>2.7574309208544126E-3</v>
      </c>
      <c r="CA62" s="13">
        <f t="shared" ca="1" si="53"/>
        <v>2.7771128560068786E-3</v>
      </c>
      <c r="CB62" s="3"/>
    </row>
    <row r="63" spans="4:80" x14ac:dyDescent="0.25">
      <c r="D63" s="17"/>
      <c r="E63" s="2">
        <f t="shared" si="9"/>
        <v>3.4000000000000017</v>
      </c>
      <c r="G63" s="12">
        <f t="shared" ca="1" si="13"/>
        <v>2.95441161219436E-6</v>
      </c>
      <c r="H63" s="9">
        <v>0</v>
      </c>
      <c r="I63" s="8">
        <f t="shared" ca="1" si="14"/>
        <v>-2.95441161219436E-6</v>
      </c>
      <c r="J63" s="8">
        <f t="shared" ca="1" si="15"/>
        <v>-5.8419620389518913E-6</v>
      </c>
      <c r="K63" s="8">
        <f t="shared" ca="1" si="16"/>
        <v>-8.5968421128248346E-6</v>
      </c>
      <c r="L63" s="8">
        <f t="shared" ca="1" si="17"/>
        <v>-1.1155379393147614E-5</v>
      </c>
      <c r="M63" s="8">
        <f t="shared" ca="1" si="18"/>
        <v>-1.3457182769603117E-5</v>
      </c>
      <c r="N63" s="8">
        <f t="shared" ca="1" si="19"/>
        <v>-1.5446363245581371E-5</v>
      </c>
      <c r="O63" s="8">
        <f t="shared" ca="1" si="20"/>
        <v>-1.7072831110506315E-5</v>
      </c>
      <c r="P63" s="8">
        <f t="shared" ca="1" si="21"/>
        <v>-1.8293649273577528E-5</v>
      </c>
      <c r="Q63" s="8">
        <f t="shared" ca="1" si="22"/>
        <v>-1.9074399405018201E-5</v>
      </c>
      <c r="R63" s="8">
        <f t="shared" ca="1" si="23"/>
        <v>-1.9390494518997762E-5</v>
      </c>
      <c r="S63" s="8">
        <f t="shared" ca="1" si="24"/>
        <v>-1.9228352615153916E-5</v>
      </c>
      <c r="T63" s="8">
        <f t="shared" ca="1" si="25"/>
        <v>-1.858633534783215E-5</v>
      </c>
      <c r="U63" s="8">
        <f t="shared" ca="1" si="26"/>
        <v>-1.7475357131253872E-5</v>
      </c>
      <c r="V63" s="8">
        <f t="shared" ca="1" si="27"/>
        <v>-1.5919085252467071E-5</v>
      </c>
      <c r="W63" s="8">
        <f t="shared" ca="1" si="28"/>
        <v>-1.3953678968220892E-5</v>
      </c>
      <c r="X63" s="8">
        <f t="shared" ca="1" si="29"/>
        <v>-1.1627050608125132E-5</v>
      </c>
      <c r="Y63" s="8">
        <f t="shared" ca="1" si="30"/>
        <v>-8.997667916735939E-6</v>
      </c>
      <c r="Z63" s="8">
        <f t="shared" ca="1" si="31"/>
        <v>-6.1329478963700554E-6</v>
      </c>
      <c r="AA63" s="8">
        <f t="shared" ca="1" si="32"/>
        <v>-3.1073140304218908E-6</v>
      </c>
      <c r="AB63" s="9">
        <v>0</v>
      </c>
      <c r="AC63" s="12">
        <f t="shared" ca="1" si="10"/>
        <v>3.1073140304218908E-6</v>
      </c>
      <c r="AF63" s="2">
        <f t="shared" si="11"/>
        <v>3.4000000000000017</v>
      </c>
      <c r="AH63" s="15">
        <v>0</v>
      </c>
      <c r="AI63" s="13">
        <f t="shared" si="54"/>
        <v>-2.9502008655445992E-6</v>
      </c>
      <c r="AJ63" s="13">
        <f t="shared" si="54"/>
        <v>-5.8334693195977345E-6</v>
      </c>
      <c r="AK63" s="13">
        <f t="shared" si="54"/>
        <v>-8.583912793097376E-6</v>
      </c>
      <c r="AL63" s="13">
        <f t="shared" si="54"/>
        <v>-1.113783250290125E-5</v>
      </c>
      <c r="AM63" s="13">
        <f t="shared" si="54"/>
        <v>-1.3434893927086795E-5</v>
      </c>
      <c r="AN63" s="13">
        <f t="shared" si="54"/>
        <v>-1.5419292409945943E-5</v>
      </c>
      <c r="AO63" s="13">
        <f t="shared" si="54"/>
        <v>-1.7041095690060152E-5</v>
      </c>
      <c r="AP63" s="13">
        <f t="shared" si="54"/>
        <v>-1.8257727509670546E-5</v>
      </c>
      <c r="AQ63" s="13">
        <f t="shared" si="54"/>
        <v>-1.9035242414714478E-5</v>
      </c>
      <c r="AR63" s="13">
        <f t="shared" si="54"/>
        <v>-1.9349312893775648E-5</v>
      </c>
      <c r="AS63" s="13">
        <f t="shared" si="54"/>
        <v>-1.9186281640929297E-5</v>
      </c>
      <c r="AT63" s="13">
        <f t="shared" si="54"/>
        <v>-1.8544355917640348E-5</v>
      </c>
      <c r="AU63" s="13">
        <f t="shared" si="54"/>
        <v>-1.7434448832438588E-5</v>
      </c>
      <c r="AV63" s="13">
        <f t="shared" si="54"/>
        <v>-1.5880321559856515E-5</v>
      </c>
      <c r="AW63" s="13">
        <f t="shared" si="54"/>
        <v>-1.3918240514024918E-5</v>
      </c>
      <c r="AX63" s="13">
        <f t="shared" si="54"/>
        <v>-1.1596296379776304E-5</v>
      </c>
      <c r="AY63" s="13">
        <f t="shared" si="54"/>
        <v>-8.9731152365139181E-6</v>
      </c>
      <c r="AZ63" s="13">
        <f t="shared" si="54"/>
        <v>-6.11594702860566E-6</v>
      </c>
      <c r="BA63" s="13">
        <f t="shared" si="54"/>
        <v>-3.0986748187239565E-6</v>
      </c>
      <c r="BB63" s="15">
        <v>0</v>
      </c>
      <c r="BF63" s="2">
        <f t="shared" si="12"/>
        <v>3.4000000000000017</v>
      </c>
      <c r="BH63" s="3"/>
      <c r="BI63" s="13">
        <f t="shared" ca="1" si="35"/>
        <v>1.4272745625350824E-3</v>
      </c>
      <c r="BJ63" s="13">
        <f t="shared" ca="1" si="36"/>
        <v>1.4558608075001165E-3</v>
      </c>
      <c r="BK63" s="13">
        <f t="shared" ca="1" si="37"/>
        <v>1.5062268267514976E-3</v>
      </c>
      <c r="BL63" s="13">
        <f t="shared" ca="1" si="38"/>
        <v>1.5754313275759696E-3</v>
      </c>
      <c r="BM63" s="13">
        <f t="shared" ca="1" si="39"/>
        <v>1.6590263114310505E-3</v>
      </c>
      <c r="BN63" s="13">
        <f t="shared" ca="1" si="40"/>
        <v>1.7556470761243188E-3</v>
      </c>
      <c r="BO63" s="13">
        <f t="shared" ca="1" si="41"/>
        <v>1.8622875561149401E-3</v>
      </c>
      <c r="BP63" s="13">
        <f t="shared" ca="1" si="42"/>
        <v>1.9674827487679005E-3</v>
      </c>
      <c r="BQ63" s="13">
        <f t="shared" ca="1" si="43"/>
        <v>2.0570786255631772E-3</v>
      </c>
      <c r="BR63" s="13">
        <f t="shared" ca="1" si="44"/>
        <v>2.1283249409523447E-3</v>
      </c>
      <c r="BS63" s="13">
        <f t="shared" ca="1" si="45"/>
        <v>2.1927632989016104E-3</v>
      </c>
      <c r="BT63" s="13">
        <f t="shared" ca="1" si="46"/>
        <v>2.2637308288430873E-3</v>
      </c>
      <c r="BU63" s="13">
        <f t="shared" ca="1" si="47"/>
        <v>2.3464061989255229E-3</v>
      </c>
      <c r="BV63" s="13">
        <f t="shared" ca="1" si="48"/>
        <v>2.4409891490198752E-3</v>
      </c>
      <c r="BW63" s="13">
        <f t="shared" ca="1" si="49"/>
        <v>2.5461878001219579E-3</v>
      </c>
      <c r="BX63" s="13">
        <f t="shared" ca="1" si="50"/>
        <v>2.6520733294177054E-3</v>
      </c>
      <c r="BY63" s="13">
        <f t="shared" ca="1" si="51"/>
        <v>2.7362492930113869E-3</v>
      </c>
      <c r="BZ63" s="13">
        <f t="shared" ca="1" si="52"/>
        <v>2.7797604663478202E-3</v>
      </c>
      <c r="CA63" s="13">
        <f t="shared" ca="1" si="53"/>
        <v>2.788034306062451E-3</v>
      </c>
      <c r="CB63" s="3"/>
    </row>
    <row r="64" spans="4:80" x14ac:dyDescent="0.25">
      <c r="D64" s="17"/>
      <c r="E64" s="2">
        <f t="shared" si="9"/>
        <v>3.3000000000000016</v>
      </c>
      <c r="G64" s="12">
        <f t="shared" ca="1" si="13"/>
        <v>3.5133233695958668E-6</v>
      </c>
      <c r="H64" s="9">
        <v>0</v>
      </c>
      <c r="I64" s="8">
        <f t="shared" ca="1" si="14"/>
        <v>-3.5133233695958668E-6</v>
      </c>
      <c r="J64" s="8">
        <f t="shared" ca="1" si="15"/>
        <v>-6.9479306544096917E-6</v>
      </c>
      <c r="K64" s="8">
        <f t="shared" ca="1" si="16"/>
        <v>-1.0226258739640834E-5</v>
      </c>
      <c r="L64" s="8">
        <f t="shared" ca="1" si="17"/>
        <v>-1.3273097934171665E-5</v>
      </c>
      <c r="M64" s="8">
        <f t="shared" ca="1" si="18"/>
        <v>-1.6016880838200848E-5</v>
      </c>
      <c r="N64" s="8">
        <f t="shared" ca="1" si="19"/>
        <v>-1.8391087250610691E-5</v>
      </c>
      <c r="O64" s="8">
        <f t="shared" ca="1" si="20"/>
        <v>-2.0335772546598841E-5</v>
      </c>
      <c r="P64" s="8">
        <f t="shared" ca="1" si="21"/>
        <v>-2.1799200280639877E-5</v>
      </c>
      <c r="Q64" s="8">
        <f t="shared" ca="1" si="22"/>
        <v>-2.2739528232382789E-5</v>
      </c>
      <c r="R64" s="8">
        <f t="shared" ca="1" si="23"/>
        <v>-2.3126464159126657E-5</v>
      </c>
      <c r="S64" s="8">
        <f t="shared" ca="1" si="24"/>
        <v>-2.2942778631456367E-5</v>
      </c>
      <c r="T64" s="8">
        <f t="shared" ca="1" si="25"/>
        <v>-2.2185544361827555E-5</v>
      </c>
      <c r="U64" s="8">
        <f t="shared" ca="1" si="26"/>
        <v>-2.0866970792450568E-5</v>
      </c>
      <c r="V64" s="8">
        <f t="shared" ca="1" si="27"/>
        <v>-1.9014722747940087E-5</v>
      </c>
      <c r="W64" s="8">
        <f t="shared" ca="1" si="28"/>
        <v>-1.6671650862870046E-5</v>
      </c>
      <c r="X64" s="8">
        <f t="shared" ca="1" si="29"/>
        <v>-1.3894912046612114E-5</v>
      </c>
      <c r="Y64" s="8">
        <f t="shared" ca="1" si="30"/>
        <v>-1.0754509923600243E-5</v>
      </c>
      <c r="Z64" s="8">
        <f t="shared" ca="1" si="31"/>
        <v>-7.3313276737050604E-6</v>
      </c>
      <c r="AA64" s="8">
        <f t="shared" ca="1" si="32"/>
        <v>-3.7147523837804966E-6</v>
      </c>
      <c r="AB64" s="9">
        <v>0</v>
      </c>
      <c r="AC64" s="12">
        <f t="shared" ca="1" si="10"/>
        <v>3.7147523837804966E-6</v>
      </c>
      <c r="AF64" s="2">
        <f t="shared" si="11"/>
        <v>3.3000000000000016</v>
      </c>
      <c r="AH64" s="15">
        <v>0</v>
      </c>
      <c r="AI64" s="13">
        <f t="shared" si="54"/>
        <v>-3.5088171209486092E-6</v>
      </c>
      <c r="AJ64" s="13">
        <f t="shared" si="54"/>
        <v>-6.9387936037194191E-6</v>
      </c>
      <c r="AK64" s="13">
        <f t="shared" si="54"/>
        <v>-1.0212274738062778E-5</v>
      </c>
      <c r="AL64" s="13">
        <f t="shared" si="54"/>
        <v>-1.3253987461532108E-5</v>
      </c>
      <c r="AM64" s="13">
        <f t="shared" si="54"/>
        <v>-1.5992340565512042E-5</v>
      </c>
      <c r="AN64" s="13">
        <f t="shared" si="54"/>
        <v>-1.8360867785174177E-5</v>
      </c>
      <c r="AO64" s="13">
        <f t="shared" si="54"/>
        <v>-2.0299740211270079E-5</v>
      </c>
      <c r="AP64" s="13">
        <f t="shared" si="54"/>
        <v>-2.1757353707506913E-5</v>
      </c>
      <c r="AQ64" s="13">
        <f t="shared" si="54"/>
        <v>-2.2692087807587839E-5</v>
      </c>
      <c r="AR64" s="13">
        <f t="shared" si="54"/>
        <v>-2.3074121697644664E-5</v>
      </c>
      <c r="AS64" s="13">
        <f t="shared" si="54"/>
        <v>-2.2886939416074076E-5</v>
      </c>
      <c r="AT64" s="13">
        <f t="shared" si="54"/>
        <v>-2.2128309540770802E-5</v>
      </c>
      <c r="AU64" s="13">
        <f t="shared" si="54"/>
        <v>-2.0810854767772891E-5</v>
      </c>
      <c r="AV64" s="13">
        <f t="shared" si="54"/>
        <v>-1.8962296730493562E-5</v>
      </c>
      <c r="AW64" s="13">
        <f t="shared" si="54"/>
        <v>-1.6625216324929254E-5</v>
      </c>
      <c r="AX64" s="13">
        <f t="shared" si="54"/>
        <v>-1.3856228961095976E-5</v>
      </c>
      <c r="AY64" s="13">
        <f t="shared" si="54"/>
        <v>-1.0724704034950826E-5</v>
      </c>
      <c r="AZ64" s="13">
        <f t="shared" si="54"/>
        <v>-7.3110641773685493E-6</v>
      </c>
      <c r="BA64" s="13">
        <f t="shared" si="54"/>
        <v>-3.7044812836793516E-6</v>
      </c>
      <c r="BB64" s="15">
        <v>0</v>
      </c>
      <c r="BF64" s="2">
        <f t="shared" si="12"/>
        <v>3.3000000000000016</v>
      </c>
      <c r="BH64" s="3"/>
      <c r="BI64" s="13">
        <f t="shared" ca="1" si="35"/>
        <v>1.2842643238241329E-3</v>
      </c>
      <c r="BJ64" s="13">
        <f t="shared" ca="1" si="36"/>
        <v>1.3168068128406045E-3</v>
      </c>
      <c r="BK64" s="13">
        <f t="shared" ca="1" si="37"/>
        <v>1.3693326841213369E-3</v>
      </c>
      <c r="BL64" s="13">
        <f t="shared" ca="1" si="38"/>
        <v>1.4418659060167554E-3</v>
      </c>
      <c r="BM64" s="13">
        <f t="shared" ca="1" si="39"/>
        <v>1.5345016314702073E-3</v>
      </c>
      <c r="BN64" s="13">
        <f t="shared" ca="1" si="40"/>
        <v>1.6458625915772558E-3</v>
      </c>
      <c r="BO64" s="13">
        <f t="shared" ca="1" si="41"/>
        <v>1.7750146038202565E-3</v>
      </c>
      <c r="BP64" s="13">
        <f t="shared" ca="1" si="42"/>
        <v>1.9233300931503459E-3</v>
      </c>
      <c r="BQ64" s="13">
        <f t="shared" ca="1" si="43"/>
        <v>2.0906152486809227E-3</v>
      </c>
      <c r="BR64" s="13">
        <f t="shared" ca="1" si="44"/>
        <v>2.2684487049114978E-3</v>
      </c>
      <c r="BS64" s="13">
        <f t="shared" ca="1" si="45"/>
        <v>2.4397851703611409E-3</v>
      </c>
      <c r="BT64" s="13">
        <f t="shared" ca="1" si="46"/>
        <v>2.5864976694808172E-3</v>
      </c>
      <c r="BU64" s="13">
        <f t="shared" ca="1" si="47"/>
        <v>2.6964786071438022E-3</v>
      </c>
      <c r="BV64" s="13">
        <f t="shared" ca="1" si="48"/>
        <v>2.7647503987329614E-3</v>
      </c>
      <c r="BW64" s="13">
        <f t="shared" ca="1" si="49"/>
        <v>2.7930185709021025E-3</v>
      </c>
      <c r="BX64" s="13">
        <f t="shared" ca="1" si="50"/>
        <v>2.7917469915334503E-3</v>
      </c>
      <c r="BY64" s="13">
        <f t="shared" ca="1" si="51"/>
        <v>2.7791805305099723E-3</v>
      </c>
      <c r="BZ64" s="13">
        <f t="shared" ca="1" si="52"/>
        <v>2.7716206348231665E-3</v>
      </c>
      <c r="CA64" s="13">
        <f t="shared" ca="1" si="53"/>
        <v>2.7726149262504948E-3</v>
      </c>
      <c r="CB64" s="3"/>
    </row>
    <row r="65" spans="4:80" x14ac:dyDescent="0.25">
      <c r="D65" s="17"/>
      <c r="E65" s="2">
        <f t="shared" si="9"/>
        <v>3.2000000000000015</v>
      </c>
      <c r="G65" s="12">
        <f t="shared" ca="1" si="13"/>
        <v>4.100565034080509E-6</v>
      </c>
      <c r="H65" s="9">
        <v>0</v>
      </c>
      <c r="I65" s="8">
        <f t="shared" ca="1" si="14"/>
        <v>-4.100565034080509E-6</v>
      </c>
      <c r="J65" s="8">
        <f t="shared" ca="1" si="15"/>
        <v>-8.1103796312789769E-6</v>
      </c>
      <c r="K65" s="8">
        <f t="shared" ca="1" si="16"/>
        <v>-1.1939902346144028E-5</v>
      </c>
      <c r="L65" s="8">
        <f t="shared" ca="1" si="17"/>
        <v>-1.5502076220136121E-5</v>
      </c>
      <c r="M65" s="8">
        <f t="shared" ca="1" si="18"/>
        <v>-1.8713729955231211E-5</v>
      </c>
      <c r="N65" s="8">
        <f t="shared" ca="1" si="19"/>
        <v>-2.1497148627026557E-5</v>
      </c>
      <c r="O65" s="8">
        <f t="shared" ca="1" si="20"/>
        <v>-2.3781833546378315E-5</v>
      </c>
      <c r="P65" s="8">
        <f t="shared" ca="1" si="21"/>
        <v>-2.5506437157577945E-5</v>
      </c>
      <c r="Q65" s="8">
        <f t="shared" ca="1" si="22"/>
        <v>-2.6620816678742735E-5</v>
      </c>
      <c r="R65" s="8">
        <f t="shared" ca="1" si="23"/>
        <v>-2.7088103371774735E-5</v>
      </c>
      <c r="S65" s="8">
        <f t="shared" ca="1" si="24"/>
        <v>-2.6886640396506304E-5</v>
      </c>
      <c r="T65" s="8">
        <f t="shared" ca="1" si="25"/>
        <v>-2.6011611881685496E-5</v>
      </c>
      <c r="U65" s="8">
        <f t="shared" ca="1" si="26"/>
        <v>-2.4476180302737144E-5</v>
      </c>
      <c r="V65" s="8">
        <f t="shared" ca="1" si="27"/>
        <v>-2.2311975337855734E-5</v>
      </c>
      <c r="W65" s="8">
        <f t="shared" ca="1" si="28"/>
        <v>-1.9568833172277796E-5</v>
      </c>
      <c r="X65" s="8">
        <f t="shared" ca="1" si="29"/>
        <v>-1.631375926647394E-5</v>
      </c>
      <c r="Y65" s="8">
        <f t="shared" ca="1" si="30"/>
        <v>-1.2629162549633319E-5</v>
      </c>
      <c r="Z65" s="8">
        <f t="shared" ca="1" si="31"/>
        <v>-8.6104678025170017E-6</v>
      </c>
      <c r="AA65" s="8">
        <f t="shared" ca="1" si="32"/>
        <v>-4.3632450873527246E-6</v>
      </c>
      <c r="AB65" s="9">
        <v>0</v>
      </c>
      <c r="AC65" s="12">
        <f t="shared" ca="1" si="10"/>
        <v>4.3632450873527246E-6</v>
      </c>
      <c r="AF65" s="2">
        <f t="shared" si="11"/>
        <v>3.2000000000000015</v>
      </c>
      <c r="AH65" s="15">
        <v>0</v>
      </c>
      <c r="AI65" s="13">
        <f t="shared" si="54"/>
        <v>-4.0959459019890198E-6</v>
      </c>
      <c r="AJ65" s="13">
        <f t="shared" si="54"/>
        <v>-8.1009599125421505E-6</v>
      </c>
      <c r="AK65" s="13">
        <f t="shared" si="54"/>
        <v>-1.1925397320323411E-5</v>
      </c>
      <c r="AL65" s="13">
        <f t="shared" si="54"/>
        <v>-1.5482102350482997E-5</v>
      </c>
      <c r="AM65" s="13">
        <f t="shared" si="54"/>
        <v>-1.8687808955380468E-5</v>
      </c>
      <c r="AN65" s="13">
        <f t="shared" si="54"/>
        <v>-2.1464843363085226E-5</v>
      </c>
      <c r="AO65" s="13">
        <f t="shared" si="54"/>
        <v>-2.3742812521705206E-5</v>
      </c>
      <c r="AP65" s="13">
        <f t="shared" si="54"/>
        <v>-2.546031623594421E-5</v>
      </c>
      <c r="AQ65" s="13">
        <f t="shared" si="54"/>
        <v>-2.6567202225772994E-5</v>
      </c>
      <c r="AR65" s="13">
        <f t="shared" si="54"/>
        <v>-2.7027231306646136E-5</v>
      </c>
      <c r="AS65" s="13">
        <f t="shared" si="54"/>
        <v>-2.6820117803981709E-5</v>
      </c>
      <c r="AT65" s="13">
        <f t="shared" si="54"/>
        <v>-2.5942445557757786E-5</v>
      </c>
      <c r="AU65" s="13">
        <f t="shared" si="54"/>
        <v>-2.4408116599819729E-5</v>
      </c>
      <c r="AV65" s="13">
        <f t="shared" si="54"/>
        <v>-2.2248783345207271E-5</v>
      </c>
      <c r="AW65" s="13">
        <f t="shared" si="54"/>
        <v>-1.9513724098977489E-5</v>
      </c>
      <c r="AX65" s="13">
        <f t="shared" si="54"/>
        <v>-1.6268825753600654E-5</v>
      </c>
      <c r="AY65" s="13">
        <f t="shared" si="54"/>
        <v>-1.259520506821384E-5</v>
      </c>
      <c r="AZ65" s="13">
        <f t="shared" si="54"/>
        <v>-8.5875929041316504E-6</v>
      </c>
      <c r="BA65" s="13">
        <f t="shared" si="54"/>
        <v>-4.3516449011934048E-6</v>
      </c>
      <c r="BB65" s="15">
        <v>0</v>
      </c>
      <c r="BF65" s="2">
        <f t="shared" si="12"/>
        <v>3.2000000000000015</v>
      </c>
      <c r="BH65" s="3"/>
      <c r="BI65" s="13">
        <f t="shared" ca="1" si="35"/>
        <v>1.1277326903282787E-3</v>
      </c>
      <c r="BJ65" s="13">
        <f t="shared" ca="1" si="36"/>
        <v>1.1627904394690891E-3</v>
      </c>
      <c r="BK65" s="13">
        <f t="shared" ca="1" si="37"/>
        <v>1.2163138410405203E-3</v>
      </c>
      <c r="BL65" s="13">
        <f t="shared" ca="1" si="38"/>
        <v>1.2901264441324979E-3</v>
      </c>
      <c r="BM65" s="13">
        <f t="shared" ca="1" si="39"/>
        <v>1.3870539833017511E-3</v>
      </c>
      <c r="BN65" s="13">
        <f t="shared" ca="1" si="40"/>
        <v>1.5050314318570401E-3</v>
      </c>
      <c r="BO65" s="13">
        <f t="shared" ca="1" si="41"/>
        <v>1.6434878823828004E-3</v>
      </c>
      <c r="BP65" s="13">
        <f t="shared" ca="1" si="42"/>
        <v>1.8114826699843875E-3</v>
      </c>
      <c r="BQ65" s="13">
        <f t="shared" ca="1" si="43"/>
        <v>2.0180692161001941E-3</v>
      </c>
      <c r="BR65" s="13">
        <f t="shared" ca="1" si="44"/>
        <v>2.2522493864782153E-3</v>
      </c>
      <c r="BS65" s="13">
        <f t="shared" ca="1" si="45"/>
        <v>2.4803243971851401E-3</v>
      </c>
      <c r="BT65" s="13">
        <f t="shared" ca="1" si="46"/>
        <v>2.6661450931339085E-3</v>
      </c>
      <c r="BU65" s="13">
        <f t="shared" ca="1" si="47"/>
        <v>2.7885684108014393E-3</v>
      </c>
      <c r="BV65" s="13">
        <f t="shared" ca="1" si="48"/>
        <v>2.8402448649883501E-3</v>
      </c>
      <c r="BW65" s="13">
        <f t="shared" ca="1" si="49"/>
        <v>2.8241187084937129E-3</v>
      </c>
      <c r="BX65" s="13">
        <f t="shared" ca="1" si="50"/>
        <v>2.7619395249433867E-3</v>
      </c>
      <c r="BY65" s="13">
        <f t="shared" ca="1" si="51"/>
        <v>2.6960641955069433E-3</v>
      </c>
      <c r="BZ65" s="13">
        <f t="shared" ca="1" si="52"/>
        <v>2.6637148081793413E-3</v>
      </c>
      <c r="CA65" s="13">
        <f t="shared" ca="1" si="53"/>
        <v>2.6657014583470495E-3</v>
      </c>
      <c r="CB65" s="3"/>
    </row>
    <row r="66" spans="4:80" x14ac:dyDescent="0.25">
      <c r="D66" s="17"/>
      <c r="E66" s="2">
        <f t="shared" si="9"/>
        <v>3.1000000000000014</v>
      </c>
      <c r="G66" s="12">
        <f t="shared" ca="1" si="13"/>
        <v>4.7182289675326767E-6</v>
      </c>
      <c r="H66" s="9">
        <v>0</v>
      </c>
      <c r="I66" s="8">
        <f t="shared" ca="1" si="14"/>
        <v>-4.7182289675326767E-6</v>
      </c>
      <c r="J66" s="8">
        <f t="shared" ca="1" si="15"/>
        <v>-9.333581477054573E-6</v>
      </c>
      <c r="K66" s="8">
        <f t="shared" ca="1" si="16"/>
        <v>-1.3744388051007661E-5</v>
      </c>
      <c r="L66" s="8">
        <f t="shared" ca="1" si="17"/>
        <v>-1.7851483009679805E-5</v>
      </c>
      <c r="M66" s="8">
        <f t="shared" ca="1" si="18"/>
        <v>-2.1559673529859552E-5</v>
      </c>
      <c r="N66" s="8">
        <f t="shared" ca="1" si="19"/>
        <v>-2.477944711541815E-5</v>
      </c>
      <c r="O66" s="8">
        <f t="shared" ca="1" si="20"/>
        <v>-2.7428956277619871E-5</v>
      </c>
      <c r="P66" s="8">
        <f t="shared" ca="1" si="21"/>
        <v>-2.9436278351080484E-5</v>
      </c>
      <c r="Q66" s="8">
        <f t="shared" ca="1" si="22"/>
        <v>-3.0741893308319687E-5</v>
      </c>
      <c r="R66" s="8">
        <f t="shared" ca="1" si="23"/>
        <v>-3.1301256545001724E-5</v>
      </c>
      <c r="S66" s="8">
        <f t="shared" ca="1" si="24"/>
        <v>-3.1087276655137359E-5</v>
      </c>
      <c r="T66" s="8">
        <f t="shared" ca="1" si="25"/>
        <v>-3.0092456850444074E-5</v>
      </c>
      <c r="U66" s="8">
        <f t="shared" ca="1" si="26"/>
        <v>-2.8330442611324777E-5</v>
      </c>
      <c r="V66" s="8">
        <f t="shared" ca="1" si="27"/>
        <v>-2.5836751343120754E-5</v>
      </c>
      <c r="W66" s="8">
        <f t="shared" ca="1" si="28"/>
        <v>-2.2668540998816587E-5</v>
      </c>
      <c r="X66" s="8">
        <f t="shared" ca="1" si="29"/>
        <v>-1.8903385244460761E-5</v>
      </c>
      <c r="Y66" s="8">
        <f t="shared" ca="1" si="30"/>
        <v>-1.4637133789275271E-5</v>
      </c>
      <c r="Z66" s="8">
        <f t="shared" ca="1" si="31"/>
        <v>-9.9810193809808779E-6</v>
      </c>
      <c r="AA66" s="8">
        <f t="shared" ca="1" si="32"/>
        <v>-5.0582103214286984E-6</v>
      </c>
      <c r="AB66" s="9">
        <v>0</v>
      </c>
      <c r="AC66" s="12">
        <f t="shared" ca="1" si="10"/>
        <v>5.0582103214286984E-6</v>
      </c>
      <c r="AF66" s="2">
        <f t="shared" si="11"/>
        <v>3.1000000000000014</v>
      </c>
      <c r="AH66" s="15">
        <v>0</v>
      </c>
      <c r="AI66" s="13">
        <f t="shared" si="54"/>
        <v>-4.7136870562901392E-6</v>
      </c>
      <c r="AJ66" s="13">
        <f t="shared" si="54"/>
        <v>-9.3242699433614456E-6</v>
      </c>
      <c r="AK66" s="13">
        <f t="shared" si="54"/>
        <v>-1.372994073385571E-5</v>
      </c>
      <c r="AL66" s="13">
        <f t="shared" si="54"/>
        <v>-1.7831407594768866E-5</v>
      </c>
      <c r="AM66" s="13">
        <f t="shared" si="54"/>
        <v>-2.1533368593469361E-5</v>
      </c>
      <c r="AN66" s="13">
        <f t="shared" si="54"/>
        <v>-2.4746373189298633E-5</v>
      </c>
      <c r="AO66" s="13">
        <f t="shared" si="54"/>
        <v>-2.7388737716363779E-5</v>
      </c>
      <c r="AP66" s="13">
        <f t="shared" si="54"/>
        <v>-2.9388548694562209E-5</v>
      </c>
      <c r="AQ66" s="13">
        <f t="shared" si="54"/>
        <v>-3.068631452969167E-5</v>
      </c>
      <c r="AR66" s="13">
        <f t="shared" si="54"/>
        <v>-3.1238139235752527E-5</v>
      </c>
      <c r="AS66" s="13">
        <f t="shared" si="54"/>
        <v>-3.1018308454764681E-5</v>
      </c>
      <c r="AT66" s="13">
        <f t="shared" si="54"/>
        <v>-3.0020708430233683E-5</v>
      </c>
      <c r="AU66" s="13">
        <f t="shared" si="54"/>
        <v>-2.8259698578446211E-5</v>
      </c>
      <c r="AV66" s="13">
        <f t="shared" si="54"/>
        <v>-2.5770827934650074E-5</v>
      </c>
      <c r="AW66" s="13">
        <f t="shared" si="54"/>
        <v>-2.2610751968673888E-5</v>
      </c>
      <c r="AX66" s="13">
        <f t="shared" si="54"/>
        <v>-1.8855982450370004E-5</v>
      </c>
      <c r="AY66" s="13">
        <f t="shared" si="54"/>
        <v>-1.4601095938404556E-5</v>
      </c>
      <c r="AZ66" s="13">
        <f t="shared" si="54"/>
        <v>-9.9566240214993491E-6</v>
      </c>
      <c r="BA66" s="13">
        <f t="shared" si="54"/>
        <v>-5.0458010916128807E-6</v>
      </c>
      <c r="BB66" s="15">
        <v>0</v>
      </c>
      <c r="BF66" s="2">
        <f t="shared" si="12"/>
        <v>3.1000000000000014</v>
      </c>
      <c r="BH66" s="3"/>
      <c r="BI66" s="13">
        <f t="shared" ca="1" si="35"/>
        <v>9.6355807848478268E-4</v>
      </c>
      <c r="BJ66" s="13">
        <f t="shared" ca="1" si="36"/>
        <v>9.9863407534193449E-4</v>
      </c>
      <c r="BK66" s="13">
        <f t="shared" ca="1" si="37"/>
        <v>1.0522490542385313E-3</v>
      </c>
      <c r="BL66" s="13">
        <f t="shared" ca="1" si="38"/>
        <v>1.1258457754523253E-3</v>
      </c>
      <c r="BM66" s="13">
        <f t="shared" ca="1" si="39"/>
        <v>1.2215894729154804E-3</v>
      </c>
      <c r="BN66" s="13">
        <f t="shared" ca="1" si="40"/>
        <v>1.3365160973899451E-3</v>
      </c>
      <c r="BO66" s="13">
        <f t="shared" ca="1" si="41"/>
        <v>1.4684342766210343E-3</v>
      </c>
      <c r="BP66" s="13">
        <f t="shared" ca="1" si="42"/>
        <v>1.6240902881708742E-3</v>
      </c>
      <c r="BQ66" s="13">
        <f t="shared" ca="1" si="43"/>
        <v>1.8111910628511294E-3</v>
      </c>
      <c r="BR66" s="13">
        <f t="shared" ca="1" si="44"/>
        <v>2.0205207734319418E-3</v>
      </c>
      <c r="BS66" s="13">
        <f t="shared" ca="1" si="45"/>
        <v>2.2234674877019173E-3</v>
      </c>
      <c r="BT66" s="13">
        <f t="shared" ca="1" si="46"/>
        <v>2.3899642600750254E-3</v>
      </c>
      <c r="BU66" s="13">
        <f t="shared" ca="1" si="47"/>
        <v>2.5033541204336381E-3</v>
      </c>
      <c r="BV66" s="13">
        <f t="shared" ca="1" si="48"/>
        <v>2.5580632736305264E-3</v>
      </c>
      <c r="BW66" s="13">
        <f t="shared" ca="1" si="49"/>
        <v>2.5558207981212933E-3</v>
      </c>
      <c r="BX66" s="13">
        <f t="shared" ca="1" si="50"/>
        <v>2.5139392346977063E-3</v>
      </c>
      <c r="BY66" s="13">
        <f t="shared" ca="1" si="51"/>
        <v>2.4681606793587707E-3</v>
      </c>
      <c r="BZ66" s="13">
        <f t="shared" ca="1" si="52"/>
        <v>2.4501637732681192E-3</v>
      </c>
      <c r="CA66" s="13">
        <f t="shared" ca="1" si="53"/>
        <v>2.4593180726930077E-3</v>
      </c>
      <c r="CB66" s="3"/>
    </row>
    <row r="67" spans="4:80" x14ac:dyDescent="0.25">
      <c r="D67" s="17"/>
      <c r="E67" s="2">
        <f t="shared" si="9"/>
        <v>3.0000000000000013</v>
      </c>
      <c r="G67" s="12">
        <f t="shared" ca="1" si="13"/>
        <v>5.367381878463572E-6</v>
      </c>
      <c r="H67" s="9">
        <v>0</v>
      </c>
      <c r="I67" s="8">
        <f t="shared" ca="1" si="14"/>
        <v>-5.3673818784635728E-6</v>
      </c>
      <c r="J67" s="8">
        <f t="shared" ca="1" si="15"/>
        <v>-1.0619806953288763E-5</v>
      </c>
      <c r="K67" s="8">
        <f t="shared" ca="1" si="16"/>
        <v>-1.5643450960860162E-5</v>
      </c>
      <c r="L67" s="8">
        <f t="shared" ca="1" si="17"/>
        <v>-2.0326871590220324E-5</v>
      </c>
      <c r="M67" s="8">
        <f t="shared" ca="1" si="18"/>
        <v>-2.4562485335274316E-5</v>
      </c>
      <c r="N67" s="8">
        <f t="shared" ca="1" si="19"/>
        <v>-2.8248367392722108E-5</v>
      </c>
      <c r="O67" s="8">
        <f t="shared" ca="1" si="20"/>
        <v>-3.1290442203040719E-5</v>
      </c>
      <c r="P67" s="8">
        <f t="shared" ca="1" si="21"/>
        <v>-3.3605085700951186E-5</v>
      </c>
      <c r="Q67" s="8">
        <f t="shared" ca="1" si="22"/>
        <v>-3.5122090965986209E-5</v>
      </c>
      <c r="R67" s="8">
        <f t="shared" ca="1" si="23"/>
        <v>-3.5787857586670902E-5</v>
      </c>
      <c r="S67" s="8">
        <f t="shared" ca="1" si="24"/>
        <v>-3.556856296087179E-5</v>
      </c>
      <c r="T67" s="8">
        <f t="shared" ca="1" si="25"/>
        <v>-3.4452986220209876E-5</v>
      </c>
      <c r="U67" s="8">
        <f t="shared" ca="1" si="26"/>
        <v>-3.2454617625086773E-5</v>
      </c>
      <c r="V67" s="8">
        <f t="shared" ca="1" si="27"/>
        <v>-2.9612726839941123E-5</v>
      </c>
      <c r="W67" s="8">
        <f t="shared" ca="1" si="28"/>
        <v>-2.5992183697715728E-5</v>
      </c>
      <c r="X67" s="8">
        <f t="shared" ca="1" si="29"/>
        <v>-2.1681993876770903E-5</v>
      </c>
      <c r="Y67" s="8">
        <f t="shared" ca="1" si="30"/>
        <v>-1.6792680394381154E-5</v>
      </c>
      <c r="Z67" s="8">
        <f t="shared" ca="1" si="31"/>
        <v>-1.1452761484022403E-5</v>
      </c>
      <c r="AA67" s="8">
        <f t="shared" ca="1" si="32"/>
        <v>-5.8046167126807197E-6</v>
      </c>
      <c r="AB67" s="9">
        <v>0</v>
      </c>
      <c r="AC67" s="12">
        <f t="shared" ca="1" si="10"/>
        <v>5.8046167126807197E-6</v>
      </c>
      <c r="AF67" s="2">
        <f t="shared" si="11"/>
        <v>3.0000000000000013</v>
      </c>
      <c r="AH67" s="15">
        <v>0</v>
      </c>
      <c r="AI67" s="13">
        <f t="shared" si="54"/>
        <v>-5.3631021487782498E-6</v>
      </c>
      <c r="AJ67" s="13">
        <f t="shared" si="54"/>
        <v>-1.0610988337664552E-5</v>
      </c>
      <c r="AK67" s="13">
        <f t="shared" si="54"/>
        <v>-1.5629625886553325E-5</v>
      </c>
      <c r="AL67" s="13">
        <f t="shared" si="54"/>
        <v>-2.0307421186124969E-5</v>
      </c>
      <c r="AM67" s="13">
        <f t="shared" si="54"/>
        <v>-2.4536726705243026E-5</v>
      </c>
      <c r="AN67" s="13">
        <f t="shared" si="54"/>
        <v>-2.8215715867628214E-5</v>
      </c>
      <c r="AO67" s="13">
        <f t="shared" si="54"/>
        <v>-3.1250583234623067E-5</v>
      </c>
      <c r="AP67" s="13">
        <f t="shared" si="54"/>
        <v>-3.3558067443563077E-5</v>
      </c>
      <c r="AQ67" s="13">
        <f t="shared" si="54"/>
        <v>-3.5068391035934939E-5</v>
      </c>
      <c r="AR67" s="13">
        <f t="shared" si="54"/>
        <v>-3.5728509339240971E-5</v>
      </c>
      <c r="AS67" s="13">
        <f t="shared" si="54"/>
        <v>-3.5505248550978057E-5</v>
      </c>
      <c r="AT67" s="13">
        <f t="shared" si="54"/>
        <v>-3.4387941924549461E-5</v>
      </c>
      <c r="AU67" s="13">
        <f t="shared" si="54"/>
        <v>-3.2390395990456849E-5</v>
      </c>
      <c r="AV67" s="13">
        <f t="shared" si="54"/>
        <v>-2.9551978010661781E-5</v>
      </c>
      <c r="AW67" s="13">
        <f t="shared" si="54"/>
        <v>-2.5937470229557528E-5</v>
      </c>
      <c r="AX67" s="13">
        <f t="shared" si="54"/>
        <v>-2.1635567619728982E-5</v>
      </c>
      <c r="AY67" s="13">
        <f t="shared" si="54"/>
        <v>-1.6756307148687293E-5</v>
      </c>
      <c r="AZ67" s="13">
        <f t="shared" si="54"/>
        <v>-1.1427731324951143E-5</v>
      </c>
      <c r="BA67" s="13">
        <f t="shared" si="54"/>
        <v>-5.7918439543918224E-6</v>
      </c>
      <c r="BB67" s="15">
        <v>0</v>
      </c>
      <c r="BF67" s="2">
        <f t="shared" si="12"/>
        <v>3.0000000000000013</v>
      </c>
      <c r="BH67" s="3"/>
      <c r="BI67" s="13">
        <f t="shared" ca="1" si="35"/>
        <v>7.9799518386910421E-4</v>
      </c>
      <c r="BJ67" s="13">
        <f t="shared" ca="1" si="36"/>
        <v>8.3108333960821008E-4</v>
      </c>
      <c r="BK67" s="13">
        <f t="shared" ca="1" si="37"/>
        <v>8.8454288075645647E-4</v>
      </c>
      <c r="BL67" s="13">
        <f t="shared" ca="1" si="38"/>
        <v>9.5779783740560323E-4</v>
      </c>
      <c r="BM67" s="13">
        <f t="shared" ca="1" si="39"/>
        <v>1.0497989540628155E-3</v>
      </c>
      <c r="BN67" s="13">
        <f t="shared" ca="1" si="40"/>
        <v>1.1572105860108749E-3</v>
      </c>
      <c r="BO67" s="13">
        <f t="shared" ca="1" si="41"/>
        <v>1.2754631847475939E-3</v>
      </c>
      <c r="BP67" s="13">
        <f t="shared" ca="1" si="42"/>
        <v>1.4011014629249092E-3</v>
      </c>
      <c r="BQ67" s="13">
        <f t="shared" ca="1" si="43"/>
        <v>1.5312915267838418E-3</v>
      </c>
      <c r="BR67" s="13">
        <f t="shared" ca="1" si="44"/>
        <v>1.6610893800919953E-3</v>
      </c>
      <c r="BS67" s="13">
        <f t="shared" ca="1" si="45"/>
        <v>1.7832408581178135E-3</v>
      </c>
      <c r="BT67" s="13">
        <f t="shared" ca="1" si="46"/>
        <v>1.8914855620940838E-3</v>
      </c>
      <c r="BU67" s="13">
        <f t="shared" ca="1" si="47"/>
        <v>1.9827369399511531E-3</v>
      </c>
      <c r="BV67" s="13">
        <f t="shared" ca="1" si="48"/>
        <v>2.0556603438668386E-3</v>
      </c>
      <c r="BW67" s="13">
        <f t="shared" ca="1" si="49"/>
        <v>2.1094373381044078E-3</v>
      </c>
      <c r="BX67" s="13">
        <f t="shared" ca="1" si="50"/>
        <v>2.1458303224540969E-3</v>
      </c>
      <c r="BY67" s="13">
        <f t="shared" ca="1" si="51"/>
        <v>2.1707196801241824E-3</v>
      </c>
      <c r="BZ67" s="13">
        <f t="shared" ca="1" si="52"/>
        <v>2.1902999256387811E-3</v>
      </c>
      <c r="CA67" s="13">
        <f t="shared" ca="1" si="53"/>
        <v>2.2053008315619416E-3</v>
      </c>
      <c r="CB67" s="3"/>
    </row>
    <row r="68" spans="4:80" x14ac:dyDescent="0.25">
      <c r="D68" s="17"/>
      <c r="E68" s="2">
        <f t="shared" si="9"/>
        <v>2.9000000000000012</v>
      </c>
      <c r="G68" s="12">
        <f t="shared" ca="1" si="13"/>
        <v>6.0477921439293687E-6</v>
      </c>
      <c r="H68" s="9">
        <v>0</v>
      </c>
      <c r="I68" s="8">
        <f t="shared" ca="1" si="14"/>
        <v>-6.0477921439293687E-6</v>
      </c>
      <c r="J68" s="8">
        <f t="shared" ca="1" si="15"/>
        <v>-1.1968785180587121E-5</v>
      </c>
      <c r="K68" s="8">
        <f t="shared" ca="1" si="16"/>
        <v>-1.7637151302873863E-5</v>
      </c>
      <c r="L68" s="8">
        <f t="shared" ca="1" si="17"/>
        <v>-2.2929151214529366E-5</v>
      </c>
      <c r="M68" s="8">
        <f t="shared" ca="1" si="18"/>
        <v>-2.7724539900598212E-5</v>
      </c>
      <c r="N68" s="8">
        <f t="shared" ca="1" si="19"/>
        <v>-3.1908393618241618E-5</v>
      </c>
      <c r="O68" s="8">
        <f t="shared" ca="1" si="20"/>
        <v>-3.5373467033610192E-5</v>
      </c>
      <c r="P68" s="8">
        <f t="shared" ca="1" si="21"/>
        <v>-3.802314180478408E-5</v>
      </c>
      <c r="Q68" s="8">
        <f t="shared" ca="1" si="22"/>
        <v>-3.977494536100591E-5</v>
      </c>
      <c r="R68" s="8">
        <f t="shared" ca="1" si="23"/>
        <v>-4.0564495110321719E-5</v>
      </c>
      <c r="S68" s="8">
        <f t="shared" ca="1" si="24"/>
        <v>-4.0349568248061137E-5</v>
      </c>
      <c r="T68" s="8">
        <f t="shared" ca="1" si="25"/>
        <v>-3.9113847117624504E-5</v>
      </c>
      <c r="U68" s="8">
        <f t="shared" ca="1" si="26"/>
        <v>-3.6869807738825508E-5</v>
      </c>
      <c r="V68" s="8">
        <f t="shared" ca="1" si="27"/>
        <v>-3.3660265002610804E-5</v>
      </c>
      <c r="W68" s="8">
        <f t="shared" ca="1" si="28"/>
        <v>-2.9558269778715091E-5</v>
      </c>
      <c r="X68" s="8">
        <f t="shared" ca="1" si="29"/>
        <v>-2.4665316162748686E-5</v>
      </c>
      <c r="Y68" s="8">
        <f t="shared" ca="1" si="30"/>
        <v>-1.9108078666729436E-5</v>
      </c>
      <c r="Z68" s="8">
        <f t="shared" ca="1" si="31"/>
        <v>-1.3034077152067818E-5</v>
      </c>
      <c r="AA68" s="8">
        <f t="shared" ca="1" si="32"/>
        <v>-6.6067085948347436E-6</v>
      </c>
      <c r="AB68" s="9">
        <v>0</v>
      </c>
      <c r="AC68" s="12">
        <f t="shared" ca="1" si="10"/>
        <v>6.6067085948347436E-6</v>
      </c>
      <c r="AF68" s="2">
        <f t="shared" si="11"/>
        <v>2.9000000000000012</v>
      </c>
      <c r="AH68" s="15">
        <v>0</v>
      </c>
      <c r="AI68" s="13">
        <f t="shared" si="54"/>
        <v>-6.0439430868558655E-6</v>
      </c>
      <c r="AJ68" s="13">
        <f t="shared" si="54"/>
        <v>-1.1960801841920506E-5</v>
      </c>
      <c r="AK68" s="13">
        <f t="shared" si="54"/>
        <v>-1.762444452034716E-5</v>
      </c>
      <c r="AL68" s="13">
        <f t="shared" si="54"/>
        <v>-2.2910941236127205E-5</v>
      </c>
      <c r="AM68" s="13">
        <f t="shared" si="54"/>
        <v>-2.7700032965657157E-5</v>
      </c>
      <c r="AN68" s="13">
        <f t="shared" si="54"/>
        <v>-3.1876896339971665E-5</v>
      </c>
      <c r="AO68" s="13">
        <f t="shared" si="54"/>
        <v>-3.5334629646466806E-5</v>
      </c>
      <c r="AP68" s="13">
        <f t="shared" si="54"/>
        <v>-3.7977432056347689E-5</v>
      </c>
      <c r="AQ68" s="13">
        <f t="shared" si="54"/>
        <v>-3.9723853689451641E-5</v>
      </c>
      <c r="AR68" s="13">
        <f t="shared" si="54"/>
        <v>-4.051001243123954E-5</v>
      </c>
      <c r="AS68" s="13">
        <f t="shared" si="54"/>
        <v>-4.0293402903222126E-5</v>
      </c>
      <c r="AT68" s="13">
        <f t="shared" si="54"/>
        <v>-3.9057205615371154E-5</v>
      </c>
      <c r="AU68" s="13">
        <f t="shared" si="54"/>
        <v>-3.6813747379021221E-5</v>
      </c>
      <c r="AV68" s="13">
        <f t="shared" si="54"/>
        <v>-3.360603485825985E-5</v>
      </c>
      <c r="AW68" s="13">
        <f t="shared" si="54"/>
        <v>-2.9507504885365094E-5</v>
      </c>
      <c r="AX68" s="13">
        <f t="shared" si="54"/>
        <v>-2.4620256392534297E-5</v>
      </c>
      <c r="AY68" s="13">
        <f t="shared" si="54"/>
        <v>-1.9071487379606726E-5</v>
      </c>
      <c r="AZ68" s="13">
        <f t="shared" si="54"/>
        <v>-1.3008500527649118E-5</v>
      </c>
      <c r="BA68" s="13">
        <f t="shared" si="54"/>
        <v>-6.5936689387452982E-6</v>
      </c>
      <c r="BB68" s="15">
        <v>0</v>
      </c>
      <c r="BF68" s="2">
        <f t="shared" si="12"/>
        <v>2.9000000000000012</v>
      </c>
      <c r="BH68" s="3"/>
      <c r="BI68" s="13">
        <f t="shared" ca="1" si="35"/>
        <v>6.3684535380123216E-4</v>
      </c>
      <c r="BJ68" s="13">
        <f t="shared" ca="1" si="36"/>
        <v>6.674584841490866E-4</v>
      </c>
      <c r="BK68" s="13">
        <f t="shared" ca="1" si="37"/>
        <v>7.2097492275760675E-4</v>
      </c>
      <c r="BL68" s="13">
        <f t="shared" ca="1" si="38"/>
        <v>7.9481581374082802E-4</v>
      </c>
      <c r="BM68" s="13">
        <f t="shared" ca="1" si="39"/>
        <v>8.8472584027025404E-4</v>
      </c>
      <c r="BN68" s="13">
        <f t="shared" ca="1" si="40"/>
        <v>9.8809112198473673E-4</v>
      </c>
      <c r="BO68" s="13">
        <f t="shared" ca="1" si="41"/>
        <v>1.0991310092101038E-3</v>
      </c>
      <c r="BP68" s="13">
        <f t="shared" ca="1" si="42"/>
        <v>1.2036029284068167E-3</v>
      </c>
      <c r="BQ68" s="13">
        <f t="shared" ca="1" si="43"/>
        <v>1.2861710737756521E-3</v>
      </c>
      <c r="BR68" s="13">
        <f t="shared" ca="1" si="44"/>
        <v>1.3449188438205487E-3</v>
      </c>
      <c r="BS68" s="13">
        <f t="shared" ca="1" si="45"/>
        <v>1.3939091958529866E-3</v>
      </c>
      <c r="BT68" s="13">
        <f t="shared" ca="1" si="46"/>
        <v>1.4502190149276574E-3</v>
      </c>
      <c r="BU68" s="13">
        <f t="shared" ca="1" si="47"/>
        <v>1.5228104660769569E-3</v>
      </c>
      <c r="BV68" s="13">
        <f t="shared" ca="1" si="48"/>
        <v>1.6137025560938826E-3</v>
      </c>
      <c r="BW68" s="13">
        <f t="shared" ca="1" si="49"/>
        <v>1.7204061660657528E-3</v>
      </c>
      <c r="BX68" s="13">
        <f t="shared" ca="1" si="50"/>
        <v>1.8301909409868275E-3</v>
      </c>
      <c r="BY68" s="13">
        <f t="shared" ca="1" si="51"/>
        <v>1.918638352341466E-3</v>
      </c>
      <c r="BZ68" s="13">
        <f t="shared" ca="1" si="52"/>
        <v>1.966147010129119E-3</v>
      </c>
      <c r="CA68" s="13">
        <f t="shared" ca="1" si="53"/>
        <v>1.9776024866554336E-3</v>
      </c>
      <c r="CB68" s="3"/>
    </row>
    <row r="69" spans="4:80" x14ac:dyDescent="0.25">
      <c r="D69" s="17"/>
      <c r="E69" s="2">
        <f t="shared" si="9"/>
        <v>2.8000000000000012</v>
      </c>
      <c r="G69" s="12">
        <f t="shared" ca="1" si="13"/>
        <v>6.7576195169745414E-6</v>
      </c>
      <c r="H69" s="9">
        <v>0</v>
      </c>
      <c r="I69" s="8">
        <f t="shared" ca="1" si="14"/>
        <v>-6.7576195169745414E-6</v>
      </c>
      <c r="J69" s="8">
        <f t="shared" ca="1" si="15"/>
        <v>-1.3377084757761721E-5</v>
      </c>
      <c r="K69" s="8">
        <f t="shared" ca="1" si="16"/>
        <v>-1.9720952638338037E-5</v>
      </c>
      <c r="L69" s="8">
        <f t="shared" ca="1" si="17"/>
        <v>-2.5653376223517072E-5</v>
      </c>
      <c r="M69" s="8">
        <f t="shared" ca="1" si="18"/>
        <v>-3.1041339566845294E-5</v>
      </c>
      <c r="N69" s="8">
        <f t="shared" ca="1" si="19"/>
        <v>-3.575641891978245E-5</v>
      </c>
      <c r="O69" s="8">
        <f t="shared" ca="1" si="20"/>
        <v>-3.9677235551725077E-5</v>
      </c>
      <c r="P69" s="8">
        <f t="shared" ca="1" si="21"/>
        <v>-4.2692726482025976E-5</v>
      </c>
      <c r="Q69" s="8">
        <f t="shared" ca="1" si="22"/>
        <v>-4.4706270870826008E-5</v>
      </c>
      <c r="R69" s="8">
        <f t="shared" ca="1" si="23"/>
        <v>-4.564055048604938E-5</v>
      </c>
      <c r="S69" s="8">
        <f t="shared" ca="1" si="24"/>
        <v>-4.544279022883517E-5</v>
      </c>
      <c r="T69" s="8">
        <f t="shared" ca="1" si="25"/>
        <v>-4.4089765213024412E-5</v>
      </c>
      <c r="U69" s="8">
        <f t="shared" ca="1" si="26"/>
        <v>-4.1591787191749897E-5</v>
      </c>
      <c r="V69" s="8">
        <f t="shared" ca="1" si="27"/>
        <v>-3.7994926859249557E-5</v>
      </c>
      <c r="W69" s="8">
        <f t="shared" ca="1" si="28"/>
        <v>-3.3381011302007356E-5</v>
      </c>
      <c r="X69" s="8">
        <f t="shared" ca="1" si="29"/>
        <v>-2.7865352401522295E-5</v>
      </c>
      <c r="Y69" s="8">
        <f t="shared" ca="1" si="30"/>
        <v>-2.1592575806214974E-5</v>
      </c>
      <c r="Z69" s="8">
        <f t="shared" ca="1" si="31"/>
        <v>-1.4731195016612278E-5</v>
      </c>
      <c r="AA69" s="8">
        <f t="shared" ca="1" si="32"/>
        <v>-7.4676071135218182E-6</v>
      </c>
      <c r="AB69" s="9">
        <v>0</v>
      </c>
      <c r="AC69" s="12">
        <f t="shared" ca="1" si="10"/>
        <v>7.4676071135218182E-6</v>
      </c>
      <c r="AF69" s="2">
        <f t="shared" si="11"/>
        <v>2.8000000000000012</v>
      </c>
      <c r="AH69" s="15">
        <v>0</v>
      </c>
      <c r="AI69" s="13">
        <f t="shared" si="54"/>
        <v>-6.7543424721148608E-6</v>
      </c>
      <c r="AJ69" s="13">
        <f t="shared" si="54"/>
        <v>-1.337020874578882E-5</v>
      </c>
      <c r="AK69" s="13">
        <f t="shared" si="54"/>
        <v>-1.9709761361934734E-5</v>
      </c>
      <c r="AL69" s="13">
        <f t="shared" si="54"/>
        <v>-2.563689546272276E-5</v>
      </c>
      <c r="AM69" s="13">
        <f t="shared" si="54"/>
        <v>-3.1018554518656308E-5</v>
      </c>
      <c r="AN69" s="13">
        <f t="shared" si="54"/>
        <v>-3.5726334000081691E-5</v>
      </c>
      <c r="AO69" s="13">
        <f t="shared" si="54"/>
        <v>-3.9639144671676349E-5</v>
      </c>
      <c r="AP69" s="13">
        <f t="shared" si="54"/>
        <v>-4.2646957055322408E-5</v>
      </c>
      <c r="AQ69" s="13">
        <f t="shared" si="54"/>
        <v>-4.4654583487201985E-5</v>
      </c>
      <c r="AR69" s="13">
        <f t="shared" si="54"/>
        <v>-4.5585368370816528E-5</v>
      </c>
      <c r="AS69" s="13">
        <f t="shared" si="54"/>
        <v>-4.5385998816021848E-5</v>
      </c>
      <c r="AT69" s="13">
        <f t="shared" si="54"/>
        <v>-4.403243717597391E-5</v>
      </c>
      <c r="AU69" s="13">
        <f t="shared" si="54"/>
        <v>-4.1534782973245158E-5</v>
      </c>
      <c r="AV69" s="13">
        <f t="shared" si="54"/>
        <v>-3.7939360162112736E-5</v>
      </c>
      <c r="AW69" s="13">
        <f t="shared" si="54"/>
        <v>-3.3328452271386923E-5</v>
      </c>
      <c r="AX69" s="13">
        <f t="shared" si="54"/>
        <v>-2.7818201648091634E-5</v>
      </c>
      <c r="AY69" s="13">
        <f t="shared" si="54"/>
        <v>-2.1554075663141853E-5</v>
      </c>
      <c r="AZ69" s="13">
        <f t="shared" si="54"/>
        <v>-1.4704364866078631E-5</v>
      </c>
      <c r="BA69" s="13">
        <f t="shared" si="54"/>
        <v>-7.4540378242725965E-6</v>
      </c>
      <c r="BB69" s="15">
        <v>0</v>
      </c>
      <c r="BF69" s="2">
        <f t="shared" si="12"/>
        <v>2.8000000000000012</v>
      </c>
      <c r="BH69" s="3"/>
      <c r="BI69" s="13">
        <f t="shared" ca="1" si="35"/>
        <v>4.8517599947142393E-4</v>
      </c>
      <c r="BJ69" s="13">
        <f t="shared" ca="1" si="36"/>
        <v>5.1427858036002085E-4</v>
      </c>
      <c r="BK69" s="13">
        <f t="shared" ca="1" si="37"/>
        <v>5.6780374951249241E-4</v>
      </c>
      <c r="BL69" s="13">
        <f t="shared" ca="1" si="38"/>
        <v>6.4285321981653887E-4</v>
      </c>
      <c r="BM69" s="13">
        <f t="shared" ca="1" si="39"/>
        <v>7.3456189505163372E-4</v>
      </c>
      <c r="BN69" s="13">
        <f t="shared" ca="1" si="40"/>
        <v>8.4209366963568114E-4</v>
      </c>
      <c r="BO69" s="13">
        <f t="shared" ca="1" si="41"/>
        <v>9.6094101838542208E-4</v>
      </c>
      <c r="BP69" s="13">
        <f t="shared" ca="1" si="42"/>
        <v>1.0732167043992138E-3</v>
      </c>
      <c r="BQ69" s="13">
        <f t="shared" ca="1" si="43"/>
        <v>1.1574933542675794E-3</v>
      </c>
      <c r="BR69" s="13">
        <f t="shared" ca="1" si="44"/>
        <v>1.2105225252096352E-3</v>
      </c>
      <c r="BS69" s="13">
        <f t="shared" ca="1" si="45"/>
        <v>1.2512980719788505E-3</v>
      </c>
      <c r="BT69" s="13">
        <f t="shared" ca="1" si="46"/>
        <v>1.3019501242094045E-3</v>
      </c>
      <c r="BU69" s="13">
        <f t="shared" ca="1" si="47"/>
        <v>1.3724453199011339E-3</v>
      </c>
      <c r="BV69" s="13">
        <f t="shared" ca="1" si="48"/>
        <v>1.4646187204894012E-3</v>
      </c>
      <c r="BW69" s="13">
        <f t="shared" ca="1" si="49"/>
        <v>1.5770018419233643E-3</v>
      </c>
      <c r="BX69" s="13">
        <f t="shared" ca="1" si="50"/>
        <v>1.6949605163961545E-3</v>
      </c>
      <c r="BY69" s="13">
        <f t="shared" ca="1" si="51"/>
        <v>1.7862117436544653E-3</v>
      </c>
      <c r="BZ69" s="13">
        <f t="shared" ca="1" si="52"/>
        <v>1.8246385191067226E-3</v>
      </c>
      <c r="CA69" s="13">
        <f t="shared" ca="1" si="53"/>
        <v>1.8203944719781279E-3</v>
      </c>
      <c r="CB69" s="3"/>
    </row>
    <row r="70" spans="4:80" x14ac:dyDescent="0.25">
      <c r="D70" s="17"/>
      <c r="E70" s="2">
        <f t="shared" si="9"/>
        <v>2.7000000000000011</v>
      </c>
      <c r="G70" s="12">
        <f t="shared" ca="1" si="13"/>
        <v>7.4930781810363816E-6</v>
      </c>
      <c r="H70" s="9">
        <v>0</v>
      </c>
      <c r="I70" s="8">
        <f t="shared" ca="1" si="14"/>
        <v>-7.4930781810363816E-6</v>
      </c>
      <c r="J70" s="8">
        <f t="shared" ca="1" si="15"/>
        <v>-1.4837434970230736E-5</v>
      </c>
      <c r="K70" s="8">
        <f t="shared" ca="1" si="16"/>
        <v>-2.1884694751929207E-5</v>
      </c>
      <c r="L70" s="8">
        <f t="shared" ca="1" si="17"/>
        <v>-2.8487369035944324E-5</v>
      </c>
      <c r="M70" s="8">
        <f t="shared" ca="1" si="18"/>
        <v>-3.4499799748332936E-5</v>
      </c>
      <c r="N70" s="8">
        <f t="shared" ca="1" si="19"/>
        <v>-3.9779728160368766E-5</v>
      </c>
      <c r="O70" s="8">
        <f t="shared" ca="1" si="20"/>
        <v>-4.4190726219940597E-5</v>
      </c>
      <c r="P70" s="8">
        <f t="shared" ca="1" si="21"/>
        <v>-4.7605714262264686E-5</v>
      </c>
      <c r="Q70" s="8">
        <f t="shared" ca="1" si="22"/>
        <v>-4.9911713693839999E-5</v>
      </c>
      <c r="R70" s="8">
        <f t="shared" ca="1" si="23"/>
        <v>-5.1015795727415673E-5</v>
      </c>
      <c r="S70" s="8">
        <f t="shared" ca="1" si="24"/>
        <v>-5.0851849613124738E-5</v>
      </c>
      <c r="T70" s="8">
        <f t="shared" ca="1" si="25"/>
        <v>-4.9387344032013516E-5</v>
      </c>
      <c r="U70" s="8">
        <f t="shared" ca="1" si="26"/>
        <v>-4.6628889817114646E-5</v>
      </c>
      <c r="V70" s="8">
        <f t="shared" ca="1" si="27"/>
        <v>-4.2625435425020678E-5</v>
      </c>
      <c r="W70" s="8">
        <f t="shared" ca="1" si="28"/>
        <v>-3.7468386387019305E-5</v>
      </c>
      <c r="X70" s="8">
        <f t="shared" ca="1" si="29"/>
        <v>-3.1288604735150318E-5</v>
      </c>
      <c r="Y70" s="8">
        <f t="shared" ca="1" si="30"/>
        <v>-2.4250905068031385E-5</v>
      </c>
      <c r="Z70" s="8">
        <f t="shared" ca="1" si="31"/>
        <v>-1.6547111458907688E-5</v>
      </c>
      <c r="AA70" s="8">
        <f t="shared" ca="1" si="32"/>
        <v>-8.3887425348751987E-6</v>
      </c>
      <c r="AB70" s="9">
        <v>0</v>
      </c>
      <c r="AC70" s="12">
        <f t="shared" ca="1" si="10"/>
        <v>8.3887425348751987E-6</v>
      </c>
      <c r="AF70" s="2">
        <f t="shared" si="11"/>
        <v>2.7000000000000011</v>
      </c>
      <c r="AH70" s="15">
        <v>0</v>
      </c>
      <c r="AI70" s="13">
        <f t="shared" si="54"/>
        <v>-7.490473203402283E-6</v>
      </c>
      <c r="AJ70" s="13">
        <f t="shared" si="54"/>
        <v>-1.4831847127805286E-5</v>
      </c>
      <c r="AK70" s="13">
        <f t="shared" si="54"/>
        <v>-2.1875304991534157E-5</v>
      </c>
      <c r="AL70" s="13">
        <f t="shared" si="54"/>
        <v>-2.8473009601827126E-5</v>
      </c>
      <c r="AM70" s="13">
        <f t="shared" si="54"/>
        <v>-3.447911096067965E-5</v>
      </c>
      <c r="AN70" s="13">
        <f t="shared" si="54"/>
        <v>-3.9751200680273058E-5</v>
      </c>
      <c r="AO70" s="13">
        <f t="shared" si="54"/>
        <v>-4.4152926007007422E-5</v>
      </c>
      <c r="AP70" s="13">
        <f t="shared" si="54"/>
        <v>-4.7557951767389875E-5</v>
      </c>
      <c r="AQ70" s="13">
        <f t="shared" si="54"/>
        <v>-4.985460648583354E-5</v>
      </c>
      <c r="AR70" s="13">
        <f t="shared" si="54"/>
        <v>-5.0951064624921863E-5</v>
      </c>
      <c r="AS70" s="13">
        <f t="shared" si="54"/>
        <v>-5.0781718866997864E-5</v>
      </c>
      <c r="AT70" s="13">
        <f t="shared" si="54"/>
        <v>-4.931434862327092E-5</v>
      </c>
      <c r="AU70" s="13">
        <f t="shared" si="54"/>
        <v>-4.6555992163822749E-5</v>
      </c>
      <c r="AV70" s="13">
        <f t="shared" si="54"/>
        <v>-4.2555824240517759E-5</v>
      </c>
      <c r="AW70" s="13">
        <f t="shared" si="54"/>
        <v>-3.7405081004689283E-5</v>
      </c>
      <c r="AX70" s="13">
        <f t="shared" si="54"/>
        <v>-3.1234407032108491E-5</v>
      </c>
      <c r="AY70" s="13">
        <f t="shared" si="54"/>
        <v>-2.4208429800866751E-5</v>
      </c>
      <c r="AZ70" s="13">
        <f t="shared" si="54"/>
        <v>-1.6518302636203624E-5</v>
      </c>
      <c r="BA70" s="13">
        <f t="shared" si="54"/>
        <v>-8.374359454603391E-6</v>
      </c>
      <c r="BB70" s="15">
        <v>0</v>
      </c>
      <c r="BF70" s="2">
        <f t="shared" si="12"/>
        <v>2.7000000000000011</v>
      </c>
      <c r="BH70" s="3"/>
      <c r="BI70" s="13">
        <f t="shared" ca="1" si="35"/>
        <v>3.4777210509415055E-4</v>
      </c>
      <c r="BJ70" s="13">
        <f t="shared" ca="1" si="36"/>
        <v>3.7674622569260877E-4</v>
      </c>
      <c r="BK70" s="13">
        <f t="shared" ca="1" si="37"/>
        <v>4.292402048192552E-4</v>
      </c>
      <c r="BL70" s="13">
        <f t="shared" ca="1" si="38"/>
        <v>5.0431739805534368E-4</v>
      </c>
      <c r="BM70" s="13">
        <f t="shared" ca="1" si="39"/>
        <v>6.000383152825582E-4</v>
      </c>
      <c r="BN70" s="13">
        <f t="shared" ca="1" si="40"/>
        <v>7.1765077802707464E-4</v>
      </c>
      <c r="BO70" s="13">
        <f t="shared" ca="1" si="41"/>
        <v>8.5612022467492931E-4</v>
      </c>
      <c r="BP70" s="13">
        <f t="shared" ca="1" si="42"/>
        <v>1.0043009233959743E-3</v>
      </c>
      <c r="BQ70" s="13">
        <f t="shared" ca="1" si="43"/>
        <v>1.1454750529960864E-3</v>
      </c>
      <c r="BR70" s="13">
        <f t="shared" ca="1" si="44"/>
        <v>1.2704563284463314E-3</v>
      </c>
      <c r="BS70" s="13">
        <f t="shared" ca="1" si="45"/>
        <v>1.3810234803306579E-3</v>
      </c>
      <c r="BT70" s="13">
        <f t="shared" ca="1" si="46"/>
        <v>1.4802062843865856E-3</v>
      </c>
      <c r="BU70" s="13">
        <f t="shared" ca="1" si="47"/>
        <v>1.5658060306261293E-3</v>
      </c>
      <c r="BV70" s="13">
        <f t="shared" ca="1" si="48"/>
        <v>1.6357616318154096E-3</v>
      </c>
      <c r="BW70" s="13">
        <f t="shared" ca="1" si="49"/>
        <v>1.6924273555799997E-3</v>
      </c>
      <c r="BX70" s="13">
        <f t="shared" ca="1" si="50"/>
        <v>1.7351923148761239E-3</v>
      </c>
      <c r="BY70" s="13">
        <f t="shared" ca="1" si="51"/>
        <v>1.7545651458614213E-3</v>
      </c>
      <c r="BZ70" s="13">
        <f t="shared" ca="1" si="52"/>
        <v>1.7440546609748719E-3</v>
      </c>
      <c r="CA70" s="13">
        <f t="shared" ca="1" si="53"/>
        <v>1.717514079706866E-3</v>
      </c>
      <c r="CB70" s="3"/>
    </row>
    <row r="71" spans="4:80" x14ac:dyDescent="0.25">
      <c r="D71" s="17"/>
      <c r="E71" s="2">
        <f t="shared" si="9"/>
        <v>2.600000000000001</v>
      </c>
      <c r="G71" s="12">
        <f t="shared" ca="1" si="13"/>
        <v>8.2480950208661615E-6</v>
      </c>
      <c r="H71" s="9">
        <v>0</v>
      </c>
      <c r="I71" s="8">
        <f t="shared" ca="1" si="14"/>
        <v>-8.2480950208661615E-6</v>
      </c>
      <c r="J71" s="8">
        <f t="shared" ca="1" si="15"/>
        <v>-1.6338027357465609E-5</v>
      </c>
      <c r="K71" s="8">
        <f t="shared" ca="1" si="16"/>
        <v>-2.4111512674631036E-5</v>
      </c>
      <c r="L71" s="8">
        <f t="shared" ca="1" si="17"/>
        <v>-3.1410228499681774E-5</v>
      </c>
      <c r="M71" s="8">
        <f t="shared" ca="1" si="18"/>
        <v>-3.8076329417433916E-5</v>
      </c>
      <c r="N71" s="8">
        <f t="shared" ca="1" si="19"/>
        <v>-4.3953660878568041E-5</v>
      </c>
      <c r="O71" s="8">
        <f t="shared" ca="1" si="20"/>
        <v>-4.8889989876341891E-5</v>
      </c>
      <c r="P71" s="8">
        <f t="shared" ca="1" si="21"/>
        <v>-5.2740610552702844E-5</v>
      </c>
      <c r="Q71" s="8">
        <f t="shared" ca="1" si="22"/>
        <v>-5.5373660210731117E-5</v>
      </c>
      <c r="R71" s="8">
        <f t="shared" ca="1" si="23"/>
        <v>-5.6677302664416133E-5</v>
      </c>
      <c r="S71" s="8">
        <f t="shared" ca="1" si="24"/>
        <v>-5.6568478907175436E-5</v>
      </c>
      <c r="T71" s="8">
        <f t="shared" ca="1" si="25"/>
        <v>-5.5002149901535459E-5</v>
      </c>
      <c r="U71" s="8">
        <f t="shared" ca="1" si="26"/>
        <v>-5.197917088024684E-5</v>
      </c>
      <c r="V71" s="8">
        <f t="shared" ca="1" si="27"/>
        <v>-4.7550902288281773E-5</v>
      </c>
      <c r="W71" s="8">
        <f t="shared" ca="1" si="28"/>
        <v>-4.1819468025161453E-5</v>
      </c>
      <c r="X71" s="8">
        <f t="shared" ca="1" si="29"/>
        <v>-3.493362046490157E-5</v>
      </c>
      <c r="Y71" s="8">
        <f t="shared" ca="1" si="30"/>
        <v>-2.7081215271204326E-5</v>
      </c>
      <c r="Z71" s="8">
        <f t="shared" ca="1" si="31"/>
        <v>-1.848008829896656E-5</v>
      </c>
      <c r="AA71" s="8">
        <f t="shared" ca="1" si="32"/>
        <v>-9.3690642728165353E-6</v>
      </c>
      <c r="AB71" s="9">
        <v>0</v>
      </c>
      <c r="AC71" s="12">
        <f t="shared" ca="1" si="10"/>
        <v>9.3690642728165353E-6</v>
      </c>
      <c r="AF71" s="2">
        <f t="shared" si="11"/>
        <v>2.600000000000001</v>
      </c>
      <c r="AH71" s="15">
        <v>0</v>
      </c>
      <c r="AI71" s="13">
        <f t="shared" si="54"/>
        <v>-8.2461988961670401E-6</v>
      </c>
      <c r="AJ71" s="13">
        <f t="shared" si="54"/>
        <v>-1.633379218098489E-5</v>
      </c>
      <c r="AK71" s="13">
        <f t="shared" si="54"/>
        <v>-2.4104073957693609E-5</v>
      </c>
      <c r="AL71" s="13">
        <f t="shared" si="54"/>
        <v>-3.1398288112181871E-5</v>
      </c>
      <c r="AM71" s="13">
        <f t="shared" si="54"/>
        <v>-3.805815781405003E-5</v>
      </c>
      <c r="AN71" s="13">
        <f t="shared" si="54"/>
        <v>-4.3927185598520745E-5</v>
      </c>
      <c r="AO71" s="13">
        <f t="shared" si="54"/>
        <v>-4.8852922618911885E-5</v>
      </c>
      <c r="AP71" s="13">
        <f t="shared" si="54"/>
        <v>-5.2690656105653631E-5</v>
      </c>
      <c r="AQ71" s="13">
        <f t="shared" si="54"/>
        <v>-5.5309109726583446E-5</v>
      </c>
      <c r="AR71" s="13">
        <f t="shared" si="54"/>
        <v>-5.6598110159365349E-5</v>
      </c>
      <c r="AS71" s="13">
        <f t="shared" si="54"/>
        <v>-5.6477218716154733E-5</v>
      </c>
      <c r="AT71" s="13">
        <f t="shared" si="54"/>
        <v>-5.4904025388445457E-5</v>
      </c>
      <c r="AU71" s="13">
        <f t="shared" si="54"/>
        <v>-5.1880978445003944E-5</v>
      </c>
      <c r="AV71" s="13">
        <f t="shared" si="54"/>
        <v>-4.7459542721640897E-5</v>
      </c>
      <c r="AW71" s="13">
        <f t="shared" si="54"/>
        <v>-4.1740525839560734E-5</v>
      </c>
      <c r="AX71" s="13">
        <f t="shared" si="54"/>
        <v>-3.4870387942318558E-5</v>
      </c>
      <c r="AY71" s="13">
        <f t="shared" si="54"/>
        <v>-2.7034631435668488E-5</v>
      </c>
      <c r="AZ71" s="13">
        <f t="shared" si="54"/>
        <v>-1.8449663115659536E-5</v>
      </c>
      <c r="BA71" s="13">
        <f t="shared" si="54"/>
        <v>-9.3540505927550209E-6</v>
      </c>
      <c r="BB71" s="15">
        <v>0</v>
      </c>
      <c r="BF71" s="2">
        <f t="shared" si="12"/>
        <v>2.600000000000001</v>
      </c>
      <c r="BH71" s="3"/>
      <c r="BI71" s="13">
        <f t="shared" ca="1" si="35"/>
        <v>2.2993923903566135E-4</v>
      </c>
      <c r="BJ71" s="13">
        <f t="shared" ca="1" si="36"/>
        <v>2.5928923508951914E-4</v>
      </c>
      <c r="BK71" s="13">
        <f t="shared" ca="1" si="37"/>
        <v>3.0860828549082405E-4</v>
      </c>
      <c r="BL71" s="13">
        <f t="shared" ca="1" si="38"/>
        <v>3.8028785063826592E-4</v>
      </c>
      <c r="BM71" s="13">
        <f t="shared" ca="1" si="39"/>
        <v>4.7746933713059461E-4</v>
      </c>
      <c r="BN71" s="13">
        <f t="shared" ca="1" si="40"/>
        <v>6.0270831574028979E-4</v>
      </c>
      <c r="BO71" s="13">
        <f t="shared" ca="1" si="41"/>
        <v>7.5875209594228701E-4</v>
      </c>
      <c r="BP71" s="13">
        <f t="shared" ca="1" si="42"/>
        <v>9.4807031723130424E-4</v>
      </c>
      <c r="BQ71" s="13">
        <f t="shared" ca="1" si="43"/>
        <v>1.1670859369599549E-3</v>
      </c>
      <c r="BR71" s="13">
        <f t="shared" ca="1" si="44"/>
        <v>1.3992075853380627E-3</v>
      </c>
      <c r="BS71" s="13">
        <f t="shared" ca="1" si="45"/>
        <v>1.6158761549388886E-3</v>
      </c>
      <c r="BT71" s="13">
        <f t="shared" ca="1" si="46"/>
        <v>1.7872007087963359E-3</v>
      </c>
      <c r="BU71" s="13">
        <f t="shared" ca="1" si="47"/>
        <v>1.8926480992833268E-3</v>
      </c>
      <c r="BV71" s="13">
        <f t="shared" ca="1" si="48"/>
        <v>1.9249988811884859E-3</v>
      </c>
      <c r="BW71" s="13">
        <f t="shared" ca="1" si="49"/>
        <v>1.8912599688885512E-3</v>
      </c>
      <c r="BX71" s="13">
        <f t="shared" ca="1" si="50"/>
        <v>1.8133587354292923E-3</v>
      </c>
      <c r="BY71" s="13">
        <f t="shared" ca="1" si="51"/>
        <v>1.7231170932249791E-3</v>
      </c>
      <c r="BZ71" s="13">
        <f t="shared" ca="1" si="52"/>
        <v>1.6490915371349067E-3</v>
      </c>
      <c r="CA71" s="13">
        <f t="shared" ca="1" si="53"/>
        <v>1.6050458475329341E-3</v>
      </c>
      <c r="CB71" s="3"/>
    </row>
    <row r="72" spans="4:80" x14ac:dyDescent="0.25">
      <c r="D72" s="17"/>
      <c r="E72" s="2">
        <f t="shared" si="9"/>
        <v>2.5000000000000009</v>
      </c>
      <c r="G72" s="12">
        <f t="shared" ca="1" si="13"/>
        <v>9.0139994985670378E-6</v>
      </c>
      <c r="H72" s="9">
        <v>0</v>
      </c>
      <c r="I72" s="8">
        <f t="shared" ca="1" si="14"/>
        <v>-9.0139994985670378E-6</v>
      </c>
      <c r="J72" s="8">
        <f t="shared" ca="1" si="15"/>
        <v>-1.7861867062777632E-5</v>
      </c>
      <c r="K72" s="8">
        <f t="shared" ca="1" si="16"/>
        <v>-2.6376796605473398E-5</v>
      </c>
      <c r="L72" s="8">
        <f t="shared" ca="1" si="17"/>
        <v>-3.4390830129175992E-5</v>
      </c>
      <c r="M72" s="8">
        <f t="shared" ca="1" si="18"/>
        <v>-4.1734804562512828E-5</v>
      </c>
      <c r="N72" s="8">
        <f t="shared" ca="1" si="19"/>
        <v>-4.8239017184474001E-5</v>
      </c>
      <c r="O72" s="8">
        <f t="shared" ca="1" si="20"/>
        <v>-5.3735004264849622E-5</v>
      </c>
      <c r="P72" s="8">
        <f t="shared" ca="1" si="21"/>
        <v>-5.8058951630964817E-5</v>
      </c>
      <c r="Q72" s="8">
        <f t="shared" ca="1" si="22"/>
        <v>-6.1057353128640026E-5</v>
      </c>
      <c r="R72" s="8">
        <f t="shared" ca="1" si="23"/>
        <v>-6.2595463271393096E-5</v>
      </c>
      <c r="S72" s="8">
        <f t="shared" ca="1" si="24"/>
        <v>-6.2568570611956951E-5</v>
      </c>
      <c r="T72" s="8">
        <f t="shared" ca="1" si="25"/>
        <v>-6.0914823032048214E-5</v>
      </c>
      <c r="U72" s="8">
        <f t="shared" ca="1" si="26"/>
        <v>-5.7626571626802465E-5</v>
      </c>
      <c r="V72" s="8">
        <f t="shared" ca="1" si="27"/>
        <v>-5.2757045744802935E-5</v>
      </c>
      <c r="W72" s="8">
        <f t="shared" ca="1" si="28"/>
        <v>-4.6420759466560712E-5</v>
      </c>
      <c r="X72" s="8">
        <f t="shared" ca="1" si="29"/>
        <v>-3.8787616012936698E-5</v>
      </c>
      <c r="Y72" s="8">
        <f t="shared" ca="1" si="30"/>
        <v>-3.007223685856142E-5</v>
      </c>
      <c r="Z72" s="8">
        <f t="shared" ca="1" si="31"/>
        <v>-2.0521611354996198E-5</v>
      </c>
      <c r="AA72" s="8">
        <f t="shared" ca="1" si="32"/>
        <v>-1.0403974305315748E-5</v>
      </c>
      <c r="AB72" s="9">
        <v>0</v>
      </c>
      <c r="AC72" s="12">
        <f t="shared" ca="1" si="10"/>
        <v>1.0403974305315748E-5</v>
      </c>
      <c r="AF72" s="2">
        <f t="shared" si="11"/>
        <v>2.5000000000000009</v>
      </c>
      <c r="AH72" s="15">
        <v>0</v>
      </c>
      <c r="AI72" s="13">
        <f t="shared" si="54"/>
        <v>-9.012757094047366E-6</v>
      </c>
      <c r="AJ72" s="13">
        <f t="shared" si="54"/>
        <v>-1.7858894288528671E-5</v>
      </c>
      <c r="AK72" s="13">
        <f t="shared" si="54"/>
        <v>-2.6371254155185479E-5</v>
      </c>
      <c r="AL72" s="13">
        <f t="shared" si="54"/>
        <v>-3.4381406880622891E-5</v>
      </c>
      <c r="AM72" s="13">
        <f t="shared" si="54"/>
        <v>-4.1719552955745663E-5</v>
      </c>
      <c r="AN72" s="13">
        <f t="shared" si="54"/>
        <v>-4.8215531023314505E-5</v>
      </c>
      <c r="AO72" s="13">
        <f t="shared" si="54"/>
        <v>-5.3700465595673673E-5</v>
      </c>
      <c r="AP72" s="13">
        <f t="shared" si="54"/>
        <v>-5.800975130609683E-5</v>
      </c>
      <c r="AQ72" s="13">
        <f t="shared" ref="AQ72:BA72" si="55">CalcW(AQ$54, $AF72, E, nu, t, a, b, p, u, v, xi, eta)</f>
        <v>-6.0989540136244923E-5</v>
      </c>
      <c r="AR72" s="13">
        <f t="shared" si="55"/>
        <v>-6.2507094023767236E-5</v>
      </c>
      <c r="AS72" s="13">
        <f t="shared" si="55"/>
        <v>-6.2462343324585476E-5</v>
      </c>
      <c r="AT72" s="13">
        <f t="shared" si="55"/>
        <v>-6.0798281178028943E-5</v>
      </c>
      <c r="AU72" s="13">
        <f t="shared" si="55"/>
        <v>-5.7509854513161959E-5</v>
      </c>
      <c r="AV72" s="13">
        <f t="shared" si="55"/>
        <v>-5.2650247473125399E-5</v>
      </c>
      <c r="AW72" s="13">
        <f t="shared" si="55"/>
        <v>-4.6331665871879385E-5</v>
      </c>
      <c r="AX72" s="13">
        <f t="shared" si="55"/>
        <v>-3.8719779252656387E-5</v>
      </c>
      <c r="AY72" s="13">
        <f t="shared" si="55"/>
        <v>-3.0024755080215085E-5</v>
      </c>
      <c r="AZ72" s="13">
        <f t="shared" si="55"/>
        <v>-2.0491536168002199E-5</v>
      </c>
      <c r="BA72" s="13">
        <f t="shared" si="55"/>
        <v>-1.0389216204610643E-5</v>
      </c>
      <c r="BB72" s="15">
        <v>0</v>
      </c>
      <c r="BF72" s="2">
        <f t="shared" si="12"/>
        <v>2.5000000000000009</v>
      </c>
      <c r="BH72" s="3"/>
      <c r="BI72" s="13">
        <f t="shared" ca="1" si="35"/>
        <v>1.3784955110932655E-4</v>
      </c>
      <c r="BJ72" s="13">
        <f t="shared" ca="1" si="36"/>
        <v>1.6645903161376747E-4</v>
      </c>
      <c r="BK72" s="13">
        <f t="shared" ca="1" si="37"/>
        <v>2.1017014417682475E-4</v>
      </c>
      <c r="BL72" s="13">
        <f t="shared" ca="1" si="38"/>
        <v>2.7407978346608735E-4</v>
      </c>
      <c r="BM72" s="13">
        <f t="shared" ca="1" si="39"/>
        <v>3.6557454926094941E-4</v>
      </c>
      <c r="BN72" s="13">
        <f t="shared" ca="1" si="40"/>
        <v>4.8710779827644286E-4</v>
      </c>
      <c r="BO72" s="13">
        <f t="shared" ca="1" si="41"/>
        <v>6.4317262043872233E-4</v>
      </c>
      <c r="BP72" s="13">
        <f t="shared" ca="1" si="42"/>
        <v>8.4813886907348464E-4</v>
      </c>
      <c r="BQ72" s="13">
        <f t="shared" ca="1" si="43"/>
        <v>1.1118790573533593E-3</v>
      </c>
      <c r="BR72" s="13">
        <f t="shared" ca="1" si="44"/>
        <v>1.4137474954804149E-3</v>
      </c>
      <c r="BS72" s="13">
        <f t="shared" ca="1" si="45"/>
        <v>1.7006612579272789E-3</v>
      </c>
      <c r="BT72" s="13">
        <f t="shared" ca="1" si="46"/>
        <v>1.9168609993761999E-3</v>
      </c>
      <c r="BU72" s="13">
        <f t="shared" ca="1" si="47"/>
        <v>2.0295150218784547E-3</v>
      </c>
      <c r="BV72" s="13">
        <f t="shared" ca="1" si="48"/>
        <v>2.0284476674501707E-3</v>
      </c>
      <c r="BW72" s="13">
        <f t="shared" ca="1" si="49"/>
        <v>1.9229525423863861E-3</v>
      </c>
      <c r="BX72" s="13">
        <f t="shared" ca="1" si="50"/>
        <v>1.7519924335740622E-3</v>
      </c>
      <c r="BY72" s="13">
        <f t="shared" ca="1" si="51"/>
        <v>1.5814210047502715E-3</v>
      </c>
      <c r="BZ72" s="13">
        <f t="shared" ca="1" si="52"/>
        <v>1.4676882566257469E-3</v>
      </c>
      <c r="CA72" s="13">
        <f t="shared" ca="1" si="53"/>
        <v>1.4205210878713743E-3</v>
      </c>
      <c r="CB72" s="3"/>
    </row>
    <row r="73" spans="4:80" x14ac:dyDescent="0.25">
      <c r="D73" s="17"/>
      <c r="E73" s="2">
        <f t="shared" si="9"/>
        <v>2.4000000000000008</v>
      </c>
      <c r="G73" s="12">
        <f t="shared" ca="1" si="13"/>
        <v>9.7792986424728295E-6</v>
      </c>
      <c r="H73" s="9">
        <v>0</v>
      </c>
      <c r="I73" s="8">
        <f t="shared" ca="1" si="14"/>
        <v>-9.7792986424728295E-6</v>
      </c>
      <c r="J73" s="8">
        <f t="shared" ca="1" si="15"/>
        <v>-1.9386279347276773E-5</v>
      </c>
      <c r="K73" s="8">
        <f t="shared" ca="1" si="16"/>
        <v>-2.8647344750883608E-5</v>
      </c>
      <c r="L73" s="8">
        <f t="shared" ca="1" si="17"/>
        <v>-3.7386504267799227E-5</v>
      </c>
      <c r="M73" s="8">
        <f t="shared" ca="1" si="18"/>
        <v>-4.5424630026341878E-5</v>
      </c>
      <c r="N73" s="8">
        <f t="shared" ca="1" si="19"/>
        <v>-5.2579371974148802E-5</v>
      </c>
      <c r="O73" s="8">
        <f t="shared" ca="1" si="20"/>
        <v>-5.8666170145616316E-5</v>
      </c>
      <c r="P73" s="8">
        <f t="shared" ca="1" si="21"/>
        <v>-6.3501032148812638E-5</v>
      </c>
      <c r="Q73" s="8">
        <f t="shared" ca="1" si="22"/>
        <v>-6.6906046663749782E-5</v>
      </c>
      <c r="R73" s="8">
        <f t="shared" ca="1" si="23"/>
        <v>-6.8718846609988794E-5</v>
      </c>
      <c r="S73" s="8">
        <f t="shared" ca="1" si="24"/>
        <v>-6.8806930739203487E-5</v>
      </c>
      <c r="T73" s="8">
        <f t="shared" ca="1" si="25"/>
        <v>-6.7085803277442974E-5</v>
      </c>
      <c r="U73" s="8">
        <f t="shared" ca="1" si="26"/>
        <v>-6.3535660873080565E-5</v>
      </c>
      <c r="V73" s="8">
        <f t="shared" ca="1" si="27"/>
        <v>-5.821100301553883E-5</v>
      </c>
      <c r="W73" s="8">
        <f t="shared" ca="1" si="28"/>
        <v>-5.1241187061598124E-5</v>
      </c>
      <c r="X73" s="8">
        <f t="shared" ca="1" si="29"/>
        <v>-4.282190450847468E-5</v>
      </c>
      <c r="Y73" s="8">
        <f t="shared" ca="1" si="30"/>
        <v>-3.3199504871426206E-5</v>
      </c>
      <c r="Z73" s="8">
        <f t="shared" ca="1" si="31"/>
        <v>-2.2653719868985431E-5</v>
      </c>
      <c r="AA73" s="8">
        <f t="shared" ca="1" si="32"/>
        <v>-1.1483951917211966E-5</v>
      </c>
      <c r="AB73" s="9">
        <v>0</v>
      </c>
      <c r="AC73" s="12">
        <f t="shared" ca="1" si="10"/>
        <v>1.1483951917211966E-5</v>
      </c>
      <c r="AF73" s="2">
        <f t="shared" si="11"/>
        <v>2.4000000000000008</v>
      </c>
      <c r="AH73" s="15">
        <v>0</v>
      </c>
      <c r="AI73" s="13">
        <f t="shared" ref="AI73:BA86" si="56">CalcW(AI$54, $AF73, E, nu, t, a, b, p, u, v, xi, eta)</f>
        <v>-9.778539020725046E-6</v>
      </c>
      <c r="AJ73" s="13">
        <f t="shared" si="56"/>
        <v>-1.9384282049310851E-5</v>
      </c>
      <c r="AK73" s="13">
        <f t="shared" si="56"/>
        <v>-2.8643339342898704E-5</v>
      </c>
      <c r="AL73" s="13">
        <f t="shared" si="56"/>
        <v>-3.7379280913310099E-5</v>
      </c>
      <c r="AM73" s="13">
        <f t="shared" si="56"/>
        <v>-4.5412318021428166E-5</v>
      </c>
      <c r="AN73" s="13">
        <f t="shared" si="56"/>
        <v>-5.2559660784126848E-5</v>
      </c>
      <c r="AO73" s="13">
        <f t="shared" si="56"/>
        <v>-5.8636370428173635E-5</v>
      </c>
      <c r="AP73" s="13">
        <f t="shared" si="56"/>
        <v>-6.3457470599882196E-5</v>
      </c>
      <c r="AQ73" s="13">
        <f t="shared" si="56"/>
        <v>-6.6844280432230618E-5</v>
      </c>
      <c r="AR73" s="13">
        <f t="shared" si="56"/>
        <v>-6.8636267408953987E-5</v>
      </c>
      <c r="AS73" s="13">
        <f t="shared" si="56"/>
        <v>-6.8706001870685304E-5</v>
      </c>
      <c r="AT73" s="13">
        <f t="shared" si="56"/>
        <v>-6.6974276836397908E-5</v>
      </c>
      <c r="AU73" s="13">
        <f t="shared" si="56"/>
        <v>-6.3423879385220207E-5</v>
      </c>
      <c r="AV73" s="13">
        <f t="shared" si="56"/>
        <v>-5.8109213705791665E-5</v>
      </c>
      <c r="AW73" s="13">
        <f t="shared" si="56"/>
        <v>-5.1157317166933367E-5</v>
      </c>
      <c r="AX73" s="13">
        <f t="shared" si="56"/>
        <v>-4.2759260843300642E-5</v>
      </c>
      <c r="AY73" s="13">
        <f t="shared" si="56"/>
        <v>-3.3156473435842341E-5</v>
      </c>
      <c r="AZ73" s="13">
        <f t="shared" si="56"/>
        <v>-2.26267134217236E-5</v>
      </c>
      <c r="BA73" s="13">
        <f t="shared" si="56"/>
        <v>-1.1470687467505544E-5</v>
      </c>
      <c r="BB73" s="15">
        <v>0</v>
      </c>
      <c r="BF73" s="2">
        <f t="shared" si="12"/>
        <v>2.4000000000000008</v>
      </c>
      <c r="BH73" s="3"/>
      <c r="BI73" s="13">
        <f t="shared" ca="1" si="35"/>
        <v>7.768253991456166E-5</v>
      </c>
      <c r="BJ73" s="13">
        <f t="shared" ca="1" si="36"/>
        <v>1.0303698433821952E-4</v>
      </c>
      <c r="BK73" s="13">
        <f t="shared" ca="1" si="37"/>
        <v>1.3983732612157158E-4</v>
      </c>
      <c r="BL73" s="13">
        <f t="shared" ca="1" si="38"/>
        <v>1.9324487557372672E-4</v>
      </c>
      <c r="BM73" s="13">
        <f t="shared" ca="1" si="39"/>
        <v>2.7111597579983687E-4</v>
      </c>
      <c r="BN73" s="13">
        <f t="shared" ca="1" si="40"/>
        <v>3.7502506157549673E-4</v>
      </c>
      <c r="BO73" s="13">
        <f t="shared" ca="1" si="41"/>
        <v>5.0821217659071023E-4</v>
      </c>
      <c r="BP73" s="13">
        <f t="shared" ca="1" si="42"/>
        <v>6.8646840976550731E-4</v>
      </c>
      <c r="BQ73" s="13">
        <f t="shared" ca="1" si="43"/>
        <v>9.2403166164357886E-4</v>
      </c>
      <c r="BR73" s="13">
        <f t="shared" ca="1" si="44"/>
        <v>1.2031423641203764E-3</v>
      </c>
      <c r="BS73" s="13">
        <f t="shared" ca="1" si="45"/>
        <v>1.4689963870717681E-3</v>
      </c>
      <c r="BT73" s="13">
        <f t="shared" ca="1" si="46"/>
        <v>1.6652130685561404E-3</v>
      </c>
      <c r="BU73" s="13">
        <f t="shared" ca="1" si="47"/>
        <v>1.7624511295095413E-3</v>
      </c>
      <c r="BV73" s="13">
        <f t="shared" ca="1" si="48"/>
        <v>1.7516896763140972E-3</v>
      </c>
      <c r="BW73" s="13">
        <f t="shared" ca="1" si="49"/>
        <v>1.6394506066664512E-3</v>
      </c>
      <c r="BX73" s="13">
        <f t="shared" ca="1" si="50"/>
        <v>1.4650315262372561E-3</v>
      </c>
      <c r="BY73" s="13">
        <f t="shared" ca="1" si="51"/>
        <v>1.297829085084414E-3</v>
      </c>
      <c r="BZ73" s="13">
        <f t="shared" ca="1" si="52"/>
        <v>1.1935647373295575E-3</v>
      </c>
      <c r="CA73" s="13">
        <f t="shared" ca="1" si="53"/>
        <v>1.156377919283254E-3</v>
      </c>
      <c r="CB73" s="3"/>
    </row>
    <row r="74" spans="4:80" x14ac:dyDescent="0.25">
      <c r="D74" s="17"/>
      <c r="E74" s="2">
        <f t="shared" si="9"/>
        <v>2.3000000000000007</v>
      </c>
      <c r="G74" s="12">
        <f t="shared" ca="1" si="13"/>
        <v>1.0529607140164741E-5</v>
      </c>
      <c r="H74" s="9">
        <v>0</v>
      </c>
      <c r="I74" s="8">
        <f t="shared" ca="1" si="14"/>
        <v>-1.0529607140164741E-5</v>
      </c>
      <c r="J74" s="8">
        <f t="shared" ca="1" si="15"/>
        <v>-2.0882713937595922E-5</v>
      </c>
      <c r="K74" s="8">
        <f t="shared" ca="1" si="16"/>
        <v>-3.0880927072822341E-5</v>
      </c>
      <c r="L74" s="8">
        <f t="shared" ca="1" si="17"/>
        <v>-4.034218187844121E-5</v>
      </c>
      <c r="M74" s="8">
        <f t="shared" ca="1" si="18"/>
        <v>-4.9079230950098125E-5</v>
      </c>
      <c r="N74" s="8">
        <f t="shared" ca="1" si="19"/>
        <v>-5.6898640899176669E-5</v>
      </c>
      <c r="O74" s="8">
        <f t="shared" ca="1" si="20"/>
        <v>-6.3600710382625609E-5</v>
      </c>
      <c r="P74" s="8">
        <f t="shared" ca="1" si="21"/>
        <v>-6.8981039629734548E-5</v>
      </c>
      <c r="Q74" s="8">
        <f t="shared" ca="1" si="22"/>
        <v>-7.2835039119422575E-5</v>
      </c>
      <c r="R74" s="8">
        <f t="shared" ca="1" si="23"/>
        <v>-7.4967515260004994E-5</v>
      </c>
      <c r="S74" s="8">
        <f t="shared" ca="1" si="24"/>
        <v>-7.5210176084088845E-5</v>
      </c>
      <c r="T74" s="8">
        <f t="shared" ca="1" si="25"/>
        <v>-7.3447966853316433E-5</v>
      </c>
      <c r="U74" s="8">
        <f t="shared" ca="1" si="26"/>
        <v>-6.9644234844148725E-5</v>
      </c>
      <c r="V74" s="8">
        <f t="shared" ca="1" si="27"/>
        <v>-6.3854128131232108E-5</v>
      </c>
      <c r="W74" s="8">
        <f t="shared" ca="1" si="28"/>
        <v>-5.6225289998002579E-5</v>
      </c>
      <c r="X74" s="8">
        <f t="shared" ca="1" si="29"/>
        <v>-4.6985837835523404E-5</v>
      </c>
      <c r="Y74" s="8">
        <f t="shared" ca="1" si="30"/>
        <v>-3.642053779071459E-5</v>
      </c>
      <c r="Z74" s="8">
        <f t="shared" ca="1" si="31"/>
        <v>-2.4845727417546933E-5</v>
      </c>
      <c r="AA74" s="8">
        <f t="shared" ca="1" si="32"/>
        <v>-1.2592912829857762E-5</v>
      </c>
      <c r="AB74" s="9">
        <v>0</v>
      </c>
      <c r="AC74" s="12">
        <f t="shared" ca="1" si="10"/>
        <v>1.2592912829857762E-5</v>
      </c>
      <c r="AF74" s="2">
        <f t="shared" si="11"/>
        <v>2.3000000000000007</v>
      </c>
      <c r="AH74" s="15">
        <v>0</v>
      </c>
      <c r="AI74" s="13">
        <f t="shared" si="56"/>
        <v>-1.052904424906877E-5</v>
      </c>
      <c r="AJ74" s="13">
        <f t="shared" si="56"/>
        <v>-2.0881197642681666E-5</v>
      </c>
      <c r="AK74" s="13">
        <f t="shared" si="56"/>
        <v>-3.0877731991489384E-5</v>
      </c>
      <c r="AL74" s="13">
        <f t="shared" si="56"/>
        <v>-4.033622788872486E-5</v>
      </c>
      <c r="AM74" s="13">
        <f t="shared" si="56"/>
        <v>-4.9069009819927431E-5</v>
      </c>
      <c r="AN74" s="13">
        <f t="shared" si="56"/>
        <v>-5.6882277324828387E-5</v>
      </c>
      <c r="AO74" s="13">
        <f t="shared" si="56"/>
        <v>-6.3576128645809895E-5</v>
      </c>
      <c r="AP74" s="13">
        <f t="shared" si="56"/>
        <v>-6.894596379310103E-5</v>
      </c>
      <c r="AQ74" s="13">
        <f t="shared" si="56"/>
        <v>-7.2787075243075896E-5</v>
      </c>
      <c r="AR74" s="13">
        <f t="shared" si="56"/>
        <v>-7.4905363313725406E-5</v>
      </c>
      <c r="AS74" s="13">
        <f t="shared" si="56"/>
        <v>-7.5135868424680167E-5</v>
      </c>
      <c r="AT74" s="13">
        <f t="shared" si="56"/>
        <v>-7.3366822177513559E-5</v>
      </c>
      <c r="AU74" s="13">
        <f t="shared" si="56"/>
        <v>-6.9562740692952132E-5</v>
      </c>
      <c r="AV74" s="13">
        <f t="shared" si="56"/>
        <v>-6.3778862803396625E-5</v>
      </c>
      <c r="AW74" s="13">
        <f t="shared" si="56"/>
        <v>-5.616186982373695E-5</v>
      </c>
      <c r="AX74" s="13">
        <f t="shared" si="56"/>
        <v>-4.6936839235013521E-5</v>
      </c>
      <c r="AY74" s="13">
        <f t="shared" si="56"/>
        <v>-3.63854478328126E-5</v>
      </c>
      <c r="AZ74" s="13">
        <f t="shared" si="56"/>
        <v>-2.4823159821275256E-5</v>
      </c>
      <c r="BA74" s="13">
        <f t="shared" si="56"/>
        <v>-1.2581863298393603E-5</v>
      </c>
      <c r="BB74" s="15">
        <v>0</v>
      </c>
      <c r="BF74" s="2">
        <f t="shared" si="12"/>
        <v>2.3000000000000007</v>
      </c>
      <c r="BH74" s="3"/>
      <c r="BI74" s="13">
        <f t="shared" ca="1" si="35"/>
        <v>5.3460796882960328E-5</v>
      </c>
      <c r="BJ74" s="13">
        <f t="shared" ca="1" si="36"/>
        <v>7.2615323134409389E-5</v>
      </c>
      <c r="BK74" s="13">
        <f t="shared" ca="1" si="37"/>
        <v>1.0347525957664033E-4</v>
      </c>
      <c r="BL74" s="13">
        <f t="shared" ca="1" si="38"/>
        <v>1.4760898646186827E-4</v>
      </c>
      <c r="BM74" s="13">
        <f t="shared" ca="1" si="39"/>
        <v>2.083011295358098E-4</v>
      </c>
      <c r="BN74" s="13">
        <f t="shared" ca="1" si="40"/>
        <v>2.8767438854174394E-4</v>
      </c>
      <c r="BO74" s="13">
        <f t="shared" ca="1" si="41"/>
        <v>3.8665041957274882E-4</v>
      </c>
      <c r="BP74" s="13">
        <f t="shared" ca="1" si="42"/>
        <v>5.0874387279256032E-4</v>
      </c>
      <c r="BQ74" s="13">
        <f t="shared" ca="1" si="43"/>
        <v>6.589614459229468E-4</v>
      </c>
      <c r="BR74" s="13">
        <f t="shared" ca="1" si="44"/>
        <v>8.2973960114547966E-4</v>
      </c>
      <c r="BS74" s="13">
        <f t="shared" ca="1" si="45"/>
        <v>9.8897718182584284E-4</v>
      </c>
      <c r="BT74" s="13">
        <f t="shared" ca="1" si="46"/>
        <v>1.1060132277031396E-3</v>
      </c>
      <c r="BU74" s="13">
        <f t="shared" ca="1" si="47"/>
        <v>1.1715201325420198E-3</v>
      </c>
      <c r="BV74" s="13">
        <f t="shared" ca="1" si="48"/>
        <v>1.180098304159078E-3</v>
      </c>
      <c r="BW74" s="13">
        <f t="shared" ca="1" si="49"/>
        <v>1.1292390097529239E-3</v>
      </c>
      <c r="BX74" s="13">
        <f t="shared" ca="1" si="50"/>
        <v>1.0439262913411451E-3</v>
      </c>
      <c r="BY74" s="13">
        <f t="shared" ca="1" si="51"/>
        <v>9.6439538309998722E-4</v>
      </c>
      <c r="BZ74" s="13">
        <f t="shared" ca="1" si="52"/>
        <v>9.0913471267003933E-4</v>
      </c>
      <c r="CA74" s="13">
        <f t="shared" ca="1" si="53"/>
        <v>8.7821105682893376E-4</v>
      </c>
      <c r="CB74" s="3"/>
    </row>
    <row r="75" spans="4:80" x14ac:dyDescent="0.25">
      <c r="D75" s="17"/>
      <c r="E75" s="2">
        <f t="shared" si="9"/>
        <v>2.2000000000000006</v>
      </c>
      <c r="G75" s="12">
        <f t="shared" ca="1" si="13"/>
        <v>1.1247811908587774E-5</v>
      </c>
      <c r="H75" s="9">
        <v>0</v>
      </c>
      <c r="I75" s="8">
        <f t="shared" ca="1" si="14"/>
        <v>-1.1247811908587774E-5</v>
      </c>
      <c r="J75" s="8">
        <f t="shared" ca="1" si="15"/>
        <v>-2.2317015944984611E-5</v>
      </c>
      <c r="K75" s="8">
        <f t="shared" ca="1" si="16"/>
        <v>-3.3026535969874451E-5</v>
      </c>
      <c r="L75" s="8">
        <f t="shared" ca="1" si="17"/>
        <v>-4.319041071983611E-5</v>
      </c>
      <c r="M75" s="8">
        <f t="shared" ca="1" si="18"/>
        <v>-5.2615509013164629E-5</v>
      </c>
      <c r="N75" s="8">
        <f t="shared" ca="1" si="19"/>
        <v>-6.1099528946542646E-5</v>
      </c>
      <c r="O75" s="8">
        <f t="shared" ca="1" si="20"/>
        <v>-6.8429581996033348E-5</v>
      </c>
      <c r="P75" s="8">
        <f t="shared" ca="1" si="21"/>
        <v>-7.4381978656354677E-5</v>
      </c>
      <c r="Q75" s="8">
        <f t="shared" ca="1" si="22"/>
        <v>-7.8724534100170829E-5</v>
      </c>
      <c r="R75" s="8">
        <f t="shared" ca="1" si="23"/>
        <v>-8.1224299296146278E-5</v>
      </c>
      <c r="S75" s="8">
        <f t="shared" ca="1" si="24"/>
        <v>-8.1666834606219138E-5</v>
      </c>
      <c r="T75" s="8">
        <f t="shared" ca="1" si="25"/>
        <v>-7.989588057127301E-5</v>
      </c>
      <c r="U75" s="8">
        <f t="shared" ca="1" si="26"/>
        <v>-7.5852468446004445E-5</v>
      </c>
      <c r="V75" s="8">
        <f t="shared" ca="1" si="27"/>
        <v>-6.9591792229704952E-5</v>
      </c>
      <c r="W75" s="8">
        <f t="shared" ca="1" si="28"/>
        <v>-6.1284025457993276E-5</v>
      </c>
      <c r="X75" s="8">
        <f t="shared" ca="1" si="29"/>
        <v>-5.1199084505277446E-5</v>
      </c>
      <c r="Y75" s="8">
        <f t="shared" ca="1" si="30"/>
        <v>-3.9669155293344145E-5</v>
      </c>
      <c r="Z75" s="8">
        <f t="shared" ca="1" si="31"/>
        <v>-2.7050650733401524E-5</v>
      </c>
      <c r="AA75" s="8">
        <f t="shared" ca="1" si="32"/>
        <v>-1.3706522916915121E-5</v>
      </c>
      <c r="AB75" s="9">
        <v>0</v>
      </c>
      <c r="AC75" s="12">
        <f t="shared" ca="1" si="10"/>
        <v>1.3706522916915121E-5</v>
      </c>
      <c r="AF75" s="2">
        <f t="shared" si="11"/>
        <v>2.2000000000000006</v>
      </c>
      <c r="AH75" s="15">
        <v>0</v>
      </c>
      <c r="AI75" s="13">
        <f t="shared" si="56"/>
        <v>-1.1247087185478847E-5</v>
      </c>
      <c r="AJ75" s="13">
        <f t="shared" si="56"/>
        <v>-2.2315340873747451E-5</v>
      </c>
      <c r="AK75" s="13">
        <f t="shared" si="56"/>
        <v>-3.3023129636644171E-5</v>
      </c>
      <c r="AL75" s="13">
        <f t="shared" si="56"/>
        <v>-4.3184218027209519E-5</v>
      </c>
      <c r="AM75" s="13">
        <f t="shared" si="56"/>
        <v>-5.2605489922416867E-5</v>
      </c>
      <c r="AN75" s="13">
        <f t="shared" si="56"/>
        <v>-6.1084170898330033E-5</v>
      </c>
      <c r="AO75" s="13">
        <f t="shared" si="56"/>
        <v>-6.840710415879129E-5</v>
      </c>
      <c r="AP75" s="13">
        <f t="shared" si="56"/>
        <v>-7.4351852382929207E-5</v>
      </c>
      <c r="AQ75" s="13">
        <f t="shared" si="56"/>
        <v>-7.8687620527057229E-5</v>
      </c>
      <c r="AR75" s="13">
        <f t="shared" si="56"/>
        <v>-8.1181338191736694E-5</v>
      </c>
      <c r="AS75" s="13">
        <f t="shared" si="56"/>
        <v>-8.161969030240548E-5</v>
      </c>
      <c r="AT75" s="13">
        <f t="shared" si="56"/>
        <v>-7.9847062108437476E-5</v>
      </c>
      <c r="AU75" s="13">
        <f t="shared" si="56"/>
        <v>-7.5803160889958128E-5</v>
      </c>
      <c r="AV75" s="13">
        <f t="shared" si="56"/>
        <v>-6.9543775346281219E-5</v>
      </c>
      <c r="AW75" s="13">
        <f t="shared" si="56"/>
        <v>-6.1240491944429965E-5</v>
      </c>
      <c r="AX75" s="13">
        <f t="shared" si="56"/>
        <v>-5.1161779292191508E-5</v>
      </c>
      <c r="AY75" s="13">
        <f t="shared" si="56"/>
        <v>-3.9639224113721733E-5</v>
      </c>
      <c r="AZ75" s="13">
        <f t="shared" si="56"/>
        <v>-2.7030588345166511E-5</v>
      </c>
      <c r="BA75" s="13">
        <f t="shared" si="56"/>
        <v>-1.3697113777857977E-5</v>
      </c>
      <c r="BB75" s="15">
        <v>0</v>
      </c>
      <c r="BF75" s="2">
        <f t="shared" si="12"/>
        <v>2.2000000000000006</v>
      </c>
      <c r="BH75" s="3"/>
      <c r="BI75" s="13">
        <f t="shared" ca="1" si="35"/>
        <v>6.4436515604069129E-5</v>
      </c>
      <c r="BJ75" s="13">
        <f t="shared" ca="1" si="36"/>
        <v>7.5063663451842898E-5</v>
      </c>
      <c r="BK75" s="13">
        <f t="shared" ca="1" si="37"/>
        <v>1.0314992151744128E-4</v>
      </c>
      <c r="BL75" s="13">
        <f t="shared" ca="1" si="38"/>
        <v>1.43401754379094E-4</v>
      </c>
      <c r="BM75" s="13">
        <f t="shared" ca="1" si="39"/>
        <v>1.9045713218409282E-4</v>
      </c>
      <c r="BN75" s="13">
        <f t="shared" ca="1" si="40"/>
        <v>2.5142435407979135E-4</v>
      </c>
      <c r="BO75" s="13">
        <f t="shared" ca="1" si="41"/>
        <v>3.2858922356779444E-4</v>
      </c>
      <c r="BP75" s="13">
        <f t="shared" ca="1" si="42"/>
        <v>4.0518524367507558E-4</v>
      </c>
      <c r="BQ75" s="13">
        <f t="shared" ca="1" si="43"/>
        <v>4.6911538138209819E-4</v>
      </c>
      <c r="BR75" s="13">
        <f t="shared" ca="1" si="44"/>
        <v>5.2919926385195195E-4</v>
      </c>
      <c r="BS75" s="13">
        <f t="shared" ca="1" si="45"/>
        <v>5.776094425130172E-4</v>
      </c>
      <c r="BT75" s="13">
        <f t="shared" ca="1" si="46"/>
        <v>6.1139961253972683E-4</v>
      </c>
      <c r="BU75" s="13">
        <f t="shared" ca="1" si="47"/>
        <v>6.5046833756570875E-4</v>
      </c>
      <c r="BV75" s="13">
        <f t="shared" ca="1" si="48"/>
        <v>6.9045551790424475E-4</v>
      </c>
      <c r="BW75" s="13">
        <f t="shared" ca="1" si="49"/>
        <v>7.1086159142570206E-4</v>
      </c>
      <c r="BX75" s="13">
        <f t="shared" ca="1" si="50"/>
        <v>7.2916176102639412E-4</v>
      </c>
      <c r="BY75" s="13">
        <f t="shared" ca="1" si="51"/>
        <v>7.5508994667863383E-4</v>
      </c>
      <c r="BZ75" s="13">
        <f t="shared" ca="1" si="52"/>
        <v>7.4221056452145376E-4</v>
      </c>
      <c r="CA75" s="13">
        <f t="shared" ca="1" si="53"/>
        <v>6.8694319180974861E-4</v>
      </c>
      <c r="CB75" s="3"/>
    </row>
    <row r="76" spans="4:80" x14ac:dyDescent="0.25">
      <c r="D76" s="17"/>
      <c r="E76" s="2">
        <f t="shared" si="9"/>
        <v>2.1000000000000005</v>
      </c>
      <c r="G76" s="12">
        <f t="shared" ca="1" si="13"/>
        <v>1.1914543090210009E-5</v>
      </c>
      <c r="H76" s="9">
        <v>0</v>
      </c>
      <c r="I76" s="8">
        <f t="shared" ca="1" si="14"/>
        <v>-1.1914543090210009E-5</v>
      </c>
      <c r="J76" s="8">
        <f t="shared" ca="1" si="15"/>
        <v>-2.3650325805213106E-5</v>
      </c>
      <c r="K76" s="8">
        <f t="shared" ca="1" si="16"/>
        <v>-3.5025615582385038E-5</v>
      </c>
      <c r="L76" s="8">
        <f t="shared" ca="1" si="17"/>
        <v>-4.5852722029144516E-5</v>
      </c>
      <c r="M76" s="8">
        <f t="shared" ca="1" si="18"/>
        <v>-5.5935001700418288E-5</v>
      </c>
      <c r="N76" s="8">
        <f t="shared" ca="1" si="19"/>
        <v>-6.5063898988825897E-5</v>
      </c>
      <c r="O76" s="8">
        <f t="shared" ca="1" si="20"/>
        <v>-7.3016155925887091E-5</v>
      </c>
      <c r="P76" s="8">
        <f t="shared" ca="1" si="21"/>
        <v>-7.955151626174593E-5</v>
      </c>
      <c r="Q76" s="8">
        <f t="shared" ca="1" si="22"/>
        <v>-8.4411749822870449E-5</v>
      </c>
      <c r="R76" s="8">
        <f t="shared" ca="1" si="23"/>
        <v>-8.7323421703941438E-5</v>
      </c>
      <c r="S76" s="8">
        <f t="shared" ca="1" si="24"/>
        <v>-8.80129539029454E-5</v>
      </c>
      <c r="T76" s="8">
        <f t="shared" ca="1" si="25"/>
        <v>-8.6269165396999235E-5</v>
      </c>
      <c r="U76" s="8">
        <f t="shared" ca="1" si="26"/>
        <v>-8.2006101649280804E-5</v>
      </c>
      <c r="V76" s="8">
        <f t="shared" ca="1" si="27"/>
        <v>-7.5278463963522908E-5</v>
      </c>
      <c r="W76" s="8">
        <f t="shared" ca="1" si="28"/>
        <v>-6.6282527311307846E-5</v>
      </c>
      <c r="X76" s="8">
        <f t="shared" ca="1" si="29"/>
        <v>-5.5342560778846969E-5</v>
      </c>
      <c r="Y76" s="8">
        <f t="shared" ca="1" si="30"/>
        <v>-4.2849888609733691E-5</v>
      </c>
      <c r="Z76" s="8">
        <f t="shared" ca="1" si="31"/>
        <v>-2.9202302244421354E-5</v>
      </c>
      <c r="AA76" s="8">
        <f t="shared" ca="1" si="32"/>
        <v>-1.4791020945290403E-5</v>
      </c>
      <c r="AB76" s="9">
        <v>0</v>
      </c>
      <c r="AC76" s="12">
        <f t="shared" ca="1" si="10"/>
        <v>1.4791020945290403E-5</v>
      </c>
      <c r="AF76" s="2">
        <f t="shared" si="11"/>
        <v>2.1000000000000005</v>
      </c>
      <c r="AH76" s="15">
        <v>0</v>
      </c>
      <c r="AI76" s="13">
        <f t="shared" si="56"/>
        <v>-1.1913309315545925E-5</v>
      </c>
      <c r="AJ76" s="13">
        <f t="shared" si="56"/>
        <v>-2.3647855444556502E-5</v>
      </c>
      <c r="AK76" s="13">
        <f t="shared" si="56"/>
        <v>-3.5020938353595353E-5</v>
      </c>
      <c r="AL76" s="13">
        <f t="shared" si="56"/>
        <v>-4.5844618730901207E-5</v>
      </c>
      <c r="AM76" s="13">
        <f t="shared" si="56"/>
        <v>-5.5922796648603724E-5</v>
      </c>
      <c r="AN76" s="13">
        <f t="shared" si="56"/>
        <v>-6.5045924331537294E-5</v>
      </c>
      <c r="AO76" s="13">
        <f t="shared" si="56"/>
        <v>-7.2989654790924608E-5</v>
      </c>
      <c r="AP76" s="13">
        <f t="shared" si="56"/>
        <v>-7.9516076822280053E-5</v>
      </c>
      <c r="AQ76" s="13">
        <f t="shared" si="56"/>
        <v>-8.4369206074337924E-5</v>
      </c>
      <c r="AR76" s="13">
        <f t="shared" si="56"/>
        <v>-8.7273130365021176E-5</v>
      </c>
      <c r="AS76" s="13">
        <f t="shared" si="56"/>
        <v>-8.7957313101173459E-5</v>
      </c>
      <c r="AT76" s="13">
        <f t="shared" si="56"/>
        <v>-8.6212821868613849E-5</v>
      </c>
      <c r="AU76" s="13">
        <f t="shared" si="56"/>
        <v>-8.194908150765254E-5</v>
      </c>
      <c r="AV76" s="13">
        <f t="shared" si="56"/>
        <v>-7.5222191150034812E-5</v>
      </c>
      <c r="AW76" s="13">
        <f t="shared" si="56"/>
        <v>-6.6232970350136314E-5</v>
      </c>
      <c r="AX76" s="13">
        <f t="shared" si="56"/>
        <v>-5.5301005116677221E-5</v>
      </c>
      <c r="AY76" s="13">
        <f t="shared" si="56"/>
        <v>-4.2815574062343888E-5</v>
      </c>
      <c r="AZ76" s="13">
        <f t="shared" si="56"/>
        <v>-2.9179809482910945E-5</v>
      </c>
      <c r="BA76" s="13">
        <f t="shared" si="56"/>
        <v>-1.478153590965997E-5</v>
      </c>
      <c r="BB76" s="15">
        <v>0</v>
      </c>
      <c r="BF76" s="2">
        <f t="shared" si="12"/>
        <v>2.1000000000000005</v>
      </c>
      <c r="BH76" s="3"/>
      <c r="BI76" s="13">
        <f t="shared" ca="1" si="35"/>
        <v>1.0356271556494944E-4</v>
      </c>
      <c r="BJ76" s="13">
        <f t="shared" ca="1" si="36"/>
        <v>1.0446446877161142E-4</v>
      </c>
      <c r="BK76" s="13">
        <f t="shared" ca="1" si="37"/>
        <v>1.3355521038471905E-4</v>
      </c>
      <c r="BL76" s="13">
        <f t="shared" ca="1" si="38"/>
        <v>1.7675571239610772E-4</v>
      </c>
      <c r="BM76" s="13">
        <f t="shared" ca="1" si="39"/>
        <v>2.1824823767766012E-4</v>
      </c>
      <c r="BN76" s="13">
        <f t="shared" ca="1" si="40"/>
        <v>2.7633794850829999E-4</v>
      </c>
      <c r="BO76" s="13">
        <f t="shared" ca="1" si="41"/>
        <v>3.6308070011282671E-4</v>
      </c>
      <c r="BP76" s="13">
        <f t="shared" ca="1" si="42"/>
        <v>4.4568898368922997E-4</v>
      </c>
      <c r="BQ76" s="13">
        <f t="shared" ca="1" si="43"/>
        <v>5.0425683151551607E-4</v>
      </c>
      <c r="BR76" s="13">
        <f t="shared" ca="1" si="44"/>
        <v>5.7625226355370888E-4</v>
      </c>
      <c r="BS76" s="13">
        <f t="shared" ca="1" si="45"/>
        <v>6.3258869342609162E-4</v>
      </c>
      <c r="BT76" s="13">
        <f t="shared" ca="1" si="46"/>
        <v>6.5354000906329025E-4</v>
      </c>
      <c r="BU76" s="13">
        <f t="shared" ca="1" si="47"/>
        <v>6.9579964264686626E-4</v>
      </c>
      <c r="BV76" s="13">
        <f t="shared" ca="1" si="48"/>
        <v>7.4808793293267527E-4</v>
      </c>
      <c r="BW76" s="13">
        <f t="shared" ca="1" si="49"/>
        <v>7.4822193402397121E-4</v>
      </c>
      <c r="BX76" s="13">
        <f t="shared" ca="1" si="50"/>
        <v>7.5144497070300049E-4</v>
      </c>
      <c r="BY76" s="13">
        <f t="shared" ca="1" si="51"/>
        <v>8.0145012980177577E-4</v>
      </c>
      <c r="BZ76" s="13">
        <f t="shared" ca="1" si="52"/>
        <v>7.708330489128736E-4</v>
      </c>
      <c r="CA76" s="13">
        <f t="shared" ca="1" si="53"/>
        <v>6.4168133057370454E-4</v>
      </c>
      <c r="CB76" s="3"/>
    </row>
    <row r="77" spans="4:80" x14ac:dyDescent="0.25">
      <c r="D77" s="17"/>
      <c r="E77" s="2">
        <f t="shared" si="9"/>
        <v>2.0000000000000004</v>
      </c>
      <c r="G77" s="12">
        <f t="shared" ca="1" si="13"/>
        <v>1.2508989041741792E-5</v>
      </c>
      <c r="H77" s="9">
        <v>0</v>
      </c>
      <c r="I77" s="8">
        <f t="shared" ca="1" si="14"/>
        <v>-1.2508989041741792E-5</v>
      </c>
      <c r="J77" s="8">
        <f t="shared" ca="1" si="15"/>
        <v>-2.484070623220068E-5</v>
      </c>
      <c r="K77" s="8">
        <f t="shared" ca="1" si="16"/>
        <v>-3.6814482189310219E-5</v>
      </c>
      <c r="L77" s="8">
        <f t="shared" ca="1" si="17"/>
        <v>-4.8242776957502096E-5</v>
      </c>
      <c r="M77" s="8">
        <f t="shared" ca="1" si="18"/>
        <v>-5.8927562688442424E-5</v>
      </c>
      <c r="N77" s="8">
        <f t="shared" ca="1" si="19"/>
        <v>-6.8656508978353619E-5</v>
      </c>
      <c r="O77" s="8">
        <f t="shared" ca="1" si="20"/>
        <v>-7.7198946552695452E-5</v>
      </c>
      <c r="P77" s="8">
        <f t="shared" ca="1" si="21"/>
        <v>-8.430163188127043E-5</v>
      </c>
      <c r="Q77" s="8">
        <f t="shared" ca="1" si="22"/>
        <v>-8.9684404178079301E-5</v>
      </c>
      <c r="R77" s="10">
        <f t="shared" ca="1" si="23"/>
        <v>-9.3035915743494766E-5</v>
      </c>
      <c r="S77" s="10">
        <f t="shared" ca="1" si="24"/>
        <v>-9.400971499734238E-5</v>
      </c>
      <c r="T77" s="10">
        <f t="shared" ca="1" si="25"/>
        <v>-9.2325043230632E-5</v>
      </c>
      <c r="U77" s="10">
        <f t="shared" ca="1" si="26"/>
        <v>-8.7868735807736673E-5</v>
      </c>
      <c r="V77" s="10">
        <f t="shared" ca="1" si="27"/>
        <v>-8.0694567698353655E-5</v>
      </c>
      <c r="W77" s="10">
        <f t="shared" ca="1" si="28"/>
        <v>-7.1024250975279516E-5</v>
      </c>
      <c r="X77" s="8">
        <f t="shared" ca="1" si="29"/>
        <v>-5.9250109929014815E-5</v>
      </c>
      <c r="Y77" s="8">
        <f t="shared" ca="1" si="30"/>
        <v>-4.5835277447123196E-5</v>
      </c>
      <c r="Z77" s="8">
        <f t="shared" ca="1" si="31"/>
        <v>-3.1215123584334015E-5</v>
      </c>
      <c r="AA77" s="8">
        <f t="shared" ca="1" si="32"/>
        <v>-1.5803574112517564E-5</v>
      </c>
      <c r="AB77" s="9">
        <v>0</v>
      </c>
      <c r="AC77" s="12">
        <f t="shared" ca="1" si="10"/>
        <v>1.5803574112517564E-5</v>
      </c>
      <c r="AF77" s="2">
        <f t="shared" si="11"/>
        <v>2.0000000000000004</v>
      </c>
      <c r="AH77" s="15">
        <v>0</v>
      </c>
      <c r="AI77" s="13">
        <f t="shared" si="56"/>
        <v>-1.2507008111215232E-5</v>
      </c>
      <c r="AJ77" s="13">
        <f t="shared" si="56"/>
        <v>-2.4836996513659348E-5</v>
      </c>
      <c r="AK77" s="13">
        <f t="shared" si="56"/>
        <v>-3.6807797873204587E-5</v>
      </c>
      <c r="AL77" s="13">
        <f t="shared" si="56"/>
        <v>-4.8231601310656994E-5</v>
      </c>
      <c r="AM77" s="13">
        <f t="shared" si="56"/>
        <v>-5.8911456126053993E-5</v>
      </c>
      <c r="AN77" s="13">
        <f t="shared" si="56"/>
        <v>-6.863314311342689E-5</v>
      </c>
      <c r="AO77" s="13">
        <f t="shared" si="56"/>
        <v>-7.7163277494376483E-5</v>
      </c>
      <c r="AP77" s="13">
        <f t="shared" si="56"/>
        <v>-8.4250915860684751E-5</v>
      </c>
      <c r="AQ77" s="13">
        <f t="shared" si="56"/>
        <v>-8.9616510669000214E-5</v>
      </c>
      <c r="AR77" s="14">
        <f t="shared" si="56"/>
        <v>-9.2940064412144443E-5</v>
      </c>
      <c r="AS77" s="14">
        <f t="shared" si="56"/>
        <v>-9.3889460023648022E-5</v>
      </c>
      <c r="AT77" s="14">
        <f t="shared" si="56"/>
        <v>-9.2197468303717458E-5</v>
      </c>
      <c r="AU77" s="14">
        <f t="shared" si="56"/>
        <v>-8.7740274521671546E-5</v>
      </c>
      <c r="AV77" s="14">
        <f t="shared" si="56"/>
        <v>-8.0574032932356594E-5</v>
      </c>
      <c r="AW77" s="14">
        <f t="shared" si="56"/>
        <v>-7.0930838293649951E-5</v>
      </c>
      <c r="AX77" s="13">
        <f t="shared" si="56"/>
        <v>-5.9185075737587056E-5</v>
      </c>
      <c r="AY77" s="13">
        <f t="shared" si="56"/>
        <v>-4.5787123235229381E-5</v>
      </c>
      <c r="AZ77" s="13">
        <f t="shared" si="56"/>
        <v>-3.1185877291421841E-5</v>
      </c>
      <c r="BA77" s="13">
        <f t="shared" si="56"/>
        <v>-1.5792542073863472E-5</v>
      </c>
      <c r="BB77" s="15">
        <v>0</v>
      </c>
      <c r="BF77" s="2">
        <f t="shared" si="12"/>
        <v>2.0000000000000004</v>
      </c>
      <c r="BH77" s="3"/>
      <c r="BI77" s="13">
        <f t="shared" ca="1" si="35"/>
        <v>1.5838564338849456E-4</v>
      </c>
      <c r="BJ77" s="13">
        <f t="shared" ca="1" si="36"/>
        <v>1.4936260667795784E-4</v>
      </c>
      <c r="BK77" s="13">
        <f t="shared" ca="1" si="37"/>
        <v>1.8160054368529391E-4</v>
      </c>
      <c r="BL77" s="13">
        <f t="shared" ca="1" si="38"/>
        <v>2.3170797861592779E-4</v>
      </c>
      <c r="BM77" s="13">
        <f t="shared" ca="1" si="39"/>
        <v>2.7340289050006839E-4</v>
      </c>
      <c r="BN77" s="13">
        <f t="shared" ca="1" si="40"/>
        <v>3.4044579436080975E-4</v>
      </c>
      <c r="BO77" s="13">
        <f t="shared" ca="1" si="41"/>
        <v>4.6225431937580596E-4</v>
      </c>
      <c r="BP77" s="13">
        <f t="shared" ca="1" si="42"/>
        <v>6.019640269494691E-4</v>
      </c>
      <c r="BQ77" s="13">
        <f t="shared" ca="1" si="43"/>
        <v>7.576004529997037E-4</v>
      </c>
      <c r="BR77" s="14">
        <f t="shared" ca="1" si="44"/>
        <v>1.0313241329946679E-3</v>
      </c>
      <c r="BS77" s="14">
        <f t="shared" ca="1" si="45"/>
        <v>1.2808144137166138E-3</v>
      </c>
      <c r="BT77" s="14">
        <f t="shared" ca="1" si="46"/>
        <v>1.3837139919534833E-3</v>
      </c>
      <c r="BU77" s="14">
        <f t="shared" ca="1" si="47"/>
        <v>1.4641085495281658E-3</v>
      </c>
      <c r="BV77" s="14">
        <f t="shared" ca="1" si="48"/>
        <v>1.495950514209113E-3</v>
      </c>
      <c r="BW77" s="14">
        <f t="shared" ca="1" si="49"/>
        <v>1.3169544288034727E-3</v>
      </c>
      <c r="BX77" s="13">
        <f t="shared" ca="1" si="50"/>
        <v>1.098827544229313E-3</v>
      </c>
      <c r="BY77" s="13">
        <f t="shared" ca="1" si="51"/>
        <v>1.0516976933978624E-3</v>
      </c>
      <c r="BZ77" s="13">
        <f t="shared" ca="1" si="52"/>
        <v>9.3780568168332242E-4</v>
      </c>
      <c r="CA77" s="13">
        <f t="shared" ca="1" si="53"/>
        <v>6.9856002931600674E-4</v>
      </c>
      <c r="CB77" s="3"/>
    </row>
    <row r="78" spans="4:80" x14ac:dyDescent="0.25">
      <c r="D78" s="17"/>
      <c r="E78" s="2">
        <f t="shared" si="9"/>
        <v>1.9000000000000006</v>
      </c>
      <c r="G78" s="12">
        <f t="shared" ca="1" si="13"/>
        <v>1.3010028253430869E-5</v>
      </c>
      <c r="H78" s="9">
        <v>0</v>
      </c>
      <c r="I78" s="8">
        <f t="shared" ca="1" si="14"/>
        <v>-1.3010028253430869E-5</v>
      </c>
      <c r="J78" s="8">
        <f t="shared" ca="1" si="15"/>
        <v>-2.5845456508211655E-5</v>
      </c>
      <c r="K78" s="8">
        <f t="shared" ca="1" si="16"/>
        <v>-3.8327924728139955E-5</v>
      </c>
      <c r="L78" s="8">
        <f t="shared" ca="1" si="17"/>
        <v>-5.027141270417826E-5</v>
      </c>
      <c r="M78" s="8">
        <f t="shared" ca="1" si="18"/>
        <v>-6.1478054085414773E-5</v>
      </c>
      <c r="N78" s="8">
        <f t="shared" ca="1" si="19"/>
        <v>-7.1733504942356264E-5</v>
      </c>
      <c r="O78" s="8">
        <f t="shared" ca="1" si="20"/>
        <v>-8.0801673045706137E-5</v>
      </c>
      <c r="P78" s="8">
        <f t="shared" ca="1" si="21"/>
        <v>-8.8418511079682799E-5</v>
      </c>
      <c r="Q78" s="8">
        <f t="shared" ca="1" si="22"/>
        <v>-9.4284213391303455E-5</v>
      </c>
      <c r="R78" s="10">
        <f t="shared" ca="1" si="23"/>
        <v>-9.8051743362452851E-5</v>
      </c>
      <c r="S78" s="10">
        <f t="shared" ca="1" si="24"/>
        <v>-9.9303710337777322E-5</v>
      </c>
      <c r="T78" s="10">
        <f t="shared" ca="1" si="25"/>
        <v>-9.7691166657678811E-5</v>
      </c>
      <c r="U78" s="10">
        <f t="shared" ca="1" si="26"/>
        <v>-9.3074352410160892E-5</v>
      </c>
      <c r="V78" s="10">
        <f t="shared" ca="1" si="27"/>
        <v>-8.5505816157613798E-5</v>
      </c>
      <c r="W78" s="10">
        <f t="shared" ca="1" si="28"/>
        <v>-7.5231474197265668E-5</v>
      </c>
      <c r="X78" s="8">
        <f t="shared" ca="1" si="29"/>
        <v>-6.270964487478317E-5</v>
      </c>
      <c r="Y78" s="8">
        <f t="shared" ca="1" si="30"/>
        <v>-4.8472570363843096E-5</v>
      </c>
      <c r="Z78" s="8">
        <f t="shared" ca="1" si="31"/>
        <v>-3.2990078357456063E-5</v>
      </c>
      <c r="AA78" s="8">
        <f t="shared" ca="1" si="32"/>
        <v>-1.6695446155252108E-5</v>
      </c>
      <c r="AB78" s="9">
        <v>0</v>
      </c>
      <c r="AC78" s="12">
        <f t="shared" ca="1" si="10"/>
        <v>1.6695446155252108E-5</v>
      </c>
      <c r="AF78" s="2">
        <f t="shared" si="11"/>
        <v>1.9000000000000006</v>
      </c>
      <c r="AH78" s="15">
        <v>0</v>
      </c>
      <c r="AI78" s="13">
        <f t="shared" si="56"/>
        <v>-1.3007238995212852E-5</v>
      </c>
      <c r="AJ78" s="13">
        <f t="shared" si="56"/>
        <v>-2.5840392909651307E-5</v>
      </c>
      <c r="AK78" s="13">
        <f t="shared" si="56"/>
        <v>-3.8319088314473942E-5</v>
      </c>
      <c r="AL78" s="13">
        <f t="shared" si="56"/>
        <v>-5.0257036422484586E-5</v>
      </c>
      <c r="AM78" s="13">
        <f t="shared" si="56"/>
        <v>-6.1458018127013135E-5</v>
      </c>
      <c r="AN78" s="13">
        <f t="shared" si="56"/>
        <v>-7.170495900844582E-5</v>
      </c>
      <c r="AO78" s="13">
        <f t="shared" si="56"/>
        <v>-8.0757493115538257E-5</v>
      </c>
      <c r="AP78" s="13">
        <f t="shared" si="56"/>
        <v>-8.8353876133528329E-5</v>
      </c>
      <c r="AQ78" s="13">
        <f t="shared" si="56"/>
        <v>-9.4193257721893059E-5</v>
      </c>
      <c r="AR78" s="14">
        <f t="shared" si="56"/>
        <v>-9.791364590084512E-5</v>
      </c>
      <c r="AS78" s="14">
        <f t="shared" si="56"/>
        <v>-9.9123054988805128E-5</v>
      </c>
      <c r="AT78" s="14">
        <f t="shared" si="56"/>
        <v>-9.7497109782620527E-5</v>
      </c>
      <c r="AU78" s="14">
        <f t="shared" si="56"/>
        <v>-9.2879216090825412E-5</v>
      </c>
      <c r="AV78" s="14">
        <f t="shared" si="56"/>
        <v>-8.5325283097822081E-5</v>
      </c>
      <c r="AW78" s="14">
        <f t="shared" si="56"/>
        <v>-7.5097603898767015E-5</v>
      </c>
      <c r="AX78" s="13">
        <f t="shared" si="56"/>
        <v>-6.2623540689337839E-5</v>
      </c>
      <c r="AY78" s="13">
        <f t="shared" si="56"/>
        <v>-4.8412088201150583E-5</v>
      </c>
      <c r="AZ78" s="13">
        <f t="shared" si="56"/>
        <v>-3.2954903470132959E-5</v>
      </c>
      <c r="BA78" s="13">
        <f t="shared" si="56"/>
        <v>-1.6683216439602117E-5</v>
      </c>
      <c r="BB78" s="15">
        <v>0</v>
      </c>
      <c r="BF78" s="2">
        <f t="shared" si="12"/>
        <v>1.9000000000000006</v>
      </c>
      <c r="BH78" s="3"/>
      <c r="BI78" s="13">
        <f t="shared" ca="1" si="35"/>
        <v>2.1443891505672414E-4</v>
      </c>
      <c r="BJ78" s="13">
        <f t="shared" ca="1" si="36"/>
        <v>1.9595671699160208E-4</v>
      </c>
      <c r="BK78" s="13">
        <f t="shared" ca="1" si="37"/>
        <v>2.306008325014218E-4</v>
      </c>
      <c r="BL78" s="13">
        <f t="shared" ca="1" si="38"/>
        <v>2.8605510227104494E-4</v>
      </c>
      <c r="BM78" s="13">
        <f t="shared" ca="1" si="39"/>
        <v>3.260104867070398E-4</v>
      </c>
      <c r="BN78" s="13">
        <f t="shared" ca="1" si="40"/>
        <v>3.9810264597016755E-4</v>
      </c>
      <c r="BO78" s="13">
        <f t="shared" ca="1" si="41"/>
        <v>5.4706911350842712E-4</v>
      </c>
      <c r="BP78" s="13">
        <f t="shared" ca="1" si="42"/>
        <v>7.3154624316410931E-4</v>
      </c>
      <c r="BQ78" s="13">
        <f t="shared" ca="1" si="43"/>
        <v>9.6562823720295894E-4</v>
      </c>
      <c r="BR78" s="14">
        <f t="shared" ca="1" si="44"/>
        <v>1.4104005661027005E-3</v>
      </c>
      <c r="BS78" s="14">
        <f t="shared" ca="1" si="45"/>
        <v>1.8225361293858126E-3</v>
      </c>
      <c r="BT78" s="14">
        <f t="shared" ca="1" si="46"/>
        <v>1.9903859251925856E-3</v>
      </c>
      <c r="BU78" s="14">
        <f t="shared" ca="1" si="47"/>
        <v>2.100968629458049E-3</v>
      </c>
      <c r="BV78" s="14">
        <f t="shared" ca="1" si="48"/>
        <v>2.1158213982688172E-3</v>
      </c>
      <c r="BW78" s="14">
        <f t="shared" ca="1" si="49"/>
        <v>1.7826174411518158E-3</v>
      </c>
      <c r="BX78" s="13">
        <f t="shared" ca="1" si="50"/>
        <v>1.3749491724282374E-3</v>
      </c>
      <c r="BY78" s="13">
        <f t="shared" ca="1" si="51"/>
        <v>1.2493194352867327E-3</v>
      </c>
      <c r="BZ78" s="13">
        <f t="shared" ca="1" si="52"/>
        <v>1.0673642954221756E-3</v>
      </c>
      <c r="CA78" s="13">
        <f t="shared" ca="1" si="53"/>
        <v>7.3305502534634149E-4</v>
      </c>
      <c r="CB78" s="3"/>
    </row>
    <row r="79" spans="4:80" x14ac:dyDescent="0.25">
      <c r="D79" s="17"/>
      <c r="E79" s="2">
        <f t="shared" si="9"/>
        <v>1.8000000000000005</v>
      </c>
      <c r="G79" s="12">
        <f t="shared" ca="1" si="13"/>
        <v>1.3397570088890915E-5</v>
      </c>
      <c r="H79" s="9">
        <v>0</v>
      </c>
      <c r="I79" s="8">
        <f t="shared" ca="1" si="14"/>
        <v>-1.3397570088890915E-5</v>
      </c>
      <c r="J79" s="8">
        <f t="shared" ca="1" si="15"/>
        <v>-2.662388750098202E-5</v>
      </c>
      <c r="K79" s="8">
        <f t="shared" ca="1" si="16"/>
        <v>-3.9503622422064103E-5</v>
      </c>
      <c r="L79" s="8">
        <f t="shared" ca="1" si="17"/>
        <v>-5.1853079615454908E-5</v>
      </c>
      <c r="M79" s="8">
        <f t="shared" ca="1" si="18"/>
        <v>-6.3475464920481723E-5</v>
      </c>
      <c r="N79" s="8">
        <f t="shared" ca="1" si="19"/>
        <v>-7.4155418511319862E-5</v>
      </c>
      <c r="O79" s="8">
        <f t="shared" ca="1" si="20"/>
        <v>-8.365241618805245E-5</v>
      </c>
      <c r="P79" s="8">
        <f t="shared" ca="1" si="21"/>
        <v>-9.1692399202481878E-5</v>
      </c>
      <c r="Q79" s="8">
        <f t="shared" ca="1" si="22"/>
        <v>-9.7956422684071861E-5</v>
      </c>
      <c r="R79" s="10">
        <f t="shared" ca="1" si="23"/>
        <v>-1.0206372974679072E-4</v>
      </c>
      <c r="S79" s="10">
        <f t="shared" ca="1" si="24"/>
        <v>-1.035437169377686E-4</v>
      </c>
      <c r="T79" s="10">
        <f t="shared" ca="1" si="25"/>
        <v>-1.0199679765196626E-4</v>
      </c>
      <c r="U79" s="10">
        <f t="shared" ca="1" si="26"/>
        <v>-9.7258144982429433E-5</v>
      </c>
      <c r="V79" s="10">
        <f t="shared" ca="1" si="27"/>
        <v>-8.9378924740767966E-5</v>
      </c>
      <c r="W79" s="10">
        <f t="shared" ca="1" si="28"/>
        <v>-7.8627403319558623E-5</v>
      </c>
      <c r="X79" s="8">
        <f t="shared" ca="1" si="29"/>
        <v>-6.5509977275700671E-5</v>
      </c>
      <c r="Y79" s="8">
        <f t="shared" ca="1" si="30"/>
        <v>-5.0609838060784862E-5</v>
      </c>
      <c r="Z79" s="8">
        <f t="shared" ca="1" si="31"/>
        <v>-3.4428772794810203E-5</v>
      </c>
      <c r="AA79" s="8">
        <f t="shared" ca="1" si="32"/>
        <v>-1.7418255773385346E-5</v>
      </c>
      <c r="AB79" s="9">
        <v>0</v>
      </c>
      <c r="AC79" s="12">
        <f t="shared" ca="1" si="10"/>
        <v>1.7418255773385346E-5</v>
      </c>
      <c r="AF79" s="2">
        <f t="shared" si="11"/>
        <v>1.8000000000000005</v>
      </c>
      <c r="AH79" s="15">
        <v>0</v>
      </c>
      <c r="AI79" s="13">
        <f t="shared" si="56"/>
        <v>-1.3394094066512533E-5</v>
      </c>
      <c r="AJ79" s="13">
        <f t="shared" si="56"/>
        <v>-2.6617694663478544E-5</v>
      </c>
      <c r="AK79" s="13">
        <f t="shared" si="56"/>
        <v>-3.9493078334701216E-5</v>
      </c>
      <c r="AL79" s="13">
        <f t="shared" si="56"/>
        <v>-5.1836369822961449E-5</v>
      </c>
      <c r="AM79" s="13">
        <f t="shared" si="56"/>
        <v>-6.3453056437361109E-5</v>
      </c>
      <c r="AN79" s="13">
        <f t="shared" si="56"/>
        <v>-7.4124675770824672E-5</v>
      </c>
      <c r="AO79" s="13">
        <f t="shared" si="56"/>
        <v>-8.3605799219846645E-5</v>
      </c>
      <c r="AP79" s="13">
        <f t="shared" si="56"/>
        <v>-9.1625945451957491E-5</v>
      </c>
      <c r="AQ79" s="13">
        <f t="shared" si="56"/>
        <v>-9.786598440839574E-5</v>
      </c>
      <c r="AR79" s="14">
        <f t="shared" si="56"/>
        <v>-1.0192748404803037E-4</v>
      </c>
      <c r="AS79" s="14">
        <f t="shared" si="56"/>
        <v>-1.0336645148868915E-4</v>
      </c>
      <c r="AT79" s="14">
        <f t="shared" si="56"/>
        <v>-1.0180870995939754E-4</v>
      </c>
      <c r="AU79" s="14">
        <f t="shared" si="56"/>
        <v>-9.7068831157591008E-5</v>
      </c>
      <c r="AV79" s="14">
        <f t="shared" si="56"/>
        <v>-8.9202155263558077E-5</v>
      </c>
      <c r="AW79" s="14">
        <f t="shared" si="56"/>
        <v>-7.8496930515250588E-5</v>
      </c>
      <c r="AX79" s="13">
        <f t="shared" si="56"/>
        <v>-6.5426112340442253E-5</v>
      </c>
      <c r="AY79" s="13">
        <f t="shared" si="56"/>
        <v>-5.0548901280166958E-5</v>
      </c>
      <c r="AZ79" s="13">
        <f t="shared" si="56"/>
        <v>-3.4393250178640039E-5</v>
      </c>
      <c r="BA79" s="13">
        <f t="shared" si="56"/>
        <v>-1.7406824171553442E-5</v>
      </c>
      <c r="BB79" s="15">
        <v>0</v>
      </c>
      <c r="BF79" s="2">
        <f t="shared" si="12"/>
        <v>1.8000000000000005</v>
      </c>
      <c r="BH79" s="3"/>
      <c r="BI79" s="13">
        <f t="shared" ca="1" si="35"/>
        <v>2.5951903586168162E-4</v>
      </c>
      <c r="BJ79" s="13">
        <f t="shared" ca="1" si="36"/>
        <v>2.3265867242713476E-4</v>
      </c>
      <c r="BK79" s="13">
        <f t="shared" ca="1" si="37"/>
        <v>2.6698570502724385E-4</v>
      </c>
      <c r="BL79" s="13">
        <f t="shared" ca="1" si="38"/>
        <v>3.2235653365635363E-4</v>
      </c>
      <c r="BM79" s="13">
        <f t="shared" ca="1" si="39"/>
        <v>3.5315057112709125E-4</v>
      </c>
      <c r="BN79" s="13">
        <f t="shared" ca="1" si="40"/>
        <v>4.1474367577997557E-4</v>
      </c>
      <c r="BO79" s="13">
        <f t="shared" ca="1" si="41"/>
        <v>5.5758055829624128E-4</v>
      </c>
      <c r="BP79" s="13">
        <f t="shared" ca="1" si="42"/>
        <v>7.2527219442696412E-4</v>
      </c>
      <c r="BQ79" s="13">
        <f t="shared" ca="1" si="43"/>
        <v>9.2410326450834428E-4</v>
      </c>
      <c r="BR79" s="14">
        <f t="shared" ca="1" si="44"/>
        <v>1.3366924537856091E-3</v>
      </c>
      <c r="BS79" s="14">
        <f t="shared" ca="1" si="45"/>
        <v>1.7149224581714906E-3</v>
      </c>
      <c r="BT79" s="14">
        <f t="shared" ca="1" si="46"/>
        <v>1.8474617018890823E-3</v>
      </c>
      <c r="BU79" s="14">
        <f t="shared" ca="1" si="47"/>
        <v>1.9503049802987143E-3</v>
      </c>
      <c r="BV79" s="14">
        <f t="shared" ca="1" si="48"/>
        <v>1.9816727150549539E-3</v>
      </c>
      <c r="BW79" s="14">
        <f t="shared" ca="1" si="49"/>
        <v>1.6621389327151567E-3</v>
      </c>
      <c r="BX79" s="13">
        <f t="shared" ca="1" si="50"/>
        <v>1.2818266630612199E-3</v>
      </c>
      <c r="BY79" s="13">
        <f t="shared" ca="1" si="51"/>
        <v>1.2055015850920628E-3</v>
      </c>
      <c r="BZ79" s="13">
        <f t="shared" ca="1" si="52"/>
        <v>1.0328368498370352E-3</v>
      </c>
      <c r="CA79" s="13">
        <f t="shared" ca="1" si="53"/>
        <v>6.5673104520616783E-4</v>
      </c>
      <c r="CB79" s="3"/>
    </row>
    <row r="80" spans="4:80" x14ac:dyDescent="0.25">
      <c r="D80" s="17"/>
      <c r="E80" s="2">
        <f t="shared" si="9"/>
        <v>1.7000000000000004</v>
      </c>
      <c r="G80" s="12">
        <f t="shared" ca="1" si="13"/>
        <v>1.3653933010853006E-5</v>
      </c>
      <c r="H80" s="9">
        <v>0</v>
      </c>
      <c r="I80" s="8">
        <f t="shared" ca="1" si="14"/>
        <v>-1.3653933010853006E-5</v>
      </c>
      <c r="J80" s="8">
        <f t="shared" ca="1" si="15"/>
        <v>-2.7140177560389753E-5</v>
      </c>
      <c r="K80" s="8">
        <f t="shared" ca="1" si="16"/>
        <v>-4.0286697493804616E-5</v>
      </c>
      <c r="L80" s="8">
        <f t="shared" ca="1" si="17"/>
        <v>-5.2912481088219342E-5</v>
      </c>
      <c r="M80" s="8">
        <f t="shared" ca="1" si="18"/>
        <v>-6.4822312735848405E-5</v>
      </c>
      <c r="N80" s="8">
        <f t="shared" ca="1" si="19"/>
        <v>-7.5800534647198949E-5</v>
      </c>
      <c r="O80" s="8">
        <f t="shared" ca="1" si="20"/>
        <v>-8.5603228638715952E-5</v>
      </c>
      <c r="P80" s="8">
        <f t="shared" ca="1" si="21"/>
        <v>-9.3947974800085988E-5</v>
      </c>
      <c r="Q80" s="8">
        <f t="shared" ca="1" si="22"/>
        <v>-1.0049989625379614E-4</v>
      </c>
      <c r="R80" s="10">
        <f t="shared" ca="1" si="23"/>
        <v>-1.0485206947004559E-4</v>
      </c>
      <c r="S80" s="10">
        <f t="shared" ca="1" si="24"/>
        <v>-1.0649803643621765E-4</v>
      </c>
      <c r="T80" s="10">
        <f t="shared" ca="1" si="25"/>
        <v>-1.0500454552309545E-4</v>
      </c>
      <c r="U80" s="10">
        <f t="shared" ca="1" si="26"/>
        <v>-1.0018790781268826E-4</v>
      </c>
      <c r="V80" s="10">
        <f t="shared" ca="1" si="27"/>
        <v>-9.2097883554115718E-5</v>
      </c>
      <c r="W80" s="10">
        <f t="shared" ca="1" si="28"/>
        <v>-8.1018829299581456E-5</v>
      </c>
      <c r="X80" s="8">
        <f t="shared" ca="1" si="29"/>
        <v>-6.7488161731521365E-5</v>
      </c>
      <c r="Y80" s="8">
        <f t="shared" ca="1" si="30"/>
        <v>-5.2122526514345238E-5</v>
      </c>
      <c r="Z80" s="8">
        <f t="shared" ca="1" si="31"/>
        <v>-3.5447898129967541E-5</v>
      </c>
      <c r="AA80" s="8">
        <f t="shared" ca="1" si="32"/>
        <v>-1.7930404929659789E-5</v>
      </c>
      <c r="AB80" s="9">
        <v>0</v>
      </c>
      <c r="AC80" s="12">
        <f t="shared" ca="1" si="10"/>
        <v>1.7930404929659789E-5</v>
      </c>
      <c r="AF80" s="2">
        <f t="shared" si="11"/>
        <v>1.7000000000000004</v>
      </c>
      <c r="AH80" s="15">
        <v>0</v>
      </c>
      <c r="AI80" s="13">
        <f t="shared" si="56"/>
        <v>-1.3650023620718032E-5</v>
      </c>
      <c r="AJ80" s="13">
        <f t="shared" si="56"/>
        <v>-2.7133311368433348E-5</v>
      </c>
      <c r="AK80" s="13">
        <f t="shared" si="56"/>
        <v>-4.0275231026805525E-5</v>
      </c>
      <c r="AL80" s="13">
        <f t="shared" si="56"/>
        <v>-5.2894746658193395E-5</v>
      </c>
      <c r="AM80" s="13">
        <f t="shared" si="56"/>
        <v>-6.4799523636485193E-5</v>
      </c>
      <c r="AN80" s="13">
        <f t="shared" si="56"/>
        <v>-7.5770884528889913E-5</v>
      </c>
      <c r="AO80" s="13">
        <f t="shared" si="56"/>
        <v>-8.556019825680232E-5</v>
      </c>
      <c r="AP80" s="13">
        <f t="shared" si="56"/>
        <v>-9.3890446593639399E-5</v>
      </c>
      <c r="AQ80" s="13">
        <f t="shared" si="56"/>
        <v>-1.0042827034067347E-4</v>
      </c>
      <c r="AR80" s="14">
        <f t="shared" si="56"/>
        <v>-1.0474737526138646E-4</v>
      </c>
      <c r="AS80" s="14">
        <f t="shared" si="56"/>
        <v>-1.0636449885579399E-4</v>
      </c>
      <c r="AT80" s="14">
        <f t="shared" si="56"/>
        <v>-1.0486784340667177E-4</v>
      </c>
      <c r="AU80" s="14">
        <f t="shared" si="56"/>
        <v>-1.0004988278173861E-4</v>
      </c>
      <c r="AV80" s="14">
        <f t="shared" si="56"/>
        <v>-9.1965098587929505E-5</v>
      </c>
      <c r="AW80" s="14">
        <f t="shared" si="56"/>
        <v>-8.0920950041307401E-5</v>
      </c>
      <c r="AX80" s="13">
        <f t="shared" si="56"/>
        <v>-6.7424247690092907E-5</v>
      </c>
      <c r="AY80" s="13">
        <f t="shared" si="56"/>
        <v>-5.2071353292314467E-5</v>
      </c>
      <c r="AZ80" s="13">
        <f t="shared" si="56"/>
        <v>-3.5417145922038392E-5</v>
      </c>
      <c r="BA80" s="13">
        <f t="shared" si="56"/>
        <v>-1.7921539108698635E-5</v>
      </c>
      <c r="BB80" s="15">
        <v>0</v>
      </c>
      <c r="BF80" s="2">
        <f t="shared" si="12"/>
        <v>1.7000000000000004</v>
      </c>
      <c r="BH80" s="3"/>
      <c r="BI80" s="13">
        <f t="shared" ca="1" si="35"/>
        <v>2.864017120849994E-4</v>
      </c>
      <c r="BJ80" s="13">
        <f t="shared" ca="1" si="36"/>
        <v>2.5305396245856639E-4</v>
      </c>
      <c r="BK80" s="13">
        <f t="shared" ca="1" si="37"/>
        <v>2.8470269956886829E-4</v>
      </c>
      <c r="BL80" s="13">
        <f t="shared" ca="1" si="38"/>
        <v>3.3527771936496629E-4</v>
      </c>
      <c r="BM80" s="13">
        <f t="shared" ca="1" si="39"/>
        <v>3.5168621749528061E-4</v>
      </c>
      <c r="BN80" s="13">
        <f t="shared" ca="1" si="40"/>
        <v>3.9131281749431307E-4</v>
      </c>
      <c r="BO80" s="13">
        <f t="shared" ca="1" si="41"/>
        <v>5.0292522446569894E-4</v>
      </c>
      <c r="BP80" s="13">
        <f t="shared" ca="1" si="42"/>
        <v>6.1271629365629158E-4</v>
      </c>
      <c r="BQ80" s="13">
        <f t="shared" ca="1" si="43"/>
        <v>7.1320468708368286E-4</v>
      </c>
      <c r="BR80" s="14">
        <f t="shared" ca="1" si="44"/>
        <v>9.994924302196141E-4</v>
      </c>
      <c r="BS80" s="14">
        <f t="shared" ca="1" si="45"/>
        <v>1.2554713448581908E-3</v>
      </c>
      <c r="BT80" s="14">
        <f t="shared" ca="1" si="46"/>
        <v>1.3035656306342903E-3</v>
      </c>
      <c r="BU80" s="14">
        <f t="shared" ca="1" si="47"/>
        <v>1.3795621455224823E-3</v>
      </c>
      <c r="BV80" s="14">
        <f t="shared" ca="1" si="48"/>
        <v>1.4438625981491771E-3</v>
      </c>
      <c r="BW80" s="14">
        <f t="shared" ca="1" si="49"/>
        <v>1.2095663511623427E-3</v>
      </c>
      <c r="BX80" s="13">
        <f t="shared" ca="1" si="50"/>
        <v>9.4793851793840869E-4</v>
      </c>
      <c r="BY80" s="13">
        <f t="shared" ca="1" si="51"/>
        <v>9.8275191242867279E-4</v>
      </c>
      <c r="BZ80" s="13">
        <f t="shared" ca="1" si="52"/>
        <v>8.6828588607453709E-4</v>
      </c>
      <c r="CA80" s="13">
        <f t="shared" ca="1" si="53"/>
        <v>4.9470198443232185E-4</v>
      </c>
      <c r="CB80" s="3"/>
    </row>
    <row r="81" spans="4:80" x14ac:dyDescent="0.25">
      <c r="D81" s="17"/>
      <c r="E81" s="2">
        <f t="shared" si="9"/>
        <v>1.6000000000000003</v>
      </c>
      <c r="G81" s="12">
        <f t="shared" ca="1" si="13"/>
        <v>1.3765078832191088E-5</v>
      </c>
      <c r="H81" s="9">
        <v>0</v>
      </c>
      <c r="I81" s="8">
        <f t="shared" ca="1" si="14"/>
        <v>-1.3765078832191088E-5</v>
      </c>
      <c r="J81" s="8">
        <f t="shared" ca="1" si="15"/>
        <v>-2.7365909796698532E-5</v>
      </c>
      <c r="K81" s="8">
        <f t="shared" ca="1" si="16"/>
        <v>-4.0633693345089047E-5</v>
      </c>
      <c r="L81" s="8">
        <f t="shared" ca="1" si="17"/>
        <v>-5.3390195714229784E-5</v>
      </c>
      <c r="M81" s="8">
        <f t="shared" ca="1" si="18"/>
        <v>-6.5442153112204638E-5</v>
      </c>
      <c r="N81" s="8">
        <f t="shared" ca="1" si="19"/>
        <v>-7.6574470550657049E-5</v>
      </c>
      <c r="O81" s="8">
        <f t="shared" ca="1" si="20"/>
        <v>-8.6541546328844479E-5</v>
      </c>
      <c r="P81" s="8">
        <f t="shared" ca="1" si="21"/>
        <v>-9.5055811167082699E-5</v>
      </c>
      <c r="Q81" s="8">
        <f t="shared" ca="1" si="22"/>
        <v>-1.0177232034510559E-4</v>
      </c>
      <c r="R81" s="10">
        <f t="shared" ca="1" si="23"/>
        <v>-1.0626819926276499E-4</v>
      </c>
      <c r="S81" s="10">
        <f t="shared" ca="1" si="24"/>
        <v>-1.0801652193625432E-4</v>
      </c>
      <c r="T81" s="10">
        <f t="shared" ca="1" si="25"/>
        <v>-1.0656492805657405E-4</v>
      </c>
      <c r="U81" s="10">
        <f t="shared" ca="1" si="26"/>
        <v>-1.0171828142600711E-4</v>
      </c>
      <c r="V81" s="10">
        <f t="shared" ca="1" si="27"/>
        <v>-9.3525019228968471E-5</v>
      </c>
      <c r="W81" s="10">
        <f t="shared" ca="1" si="28"/>
        <v>-8.2278331060791683E-5</v>
      </c>
      <c r="X81" s="8">
        <f t="shared" ca="1" si="29"/>
        <v>-6.853223016450688E-5</v>
      </c>
      <c r="Y81" s="8">
        <f t="shared" ca="1" si="30"/>
        <v>-5.2921511646373229E-5</v>
      </c>
      <c r="Z81" s="8">
        <f t="shared" ca="1" si="31"/>
        <v>-3.5986109890311427E-5</v>
      </c>
      <c r="AA81" s="8">
        <f t="shared" ca="1" si="32"/>
        <v>-1.8200766195305547E-5</v>
      </c>
      <c r="AB81" s="9">
        <v>0</v>
      </c>
      <c r="AC81" s="12">
        <f t="shared" ca="1" si="10"/>
        <v>1.8200766195305547E-5</v>
      </c>
      <c r="AF81" s="2">
        <f t="shared" si="11"/>
        <v>1.6000000000000003</v>
      </c>
      <c r="AH81" s="15">
        <v>0</v>
      </c>
      <c r="AI81" s="13">
        <f t="shared" si="56"/>
        <v>-1.3761052369526402E-5</v>
      </c>
      <c r="AJ81" s="13">
        <f t="shared" si="56"/>
        <v>-2.7358920519911725E-5</v>
      </c>
      <c r="AK81" s="13">
        <f t="shared" si="56"/>
        <v>-4.0622144297480938E-5</v>
      </c>
      <c r="AL81" s="13">
        <f t="shared" si="56"/>
        <v>-5.3372601590101793E-5</v>
      </c>
      <c r="AM81" s="13">
        <f t="shared" si="56"/>
        <v>-6.5420301577169467E-5</v>
      </c>
      <c r="AN81" s="13">
        <f t="shared" si="56"/>
        <v>-7.6547353273664958E-5</v>
      </c>
      <c r="AO81" s="13">
        <f t="shared" si="56"/>
        <v>-8.6503849643540198E-5</v>
      </c>
      <c r="AP81" s="13">
        <f t="shared" si="56"/>
        <v>-9.5008915890885576E-5</v>
      </c>
      <c r="AQ81" s="13">
        <f t="shared" si="56"/>
        <v>-1.0172022950802907E-4</v>
      </c>
      <c r="AR81" s="14">
        <f t="shared" si="56"/>
        <v>-1.0619440449172244E-4</v>
      </c>
      <c r="AS81" s="14">
        <f t="shared" si="56"/>
        <v>-1.0792455031668182E-4</v>
      </c>
      <c r="AT81" s="14">
        <f t="shared" si="56"/>
        <v>-1.0647619967083323E-4</v>
      </c>
      <c r="AU81" s="14">
        <f t="shared" si="56"/>
        <v>-1.0162815839734487E-4</v>
      </c>
      <c r="AV81" s="14">
        <f t="shared" si="56"/>
        <v>-9.3433852160794428E-5</v>
      </c>
      <c r="AW81" s="14">
        <f t="shared" si="56"/>
        <v>-8.2211733887773404E-5</v>
      </c>
      <c r="AX81" s="13">
        <f t="shared" si="56"/>
        <v>-6.8488216172713369E-5</v>
      </c>
      <c r="AY81" s="13">
        <f t="shared" si="56"/>
        <v>-5.2881102056431954E-5</v>
      </c>
      <c r="AZ81" s="13">
        <f t="shared" si="56"/>
        <v>-3.5960853305005785E-5</v>
      </c>
      <c r="BA81" s="13">
        <f t="shared" si="56"/>
        <v>-1.8194488873661329E-5</v>
      </c>
      <c r="BB81" s="15">
        <v>0</v>
      </c>
      <c r="BF81" s="2">
        <f t="shared" si="12"/>
        <v>1.6000000000000003</v>
      </c>
      <c r="BH81" s="3"/>
      <c r="BI81" s="13">
        <f t="shared" ca="1" si="35"/>
        <v>2.9259845515904758E-4</v>
      </c>
      <c r="BJ81" s="13">
        <f t="shared" ca="1" si="36"/>
        <v>2.5546610224336258E-4</v>
      </c>
      <c r="BK81" s="13">
        <f t="shared" ca="1" si="37"/>
        <v>2.8430423375816786E-4</v>
      </c>
      <c r="BL81" s="13">
        <f t="shared" ca="1" si="38"/>
        <v>3.296471148832614E-4</v>
      </c>
      <c r="BM81" s="13">
        <f t="shared" ca="1" si="39"/>
        <v>3.3401764449824772E-4</v>
      </c>
      <c r="BN81" s="13">
        <f t="shared" ca="1" si="40"/>
        <v>3.542549262956762E-4</v>
      </c>
      <c r="BO81" s="13">
        <f t="shared" ca="1" si="41"/>
        <v>4.357804358952784E-4</v>
      </c>
      <c r="BP81" s="13">
        <f t="shared" ca="1" si="42"/>
        <v>4.9358816230447801E-4</v>
      </c>
      <c r="BQ81" s="13">
        <f t="shared" ca="1" si="43"/>
        <v>5.1209909108986115E-4</v>
      </c>
      <c r="BR81" s="14">
        <f t="shared" ca="1" si="44"/>
        <v>6.9490263065878665E-4</v>
      </c>
      <c r="BS81" s="14">
        <f t="shared" ca="1" si="45"/>
        <v>8.5218441311665945E-4</v>
      </c>
      <c r="BT81" s="14">
        <f t="shared" ca="1" si="46"/>
        <v>8.3331660986321978E-4</v>
      </c>
      <c r="BU81" s="14">
        <f t="shared" ca="1" si="47"/>
        <v>8.8679190967803911E-4</v>
      </c>
      <c r="BV81" s="14">
        <f t="shared" ca="1" si="48"/>
        <v>9.7573915733613825E-4</v>
      </c>
      <c r="BW81" s="14">
        <f t="shared" ca="1" si="49"/>
        <v>8.1006895085305466E-4</v>
      </c>
      <c r="BX81" s="13">
        <f t="shared" ca="1" si="50"/>
        <v>6.4265057922543436E-4</v>
      </c>
      <c r="BY81" s="13">
        <f t="shared" ca="1" si="51"/>
        <v>7.6415937584190506E-4</v>
      </c>
      <c r="BZ81" s="13">
        <f t="shared" ca="1" si="52"/>
        <v>7.0233553946637663E-4</v>
      </c>
      <c r="CA81" s="13">
        <f t="shared" ca="1" si="53"/>
        <v>3.4501225551355401E-4</v>
      </c>
      <c r="CB81" s="3"/>
    </row>
    <row r="82" spans="4:80" x14ac:dyDescent="0.25">
      <c r="D82" s="17"/>
      <c r="E82" s="2">
        <f t="shared" si="9"/>
        <v>1.5000000000000002</v>
      </c>
      <c r="G82" s="12">
        <f t="shared" ca="1" si="13"/>
        <v>1.372156430297031E-5</v>
      </c>
      <c r="H82" s="9">
        <v>0</v>
      </c>
      <c r="I82" s="8">
        <f t="shared" ca="1" si="14"/>
        <v>-1.372156430297031E-5</v>
      </c>
      <c r="J82" s="8">
        <f t="shared" ca="1" si="15"/>
        <v>-2.7282004238008989E-5</v>
      </c>
      <c r="K82" s="8">
        <f t="shared" ca="1" si="16"/>
        <v>-4.0515529720433771E-5</v>
      </c>
      <c r="L82" s="8">
        <f t="shared" ca="1" si="17"/>
        <v>-5.3246670198868832E-5</v>
      </c>
      <c r="M82" s="8">
        <f t="shared" ca="1" si="18"/>
        <v>-6.528450642661048E-5</v>
      </c>
      <c r="N82" s="8">
        <f t="shared" ca="1" si="19"/>
        <v>-7.6415628618522856E-5</v>
      </c>
      <c r="O82" s="8">
        <f t="shared" ca="1" si="20"/>
        <v>-8.639512204070224E-5</v>
      </c>
      <c r="P82" s="8">
        <f t="shared" ca="1" si="21"/>
        <v>-9.4934659805817604E-5</v>
      </c>
      <c r="Q82" s="8">
        <f t="shared" ca="1" si="22"/>
        <v>-1.0168661609407159E-4</v>
      </c>
      <c r="R82" s="10">
        <f t="shared" ca="1" si="23"/>
        <v>-1.0622327670360891E-4</v>
      </c>
      <c r="S82" s="10">
        <f t="shared" ca="1" si="24"/>
        <v>-1.0801127837250531E-4</v>
      </c>
      <c r="T82" s="10">
        <f t="shared" ca="1" si="25"/>
        <v>-1.0659199895090153E-4</v>
      </c>
      <c r="U82" s="10">
        <f t="shared" ca="1" si="26"/>
        <v>-1.0176613012890292E-4</v>
      </c>
      <c r="V82" s="10">
        <f t="shared" ca="1" si="27"/>
        <v>-9.3580932583930512E-5</v>
      </c>
      <c r="W82" s="10">
        <f t="shared" ca="1" si="28"/>
        <v>-8.2331439992082517E-5</v>
      </c>
      <c r="X82" s="8">
        <f t="shared" ca="1" si="29"/>
        <v>-6.8575676668763434E-5</v>
      </c>
      <c r="Y82" s="8">
        <f t="shared" ca="1" si="30"/>
        <v>-5.2952761418528519E-5</v>
      </c>
      <c r="Z82" s="8">
        <f t="shared" ca="1" si="31"/>
        <v>-3.6005566992986983E-5</v>
      </c>
      <c r="AA82" s="8">
        <f t="shared" ca="1" si="32"/>
        <v>-1.8209929085891014E-5</v>
      </c>
      <c r="AB82" s="9">
        <v>0</v>
      </c>
      <c r="AC82" s="12">
        <f t="shared" ca="1" si="10"/>
        <v>1.8209929085891014E-5</v>
      </c>
      <c r="AF82" s="2">
        <f t="shared" si="11"/>
        <v>1.5000000000000002</v>
      </c>
      <c r="AH82" s="15">
        <v>0</v>
      </c>
      <c r="AI82" s="13">
        <f t="shared" si="56"/>
        <v>-1.3717753055549768E-5</v>
      </c>
      <c r="AJ82" s="13">
        <f t="shared" si="56"/>
        <v>-2.7275458242845134E-5</v>
      </c>
      <c r="AK82" s="13">
        <f t="shared" si="56"/>
        <v>-4.0504665608655009E-5</v>
      </c>
      <c r="AL82" s="13">
        <f t="shared" si="56"/>
        <v>-5.3230046520837547E-5</v>
      </c>
      <c r="AM82" s="13">
        <f t="shared" si="56"/>
        <v>-6.5264016977286063E-5</v>
      </c>
      <c r="AN82" s="13">
        <f t="shared" si="56"/>
        <v>-7.6390429943543311E-5</v>
      </c>
      <c r="AO82" s="13">
        <f t="shared" si="56"/>
        <v>-8.6360176494665176E-5</v>
      </c>
      <c r="AP82" s="13">
        <f t="shared" si="56"/>
        <v>-9.4891829252569549E-5</v>
      </c>
      <c r="AQ82" s="13">
        <f t="shared" si="56"/>
        <v>-1.0164047643292184E-4</v>
      </c>
      <c r="AR82" s="14">
        <f t="shared" si="56"/>
        <v>-1.0615762600447325E-4</v>
      </c>
      <c r="AS82" s="14">
        <f t="shared" si="56"/>
        <v>-1.0792942873021268E-4</v>
      </c>
      <c r="AT82" s="14">
        <f t="shared" si="56"/>
        <v>-1.065145558934995E-4</v>
      </c>
      <c r="AU82" s="14">
        <f t="shared" si="56"/>
        <v>-1.0168720694446298E-4</v>
      </c>
      <c r="AV82" s="14">
        <f t="shared" si="56"/>
        <v>-9.3499664256983911E-5</v>
      </c>
      <c r="AW82" s="14">
        <f t="shared" si="56"/>
        <v>-8.2272651297614826E-5</v>
      </c>
      <c r="AX82" s="13">
        <f t="shared" si="56"/>
        <v>-6.8537122631449034E-5</v>
      </c>
      <c r="AY82" s="13">
        <f t="shared" si="56"/>
        <v>-5.2915742833170867E-5</v>
      </c>
      <c r="AZ82" s="13">
        <f t="shared" si="56"/>
        <v>-3.598223165849309E-5</v>
      </c>
      <c r="BA82" s="13">
        <f t="shared" si="56"/>
        <v>-1.8204547150011497E-5</v>
      </c>
      <c r="BB82" s="15">
        <v>0</v>
      </c>
      <c r="BF82" s="2">
        <f t="shared" si="12"/>
        <v>1.5000000000000002</v>
      </c>
      <c r="BH82" s="3"/>
      <c r="BI82" s="13">
        <f t="shared" ca="1" si="35"/>
        <v>2.7783321401892921E-4</v>
      </c>
      <c r="BJ82" s="13">
        <f t="shared" ca="1" si="36"/>
        <v>2.3999579055916369E-4</v>
      </c>
      <c r="BK82" s="13">
        <f t="shared" ca="1" si="37"/>
        <v>2.6821877468952068E-4</v>
      </c>
      <c r="BL82" s="13">
        <f t="shared" ca="1" si="38"/>
        <v>3.1229876954509428E-4</v>
      </c>
      <c r="BM82" s="13">
        <f t="shared" ca="1" si="39"/>
        <v>3.1394710704900916E-4</v>
      </c>
      <c r="BN82" s="13">
        <f t="shared" ca="1" si="40"/>
        <v>3.2986690869743669E-4</v>
      </c>
      <c r="BO82" s="13">
        <f t="shared" ca="1" si="41"/>
        <v>4.0464884922071086E-4</v>
      </c>
      <c r="BP82" s="13">
        <f t="shared" ca="1" si="42"/>
        <v>4.5136186735376547E-4</v>
      </c>
      <c r="BQ82" s="13">
        <f t="shared" ca="1" si="43"/>
        <v>4.5394967407701284E-4</v>
      </c>
      <c r="BR82" s="14">
        <f t="shared" ca="1" si="44"/>
        <v>6.1842659455183045E-4</v>
      </c>
      <c r="BS82" s="14">
        <f t="shared" ca="1" si="45"/>
        <v>7.5836260096607069E-4</v>
      </c>
      <c r="BT82" s="14">
        <f t="shared" ca="1" si="46"/>
        <v>7.2706548651864692E-4</v>
      </c>
      <c r="BU82" s="14">
        <f t="shared" ca="1" si="47"/>
        <v>7.7613681023852262E-4</v>
      </c>
      <c r="BV82" s="14">
        <f t="shared" ca="1" si="48"/>
        <v>8.691830884358559E-4</v>
      </c>
      <c r="BW82" s="14">
        <f t="shared" ca="1" si="49"/>
        <v>7.145593771498564E-4</v>
      </c>
      <c r="BX82" s="13">
        <f t="shared" ca="1" si="50"/>
        <v>5.6252780732743879E-4</v>
      </c>
      <c r="BY82" s="13">
        <f t="shared" ca="1" si="51"/>
        <v>6.9957603117018485E-4</v>
      </c>
      <c r="BZ82" s="13">
        <f t="shared" ca="1" si="52"/>
        <v>6.4852382463012094E-4</v>
      </c>
      <c r="CA82" s="13">
        <f t="shared" ca="1" si="53"/>
        <v>2.9563689968049905E-4</v>
      </c>
      <c r="CB82" s="3"/>
    </row>
    <row r="83" spans="4:80" x14ac:dyDescent="0.25">
      <c r="D83" s="17"/>
      <c r="E83" s="2">
        <f t="shared" si="9"/>
        <v>1.4000000000000001</v>
      </c>
      <c r="G83" s="12">
        <f t="shared" ca="1" si="13"/>
        <v>1.3519132041766661E-5</v>
      </c>
      <c r="H83" s="9">
        <v>0</v>
      </c>
      <c r="I83" s="8">
        <f t="shared" ca="1" si="14"/>
        <v>-1.3519132041766661E-5</v>
      </c>
      <c r="J83" s="8">
        <f t="shared" ca="1" si="15"/>
        <v>-2.6879903600125243E-5</v>
      </c>
      <c r="K83" s="8">
        <f t="shared" ca="1" si="16"/>
        <v>-3.9919274362118997E-5</v>
      </c>
      <c r="L83" s="8">
        <f t="shared" ca="1" si="17"/>
        <v>-5.2464514954254197E-5</v>
      </c>
      <c r="M83" s="8">
        <f t="shared" ca="1" si="18"/>
        <v>-6.4327487474637719E-5</v>
      </c>
      <c r="N83" s="8">
        <f t="shared" ca="1" si="19"/>
        <v>-7.5297725564640021E-5</v>
      </c>
      <c r="O83" s="8">
        <f t="shared" ca="1" si="20"/>
        <v>-8.5133647211760286E-5</v>
      </c>
      <c r="P83" s="8">
        <f t="shared" ca="1" si="21"/>
        <v>-9.3550991826699516E-5</v>
      </c>
      <c r="Q83" s="8">
        <f t="shared" ca="1" si="22"/>
        <v>-1.0020732281132468E-4</v>
      </c>
      <c r="R83" s="10">
        <f t="shared" ca="1" si="23"/>
        <v>-1.0468139910118707E-4</v>
      </c>
      <c r="S83" s="10">
        <f t="shared" ca="1" si="24"/>
        <v>-1.0644699829522473E-4</v>
      </c>
      <c r="T83" s="10">
        <f t="shared" ca="1" si="25"/>
        <v>-1.050514999142588E-4</v>
      </c>
      <c r="U83" s="10">
        <f t="shared" ca="1" si="26"/>
        <v>-1.002985340933652E-4</v>
      </c>
      <c r="V83" s="10">
        <f t="shared" ca="1" si="27"/>
        <v>-9.2234346991031555E-5</v>
      </c>
      <c r="W83" s="10">
        <f t="shared" ca="1" si="28"/>
        <v>-8.1149022796679914E-5</v>
      </c>
      <c r="X83" s="8">
        <f t="shared" ca="1" si="29"/>
        <v>-6.759262472540384E-5</v>
      </c>
      <c r="Y83" s="8">
        <f t="shared" ca="1" si="30"/>
        <v>-5.2195248610711049E-5</v>
      </c>
      <c r="Z83" s="8">
        <f t="shared" ca="1" si="31"/>
        <v>-3.5491499054671675E-5</v>
      </c>
      <c r="AA83" s="8">
        <f t="shared" ca="1" si="32"/>
        <v>-1.7950295870424826E-5</v>
      </c>
      <c r="AB83" s="9">
        <v>0</v>
      </c>
      <c r="AC83" s="12">
        <f t="shared" ca="1" si="10"/>
        <v>1.7950295870424826E-5</v>
      </c>
      <c r="AF83" s="2">
        <f t="shared" si="11"/>
        <v>1.4000000000000001</v>
      </c>
      <c r="AH83" s="15">
        <v>0</v>
      </c>
      <c r="AI83" s="13">
        <f t="shared" si="56"/>
        <v>-1.3515870831766452E-5</v>
      </c>
      <c r="AJ83" s="13">
        <f t="shared" si="56"/>
        <v>-2.6874380675170254E-5</v>
      </c>
      <c r="AK83" s="13">
        <f t="shared" si="56"/>
        <v>-3.990985305975581E-5</v>
      </c>
      <c r="AL83" s="13">
        <f t="shared" si="56"/>
        <v>-5.2449603766485557E-5</v>
      </c>
      <c r="AM83" s="13">
        <f t="shared" si="56"/>
        <v>-6.4308565844105561E-5</v>
      </c>
      <c r="AN83" s="13">
        <f t="shared" si="56"/>
        <v>-7.527333966859823E-5</v>
      </c>
      <c r="AO83" s="13">
        <f t="shared" si="56"/>
        <v>-8.5097825028823486E-5</v>
      </c>
      <c r="AP83" s="13">
        <f t="shared" si="56"/>
        <v>-9.3503792922560662E-5</v>
      </c>
      <c r="AQ83" s="13">
        <f t="shared" si="56"/>
        <v>-1.0015073576929511E-4</v>
      </c>
      <c r="AR83" s="14">
        <f t="shared" si="56"/>
        <v>-1.0459732360919749E-4</v>
      </c>
      <c r="AS83" s="14">
        <f t="shared" si="56"/>
        <v>-1.063391738905799E-4</v>
      </c>
      <c r="AT83" s="14">
        <f t="shared" si="56"/>
        <v>-1.0494353972807601E-4</v>
      </c>
      <c r="AU83" s="14">
        <f t="shared" si="56"/>
        <v>-1.0018896508010375E-4</v>
      </c>
      <c r="AV83" s="14">
        <f t="shared" si="56"/>
        <v>-9.2126570970752197E-5</v>
      </c>
      <c r="AW83" s="14">
        <f t="shared" si="56"/>
        <v>-8.1070761224171691E-5</v>
      </c>
      <c r="AX83" s="13">
        <f t="shared" si="56"/>
        <v>-6.7542262340161596E-5</v>
      </c>
      <c r="AY83" s="13">
        <f t="shared" si="56"/>
        <v>-5.2152326596692817E-5</v>
      </c>
      <c r="AZ83" s="13">
        <f t="shared" si="56"/>
        <v>-3.5465460966342253E-5</v>
      </c>
      <c r="BA83" s="13">
        <f t="shared" si="56"/>
        <v>-1.794373622457346E-5</v>
      </c>
      <c r="BB83" s="15">
        <v>0</v>
      </c>
      <c r="BF83" s="2">
        <f t="shared" si="12"/>
        <v>1.4000000000000001</v>
      </c>
      <c r="BH83" s="3"/>
      <c r="BI83" s="13">
        <f t="shared" ca="1" si="35"/>
        <v>2.4128744945857788E-4</v>
      </c>
      <c r="BJ83" s="13">
        <f t="shared" ca="1" si="36"/>
        <v>2.0550892025178824E-4</v>
      </c>
      <c r="BK83" s="13">
        <f t="shared" ca="1" si="37"/>
        <v>2.3606457155031391E-4</v>
      </c>
      <c r="BL83" s="13">
        <f t="shared" ca="1" si="38"/>
        <v>2.8429552747484663E-4</v>
      </c>
      <c r="BM83" s="13">
        <f t="shared" ca="1" si="39"/>
        <v>2.9423188472320653E-4</v>
      </c>
      <c r="BN83" s="13">
        <f t="shared" ca="1" si="40"/>
        <v>3.239645822698069E-4</v>
      </c>
      <c r="BO83" s="13">
        <f t="shared" ca="1" si="41"/>
        <v>4.2095297881780653E-4</v>
      </c>
      <c r="BP83" s="13">
        <f t="shared" ca="1" si="42"/>
        <v>5.0478063684480056E-4</v>
      </c>
      <c r="BQ83" s="13">
        <f t="shared" ca="1" si="43"/>
        <v>5.6501873495891245E-4</v>
      </c>
      <c r="BR83" s="14">
        <f t="shared" ca="1" si="44"/>
        <v>8.0380156096256994E-4</v>
      </c>
      <c r="BS83" s="14">
        <f t="shared" ca="1" si="45"/>
        <v>1.0139669201848119E-3</v>
      </c>
      <c r="BT83" s="14">
        <f t="shared" ca="1" si="46"/>
        <v>1.0287454231345033E-3</v>
      </c>
      <c r="BU83" s="14">
        <f t="shared" ca="1" si="47"/>
        <v>1.0936235659671149E-3</v>
      </c>
      <c r="BV83" s="14">
        <f t="shared" ca="1" si="48"/>
        <v>1.1698690089482894E-3</v>
      </c>
      <c r="BW83" s="14">
        <f t="shared" ca="1" si="49"/>
        <v>9.6534892884277894E-4</v>
      </c>
      <c r="BX83" s="13">
        <f t="shared" ca="1" si="50"/>
        <v>7.4564255767160239E-4</v>
      </c>
      <c r="BY83" s="13">
        <f t="shared" ca="1" si="51"/>
        <v>8.2301244870931387E-4</v>
      </c>
      <c r="BZ83" s="13">
        <f t="shared" ca="1" si="52"/>
        <v>7.3418158456007047E-4</v>
      </c>
      <c r="CA83" s="13">
        <f t="shared" ca="1" si="53"/>
        <v>3.6556744756325492E-4</v>
      </c>
      <c r="CB83" s="3"/>
    </row>
    <row r="84" spans="4:80" x14ac:dyDescent="0.25">
      <c r="D84" s="17"/>
      <c r="E84" s="2">
        <f t="shared" si="9"/>
        <v>1.3</v>
      </c>
      <c r="G84" s="12">
        <f t="shared" ca="1" si="13"/>
        <v>1.3158909614363734E-5</v>
      </c>
      <c r="H84" s="9">
        <v>0</v>
      </c>
      <c r="I84" s="8">
        <f t="shared" ca="1" si="14"/>
        <v>-1.3158909614363734E-5</v>
      </c>
      <c r="J84" s="8">
        <f t="shared" ca="1" si="15"/>
        <v>-2.6161969680052863E-5</v>
      </c>
      <c r="K84" s="8">
        <f t="shared" ca="1" si="16"/>
        <v>-3.8848726390010558E-5</v>
      </c>
      <c r="L84" s="8">
        <f t="shared" ca="1" si="17"/>
        <v>-5.1049240013997255E-5</v>
      </c>
      <c r="M84" s="8">
        <f t="shared" ca="1" si="18"/>
        <v>-6.2578608637116071E-5</v>
      </c>
      <c r="N84" s="8">
        <f t="shared" ca="1" si="19"/>
        <v>-7.3230491383641366E-5</v>
      </c>
      <c r="O84" s="8">
        <f t="shared" ca="1" si="20"/>
        <v>-8.2769065527960614E-5</v>
      </c>
      <c r="P84" s="8">
        <f t="shared" ca="1" si="21"/>
        <v>-9.0918579395808281E-5</v>
      </c>
      <c r="Q84" s="8">
        <f t="shared" ca="1" si="22"/>
        <v>-9.7349216062950022E-5</v>
      </c>
      <c r="R84" s="10">
        <f t="shared" ca="1" si="23"/>
        <v>-1.0165735356947016E-4</v>
      </c>
      <c r="S84" s="10">
        <f t="shared" ca="1" si="24"/>
        <v>-1.0333796430904779E-4</v>
      </c>
      <c r="T84" s="10">
        <f t="shared" ca="1" si="25"/>
        <v>-1.0195728644756029E-4</v>
      </c>
      <c r="U84" s="10">
        <f t="shared" ca="1" si="26"/>
        <v>-9.7329159296634602E-5</v>
      </c>
      <c r="V84" s="10">
        <f t="shared" ca="1" si="27"/>
        <v>-8.9498941121805232E-5</v>
      </c>
      <c r="W84" s="10">
        <f t="shared" ca="1" si="28"/>
        <v>-7.8744741972839536E-5</v>
      </c>
      <c r="X84" s="8">
        <f t="shared" ca="1" si="29"/>
        <v>-6.5596027491354733E-5</v>
      </c>
      <c r="Y84" s="8">
        <f t="shared" ca="1" si="30"/>
        <v>-5.0659979718000775E-5</v>
      </c>
      <c r="Z84" s="8">
        <f t="shared" ca="1" si="31"/>
        <v>-3.445183629112111E-5</v>
      </c>
      <c r="AA84" s="8">
        <f t="shared" ca="1" si="32"/>
        <v>-1.7425995599655107E-5</v>
      </c>
      <c r="AB84" s="9">
        <v>0</v>
      </c>
      <c r="AC84" s="12">
        <f t="shared" ca="1" si="10"/>
        <v>1.7425995599655107E-5</v>
      </c>
      <c r="AF84" s="2">
        <f t="shared" si="11"/>
        <v>1.3</v>
      </c>
      <c r="AH84" s="15">
        <v>0</v>
      </c>
      <c r="AI84" s="13">
        <f t="shared" si="56"/>
        <v>-1.3156534061265441E-5</v>
      </c>
      <c r="AJ84" s="13">
        <f t="shared" si="56"/>
        <v>-2.615807830182165E-5</v>
      </c>
      <c r="AK84" s="13">
        <f t="shared" si="56"/>
        <v>-3.8841609828380661E-5</v>
      </c>
      <c r="AL84" s="13">
        <f t="shared" si="56"/>
        <v>-5.1037068114963884E-5</v>
      </c>
      <c r="AM84" s="13">
        <f t="shared" si="56"/>
        <v>-6.2562151622265309E-5</v>
      </c>
      <c r="AN84" s="13">
        <f t="shared" si="56"/>
        <v>-7.3207306699412997E-5</v>
      </c>
      <c r="AO84" s="13">
        <f t="shared" si="56"/>
        <v>-8.2731702149855895E-5</v>
      </c>
      <c r="AP84" s="13">
        <f t="shared" si="56"/>
        <v>-9.0864081833126351E-5</v>
      </c>
      <c r="AQ84" s="13">
        <f t="shared" si="56"/>
        <v>-9.7275195872879907E-5</v>
      </c>
      <c r="AR84" s="14">
        <f t="shared" si="56"/>
        <v>-1.0154260678092752E-4</v>
      </c>
      <c r="AS84" s="14">
        <f t="shared" si="56"/>
        <v>-1.0318690543180979E-4</v>
      </c>
      <c r="AT84" s="14">
        <f t="shared" si="56"/>
        <v>-1.0179844697488418E-4</v>
      </c>
      <c r="AU84" s="14">
        <f t="shared" si="56"/>
        <v>-9.7168538148574546E-5</v>
      </c>
      <c r="AV84" s="14">
        <f t="shared" si="56"/>
        <v>-8.9347105305671501E-5</v>
      </c>
      <c r="AW84" s="14">
        <f t="shared" si="56"/>
        <v>-7.8634096001025536E-5</v>
      </c>
      <c r="AX84" s="13">
        <f t="shared" si="56"/>
        <v>-6.5526040038309727E-5</v>
      </c>
      <c r="AY84" s="13">
        <f t="shared" si="56"/>
        <v>-5.0607352144611199E-5</v>
      </c>
      <c r="AZ84" s="13">
        <f t="shared" si="56"/>
        <v>-3.4421349761091415E-5</v>
      </c>
      <c r="BA84" s="13">
        <f t="shared" si="56"/>
        <v>-1.7417416937282825E-5</v>
      </c>
      <c r="BB84" s="15">
        <v>0</v>
      </c>
      <c r="BF84" s="2">
        <f t="shared" si="12"/>
        <v>1.3</v>
      </c>
      <c r="BH84" s="3"/>
      <c r="BI84" s="13">
        <f t="shared" ca="1" si="35"/>
        <v>1.8056070749567234E-4</v>
      </c>
      <c r="BJ84" s="13">
        <f t="shared" ca="1" si="36"/>
        <v>1.4876391859954894E-4</v>
      </c>
      <c r="BK84" s="13">
        <f t="shared" ca="1" si="37"/>
        <v>1.8322004832810939E-4</v>
      </c>
      <c r="BL84" s="13">
        <f t="shared" ca="1" si="38"/>
        <v>2.3849134526993151E-4</v>
      </c>
      <c r="BM84" s="13">
        <f t="shared" ca="1" si="39"/>
        <v>2.6305065321483316E-4</v>
      </c>
      <c r="BN84" s="13">
        <f t="shared" ca="1" si="40"/>
        <v>3.1669904649770807E-4</v>
      </c>
      <c r="BO84" s="13">
        <f t="shared" ca="1" si="41"/>
        <v>4.5162104893044778E-4</v>
      </c>
      <c r="BP84" s="13">
        <f t="shared" ca="1" si="42"/>
        <v>5.9977013559676365E-4</v>
      </c>
      <c r="BQ84" s="13">
        <f t="shared" ca="1" si="43"/>
        <v>7.609359138874963E-4</v>
      </c>
      <c r="BR84" s="14">
        <f t="shared" ca="1" si="44"/>
        <v>1.1300358753858399E-3</v>
      </c>
      <c r="BS84" s="14">
        <f t="shared" ca="1" si="45"/>
        <v>1.4639345622960225E-3</v>
      </c>
      <c r="BT84" s="14">
        <f t="shared" ca="1" si="46"/>
        <v>1.5603329657406532E-3</v>
      </c>
      <c r="BU84" s="14">
        <f t="shared" ca="1" si="47"/>
        <v>1.653015997981355E-3</v>
      </c>
      <c r="BV84" s="14">
        <f t="shared" ca="1" si="48"/>
        <v>1.699392673263166E-3</v>
      </c>
      <c r="BW84" s="14">
        <f t="shared" ca="1" si="49"/>
        <v>1.4070991775953982E-3</v>
      </c>
      <c r="BX84" s="13">
        <f t="shared" ca="1" si="50"/>
        <v>1.0680861075091437E-3</v>
      </c>
      <c r="BY84" s="13">
        <f t="shared" ca="1" si="51"/>
        <v>1.039919520768286E-3</v>
      </c>
      <c r="BZ84" s="13">
        <f t="shared" ca="1" si="52"/>
        <v>8.8568665207185192E-4</v>
      </c>
      <c r="CA84" s="13">
        <f t="shared" ca="1" si="53"/>
        <v>4.9253356012389298E-4</v>
      </c>
      <c r="CB84" s="3"/>
    </row>
    <row r="85" spans="4:80" x14ac:dyDescent="0.25">
      <c r="D85" s="17"/>
      <c r="E85" s="2">
        <f t="shared" si="9"/>
        <v>1.2</v>
      </c>
      <c r="G85" s="12">
        <f t="shared" ca="1" si="13"/>
        <v>1.2647210315673937E-5</v>
      </c>
      <c r="H85" s="9">
        <v>0</v>
      </c>
      <c r="I85" s="8">
        <f t="shared" ca="1" si="14"/>
        <v>-1.2647210315673937E-5</v>
      </c>
      <c r="J85" s="8">
        <f t="shared" ca="1" si="15"/>
        <v>-2.5141085766565699E-5</v>
      </c>
      <c r="K85" s="8">
        <f t="shared" ca="1" si="16"/>
        <v>-3.7323828952860891E-5</v>
      </c>
      <c r="L85" s="8">
        <f t="shared" ca="1" si="17"/>
        <v>-4.9028510084561726E-5</v>
      </c>
      <c r="M85" s="8">
        <f t="shared" ca="1" si="18"/>
        <v>-6.0073960052067154E-5</v>
      </c>
      <c r="N85" s="8">
        <f t="shared" ca="1" si="19"/>
        <v>-7.0258943619307723E-5</v>
      </c>
      <c r="O85" s="8">
        <f t="shared" ca="1" si="20"/>
        <v>-7.9355220422426353E-5</v>
      </c>
      <c r="P85" s="8">
        <f t="shared" ca="1" si="21"/>
        <v>-8.7098861979417882E-5</v>
      </c>
      <c r="Q85" s="8">
        <f t="shared" ca="1" si="22"/>
        <v>-9.3178623651271367E-5</v>
      </c>
      <c r="R85" s="10">
        <f t="shared" ca="1" si="23"/>
        <v>-9.7218788332413634E-5</v>
      </c>
      <c r="S85" s="10">
        <f t="shared" ca="1" si="24"/>
        <v>-9.8750957487471187E-5</v>
      </c>
      <c r="T85" s="10">
        <f t="shared" ca="1" si="25"/>
        <v>-9.7374805648263983E-5</v>
      </c>
      <c r="U85" s="10">
        <f t="shared" ca="1" si="26"/>
        <v>-9.2921788053012102E-5</v>
      </c>
      <c r="V85" s="10">
        <f t="shared" ca="1" si="27"/>
        <v>-8.5436418296065361E-5</v>
      </c>
      <c r="W85" s="10">
        <f t="shared" ca="1" si="28"/>
        <v>-7.5177504020685474E-5</v>
      </c>
      <c r="X85" s="8">
        <f t="shared" ca="1" si="29"/>
        <v>-6.2639387618883545E-5</v>
      </c>
      <c r="Y85" s="8">
        <f t="shared" ca="1" si="30"/>
        <v>-4.8390901916686981E-5</v>
      </c>
      <c r="Z85" s="8">
        <f t="shared" ca="1" si="31"/>
        <v>-3.2917534768652128E-5</v>
      </c>
      <c r="AA85" s="8">
        <f t="shared" ca="1" si="32"/>
        <v>-1.6652947009437922E-5</v>
      </c>
      <c r="AB85" s="9">
        <v>0</v>
      </c>
      <c r="AC85" s="12">
        <f t="shared" ca="1" si="10"/>
        <v>1.6652947009437922E-5</v>
      </c>
      <c r="AF85" s="2">
        <f t="shared" si="11"/>
        <v>1.2</v>
      </c>
      <c r="AH85" s="15">
        <v>0</v>
      </c>
      <c r="AI85" s="13">
        <f t="shared" si="56"/>
        <v>-1.2646033359463431E-5</v>
      </c>
      <c r="AJ85" s="13">
        <f t="shared" si="56"/>
        <v>-2.51394179042186E-5</v>
      </c>
      <c r="AK85" s="13">
        <f t="shared" si="56"/>
        <v>-3.7319962094941854E-5</v>
      </c>
      <c r="AL85" s="13">
        <f t="shared" si="56"/>
        <v>-4.9020478601077384E-5</v>
      </c>
      <c r="AM85" s="13">
        <f t="shared" si="56"/>
        <v>-6.006188786657334E-5</v>
      </c>
      <c r="AN85" s="13">
        <f t="shared" si="56"/>
        <v>-7.0239712394669354E-5</v>
      </c>
      <c r="AO85" s="13">
        <f t="shared" si="56"/>
        <v>-7.932060423987525E-5</v>
      </c>
      <c r="AP85" s="13">
        <f t="shared" si="56"/>
        <v>-8.7043632926244021E-5</v>
      </c>
      <c r="AQ85" s="13">
        <f t="shared" si="56"/>
        <v>-9.3096754835153764E-5</v>
      </c>
      <c r="AR85" s="14">
        <f t="shared" si="56"/>
        <v>-9.7086874902658566E-5</v>
      </c>
      <c r="AS85" s="14">
        <f t="shared" si="56"/>
        <v>-9.8573638473975031E-5</v>
      </c>
      <c r="AT85" s="14">
        <f t="shared" si="56"/>
        <v>-9.7183714793525619E-5</v>
      </c>
      <c r="AU85" s="14">
        <f t="shared" si="56"/>
        <v>-9.2728729831126222E-5</v>
      </c>
      <c r="AV85" s="14">
        <f t="shared" si="56"/>
        <v>-8.5257279246216889E-5</v>
      </c>
      <c r="AW85" s="14">
        <f t="shared" si="56"/>
        <v>-7.5047408220237129E-5</v>
      </c>
      <c r="AX85" s="13">
        <f t="shared" si="56"/>
        <v>-6.2558642921761449E-5</v>
      </c>
      <c r="AY85" s="13">
        <f t="shared" si="56"/>
        <v>-4.8334364108213152E-5</v>
      </c>
      <c r="AZ85" s="13">
        <f t="shared" si="56"/>
        <v>-3.2885776193520564E-5</v>
      </c>
      <c r="BA85" s="13">
        <f t="shared" si="56"/>
        <v>-1.6643514467421304E-5</v>
      </c>
      <c r="BB85" s="15">
        <v>0</v>
      </c>
      <c r="BF85" s="2">
        <f t="shared" si="12"/>
        <v>1.2</v>
      </c>
      <c r="BH85" s="3"/>
      <c r="BI85" s="13">
        <f t="shared" ca="1" si="35"/>
        <v>9.3069200202975264E-5</v>
      </c>
      <c r="BJ85" s="13">
        <f t="shared" ca="1" si="36"/>
        <v>6.6344509385789544E-5</v>
      </c>
      <c r="BK85" s="13">
        <f t="shared" ca="1" si="37"/>
        <v>1.0361366148228809E-4</v>
      </c>
      <c r="BL85" s="13">
        <f t="shared" ca="1" si="38"/>
        <v>1.6383935272645637E-4</v>
      </c>
      <c r="BM85" s="13">
        <f t="shared" ca="1" si="39"/>
        <v>2.0099577157203189E-4</v>
      </c>
      <c r="BN85" s="13">
        <f t="shared" ca="1" si="40"/>
        <v>2.7379418256029094E-4</v>
      </c>
      <c r="BO85" s="13">
        <f t="shared" ca="1" si="41"/>
        <v>4.3640845758586281E-4</v>
      </c>
      <c r="BP85" s="13">
        <f t="shared" ca="1" si="42"/>
        <v>6.3449848446305674E-4</v>
      </c>
      <c r="BQ85" s="13">
        <f t="shared" ca="1" si="43"/>
        <v>8.7939495058197677E-4</v>
      </c>
      <c r="BR85" s="14">
        <f t="shared" ca="1" si="44"/>
        <v>1.3587153761754841E-3</v>
      </c>
      <c r="BS85" s="14">
        <f t="shared" ca="1" si="45"/>
        <v>1.7988482137947209E-3</v>
      </c>
      <c r="BT85" s="14">
        <f t="shared" ca="1" si="46"/>
        <v>1.9662847334489214E-3</v>
      </c>
      <c r="BU85" s="14">
        <f t="shared" ca="1" si="47"/>
        <v>2.081967716342812E-3</v>
      </c>
      <c r="BV85" s="14">
        <f t="shared" ca="1" si="48"/>
        <v>2.1011584164107645E-3</v>
      </c>
      <c r="BW85" s="14">
        <f t="shared" ca="1" si="49"/>
        <v>1.7335149012283034E-3</v>
      </c>
      <c r="BX85" s="13">
        <f t="shared" ca="1" si="50"/>
        <v>1.2907041033974949E-3</v>
      </c>
      <c r="BY85" s="13">
        <f t="shared" ca="1" si="51"/>
        <v>1.1697228155779457E-3</v>
      </c>
      <c r="BZ85" s="13">
        <f t="shared" ca="1" si="52"/>
        <v>9.6572375073879669E-4</v>
      </c>
      <c r="CA85" s="13">
        <f t="shared" ca="1" si="53"/>
        <v>5.6673979735959851E-4</v>
      </c>
      <c r="CB85" s="3"/>
    </row>
    <row r="86" spans="4:80" x14ac:dyDescent="0.25">
      <c r="D86" s="17"/>
      <c r="E86" s="2">
        <f t="shared" si="9"/>
        <v>1.0999999999999999</v>
      </c>
      <c r="G86" s="12">
        <f t="shared" ca="1" si="13"/>
        <v>1.1994944200674033E-5</v>
      </c>
      <c r="H86" s="9">
        <v>0</v>
      </c>
      <c r="I86" s="8">
        <f t="shared" ca="1" si="14"/>
        <v>-1.1994944200674033E-5</v>
      </c>
      <c r="J86" s="8">
        <f t="shared" ca="1" si="15"/>
        <v>-2.3839473770617393E-5</v>
      </c>
      <c r="K86" s="8">
        <f t="shared" ca="1" si="16"/>
        <v>-3.5378899489101603E-5</v>
      </c>
      <c r="L86" s="8">
        <f t="shared" ca="1" si="17"/>
        <v>-4.6449847301662692E-5</v>
      </c>
      <c r="M86" s="8">
        <f t="shared" ca="1" si="18"/>
        <v>-5.6875571862317517E-5</v>
      </c>
      <c r="N86" s="8">
        <f t="shared" ca="1" si="19"/>
        <v>-6.6460840769256703E-5</v>
      </c>
      <c r="O86" s="8">
        <f t="shared" ca="1" si="20"/>
        <v>-7.4986204028979655E-5</v>
      </c>
      <c r="P86" s="8">
        <f t="shared" ca="1" si="21"/>
        <v>-8.2201362307563936E-5</v>
      </c>
      <c r="Q86" s="8">
        <f t="shared" ca="1" si="22"/>
        <v>-8.781698575347936E-5</v>
      </c>
      <c r="R86" s="10">
        <f t="shared" ca="1" si="23"/>
        <v>-9.14929240178233E-5</v>
      </c>
      <c r="S86" s="10">
        <f t="shared" ca="1" si="24"/>
        <v>-9.2814840492518434E-5</v>
      </c>
      <c r="T86" s="10">
        <f t="shared" ca="1" si="25"/>
        <v>-9.1432854894111747E-5</v>
      </c>
      <c r="U86" s="10">
        <f t="shared" ca="1" si="26"/>
        <v>-8.720223368322118E-5</v>
      </c>
      <c r="V86" s="10">
        <f t="shared" ca="1" si="27"/>
        <v>-8.0166565566132966E-5</v>
      </c>
      <c r="W86" s="10">
        <f t="shared" ca="1" si="28"/>
        <v>-7.0558989717925573E-5</v>
      </c>
      <c r="X86" s="8">
        <f t="shared" ca="1" si="29"/>
        <v>-5.8821513682710353E-5</v>
      </c>
      <c r="Y86" s="8">
        <f t="shared" ca="1" si="30"/>
        <v>-4.5466928792729909E-5</v>
      </c>
      <c r="Z86" s="8">
        <f t="shared" ca="1" si="31"/>
        <v>-3.0942966006551954E-5</v>
      </c>
      <c r="AA86" s="8">
        <f t="shared" ca="1" si="32"/>
        <v>-1.5658740523884486E-5</v>
      </c>
      <c r="AB86" s="9">
        <v>0</v>
      </c>
      <c r="AC86" s="12">
        <f t="shared" ca="1" si="10"/>
        <v>1.5658740523884486E-5</v>
      </c>
      <c r="AF86" s="2">
        <f t="shared" si="11"/>
        <v>1.0999999999999999</v>
      </c>
      <c r="AH86" s="15">
        <v>0</v>
      </c>
      <c r="AI86" s="13">
        <f t="shared" si="56"/>
        <v>-1.1995195822441193E-5</v>
      </c>
      <c r="AJ86" s="13">
        <f t="shared" si="56"/>
        <v>-2.3840469277562571E-5</v>
      </c>
      <c r="AK86" s="13">
        <f t="shared" si="56"/>
        <v>-3.5379071060346553E-5</v>
      </c>
      <c r="AL86" s="13">
        <f t="shared" si="56"/>
        <v>-4.6447330042165788E-5</v>
      </c>
      <c r="AM86" s="13">
        <f t="shared" si="56"/>
        <v>-5.68701476425906E-5</v>
      </c>
      <c r="AN86" s="13">
        <f t="shared" si="56"/>
        <v>-6.6449539728999978E-5</v>
      </c>
      <c r="AO86" s="13">
        <f t="shared" si="56"/>
        <v>-7.4961776450195225E-5</v>
      </c>
      <c r="AP86" s="13">
        <f t="shared" si="56"/>
        <v>-8.2158960895676282E-5</v>
      </c>
      <c r="AQ86" s="13">
        <f t="shared" ref="AQ86:BA86" si="57">CalcW(AQ$54, $AF86, E, nu, t, a, b, p, u, v, xi, eta)</f>
        <v>-8.7750813645550164E-5</v>
      </c>
      <c r="AR86" s="14">
        <f t="shared" si="57"/>
        <v>-9.1382032900137367E-5</v>
      </c>
      <c r="AS86" s="14">
        <f t="shared" si="57"/>
        <v>-9.2663141659588794E-5</v>
      </c>
      <c r="AT86" s="14">
        <f t="shared" si="57"/>
        <v>-9.1268255846841645E-5</v>
      </c>
      <c r="AU86" s="14">
        <f t="shared" si="57"/>
        <v>-8.7035517489894397E-5</v>
      </c>
      <c r="AV86" s="14">
        <f t="shared" si="57"/>
        <v>-8.0011906984390048E-5</v>
      </c>
      <c r="AW86" s="14">
        <f t="shared" si="57"/>
        <v>-7.044723127619905E-5</v>
      </c>
      <c r="AX86" s="13">
        <f t="shared" si="57"/>
        <v>-5.8753070681203388E-5</v>
      </c>
      <c r="AY86" s="13">
        <f t="shared" si="57"/>
        <v>-4.5419547523619576E-5</v>
      </c>
      <c r="AZ86" s="13">
        <f t="shared" si="57"/>
        <v>-3.0916499652301941E-5</v>
      </c>
      <c r="BA86" s="13">
        <f t="shared" si="57"/>
        <v>-1.56508972201275E-5</v>
      </c>
      <c r="BB86" s="15">
        <v>0</v>
      </c>
      <c r="BF86" s="2">
        <f t="shared" si="12"/>
        <v>1.0999999999999999</v>
      </c>
      <c r="BH86" s="3"/>
      <c r="BI86" s="13">
        <f t="shared" ca="1" si="35"/>
        <v>-2.0976878650861911E-5</v>
      </c>
      <c r="BJ86" s="13">
        <f t="shared" ca="1" si="36"/>
        <v>-4.1757019695734491E-5</v>
      </c>
      <c r="BK86" s="13">
        <f t="shared" ca="1" si="37"/>
        <v>-4.8495124322887934E-6</v>
      </c>
      <c r="BL86" s="13">
        <f t="shared" ca="1" si="38"/>
        <v>5.4195999955619046E-5</v>
      </c>
      <c r="BM86" s="13">
        <f t="shared" ca="1" si="39"/>
        <v>9.5379033671692099E-5</v>
      </c>
      <c r="BN86" s="13">
        <f t="shared" ca="1" si="40"/>
        <v>1.7006950390949452E-4</v>
      </c>
      <c r="BO86" s="13">
        <f t="shared" ca="1" si="41"/>
        <v>3.2586712777090261E-4</v>
      </c>
      <c r="BP86" s="13">
        <f t="shared" ca="1" si="42"/>
        <v>5.1608992403755531E-4</v>
      </c>
      <c r="BQ86" s="13">
        <f t="shared" ca="1" si="43"/>
        <v>7.5409110388973311E-4</v>
      </c>
      <c r="BR86" s="14">
        <f t="shared" ca="1" si="44"/>
        <v>1.2134892841256281E-3</v>
      </c>
      <c r="BS86" s="14">
        <f t="shared" ca="1" si="45"/>
        <v>1.6371000401316808E-3</v>
      </c>
      <c r="BT86" s="14">
        <f t="shared" ca="1" si="46"/>
        <v>1.803464367132402E-3</v>
      </c>
      <c r="BU86" s="14">
        <f t="shared" ca="1" si="47"/>
        <v>1.9154960886644953E-3</v>
      </c>
      <c r="BV86" s="14">
        <f t="shared" ca="1" si="48"/>
        <v>1.9329445775250844E-3</v>
      </c>
      <c r="BW86" s="14">
        <f t="shared" ca="1" si="49"/>
        <v>1.5864135424763105E-3</v>
      </c>
      <c r="BX86" s="13">
        <f t="shared" ca="1" si="50"/>
        <v>1.1649263725863719E-3</v>
      </c>
      <c r="BY86" s="13">
        <f t="shared" ca="1" si="51"/>
        <v>1.0431911301118399E-3</v>
      </c>
      <c r="BZ86" s="13">
        <f t="shared" ca="1" si="52"/>
        <v>8.5605920940802255E-4</v>
      </c>
      <c r="CA86" s="13">
        <f t="shared" ca="1" si="53"/>
        <v>5.0114083855205957E-4</v>
      </c>
      <c r="CB86" s="3"/>
    </row>
    <row r="87" spans="4:80" x14ac:dyDescent="0.25">
      <c r="D87" s="17"/>
      <c r="E87" s="2">
        <f t="shared" si="9"/>
        <v>0.99999999999999989</v>
      </c>
      <c r="G87" s="12">
        <f t="shared" ca="1" si="13"/>
        <v>1.1216672759054912E-5</v>
      </c>
      <c r="H87" s="9">
        <v>0</v>
      </c>
      <c r="I87" s="8">
        <f t="shared" ca="1" si="14"/>
        <v>-1.1216672759054912E-5</v>
      </c>
      <c r="J87" s="8">
        <f t="shared" ca="1" si="15"/>
        <v>-2.2286773349339834E-5</v>
      </c>
      <c r="K87" s="8">
        <f t="shared" ca="1" si="16"/>
        <v>-3.3059688522178375E-5</v>
      </c>
      <c r="L87" s="8">
        <f t="shared" ca="1" si="17"/>
        <v>-4.3376651776250321E-5</v>
      </c>
      <c r="M87" s="8">
        <f t="shared" ca="1" si="18"/>
        <v>-5.3066496798040297E-5</v>
      </c>
      <c r="N87" s="8">
        <f t="shared" ca="1" si="19"/>
        <v>-6.1941230891610731E-5</v>
      </c>
      <c r="O87" s="8">
        <f t="shared" ca="1" si="20"/>
        <v>-6.9791414169160552E-5</v>
      </c>
      <c r="P87" s="8">
        <f t="shared" ca="1" si="21"/>
        <v>-7.6381380103041625E-5</v>
      </c>
      <c r="Q87" s="8">
        <f t="shared" ca="1" si="22"/>
        <v>-8.1444404698106232E-5</v>
      </c>
      <c r="R87" s="10">
        <f t="shared" ca="1" si="23"/>
        <v>-8.4678023195155138E-5</v>
      </c>
      <c r="S87" s="10">
        <f t="shared" ca="1" si="24"/>
        <v>-8.5739792651087616E-5</v>
      </c>
      <c r="T87" s="10">
        <f t="shared" ca="1" si="25"/>
        <v>-8.4347879986381341E-5</v>
      </c>
      <c r="U87" s="10">
        <f t="shared" ca="1" si="26"/>
        <v>-8.038288267249673E-5</v>
      </c>
      <c r="V87" s="10">
        <f t="shared" ca="1" si="27"/>
        <v>-7.3887234572357746E-5</v>
      </c>
      <c r="W87" s="10">
        <f t="shared" ca="1" si="28"/>
        <v>-6.5066411941617336E-5</v>
      </c>
      <c r="X87" s="8">
        <f t="shared" ca="1" si="29"/>
        <v>-5.4291966320716335E-5</v>
      </c>
      <c r="Y87" s="8">
        <f t="shared" ca="1" si="30"/>
        <v>-4.2002222268080421E-5</v>
      </c>
      <c r="Z87" s="8">
        <f t="shared" ca="1" si="31"/>
        <v>-2.860433847524541E-5</v>
      </c>
      <c r="AA87" s="8">
        <f t="shared" ca="1" si="32"/>
        <v>-1.4481371575755268E-5</v>
      </c>
      <c r="AB87" s="9">
        <v>0</v>
      </c>
      <c r="AC87" s="12">
        <f t="shared" ca="1" si="10"/>
        <v>1.4481371575755268E-5</v>
      </c>
      <c r="AF87" s="2">
        <f t="shared" si="11"/>
        <v>0.99999999999999989</v>
      </c>
      <c r="AH87" s="15">
        <v>0</v>
      </c>
      <c r="AI87" s="13">
        <f t="shared" ref="AI87:BA96" si="58">CalcW(AI$54, $AF87, E, nu, t, a, b, p, u, v, xi, eta)</f>
        <v>-1.121842312058028E-5</v>
      </c>
      <c r="AJ87" s="13">
        <f t="shared" si="58"/>
        <v>-2.2290548276806787E-5</v>
      </c>
      <c r="AK87" s="13">
        <f t="shared" si="58"/>
        <v>-3.3064177103906655E-5</v>
      </c>
      <c r="AL87" s="13">
        <f t="shared" si="58"/>
        <v>-4.3380284290814781E-5</v>
      </c>
      <c r="AM87" s="13">
        <f t="shared" si="58"/>
        <v>-5.306894233692619E-5</v>
      </c>
      <c r="AN87" s="13">
        <f t="shared" si="58"/>
        <v>-6.1940343881577748E-5</v>
      </c>
      <c r="AO87" s="13">
        <f t="shared" si="58"/>
        <v>-6.978248794880139E-5</v>
      </c>
      <c r="AP87" s="13">
        <f t="shared" si="58"/>
        <v>-7.6362687751416281E-5</v>
      </c>
      <c r="AQ87" s="13">
        <f t="shared" si="58"/>
        <v>-8.1415542291479387E-5</v>
      </c>
      <c r="AR87" s="14">
        <f t="shared" si="58"/>
        <v>-8.462932470507883E-5</v>
      </c>
      <c r="AS87" s="14">
        <f t="shared" si="58"/>
        <v>-8.5673686522628328E-5</v>
      </c>
      <c r="AT87" s="14">
        <f t="shared" si="58"/>
        <v>-8.4277897583567713E-5</v>
      </c>
      <c r="AU87" s="14">
        <f t="shared" si="58"/>
        <v>-8.0310709790380166E-5</v>
      </c>
      <c r="AV87" s="14">
        <f t="shared" si="58"/>
        <v>-7.3817073436849919E-5</v>
      </c>
      <c r="AW87" s="14">
        <f t="shared" si="58"/>
        <v>-6.5014018007401666E-5</v>
      </c>
      <c r="AX87" s="13">
        <f t="shared" si="58"/>
        <v>-5.4257309788462216E-5</v>
      </c>
      <c r="AY87" s="13">
        <f t="shared" si="58"/>
        <v>-4.1974843801557179E-5</v>
      </c>
      <c r="AZ87" s="13">
        <f t="shared" si="58"/>
        <v>-2.8588202965029967E-5</v>
      </c>
      <c r="BA87" s="13">
        <f t="shared" si="58"/>
        <v>-1.4476863294104448E-5</v>
      </c>
      <c r="BB87" s="15">
        <v>0</v>
      </c>
      <c r="BF87" s="2">
        <f t="shared" si="12"/>
        <v>0.99999999999999989</v>
      </c>
      <c r="BH87" s="3"/>
      <c r="BI87" s="13">
        <f t="shared" ca="1" si="35"/>
        <v>-1.5602562914187836E-4</v>
      </c>
      <c r="BJ87" s="13">
        <f t="shared" ca="1" si="36"/>
        <v>-1.6935103704381239E-4</v>
      </c>
      <c r="BK87" s="13">
        <f t="shared" ca="1" si="37"/>
        <v>-1.3575361982165018E-4</v>
      </c>
      <c r="BL87" s="13">
        <f t="shared" ca="1" si="38"/>
        <v>-8.3736532017832322E-5</v>
      </c>
      <c r="BM87" s="13">
        <f t="shared" ca="1" si="39"/>
        <v>-4.6082299329931566E-5</v>
      </c>
      <c r="BN87" s="13">
        <f t="shared" ca="1" si="40"/>
        <v>1.432039245178957E-5</v>
      </c>
      <c r="BO87" s="13">
        <f t="shared" ca="1" si="41"/>
        <v>1.2791490560943054E-4</v>
      </c>
      <c r="BP87" s="13">
        <f t="shared" ca="1" si="42"/>
        <v>2.4478383587273354E-4</v>
      </c>
      <c r="BQ87" s="13">
        <f t="shared" ca="1" si="43"/>
        <v>3.5450733133378284E-4</v>
      </c>
      <c r="BR87" s="14">
        <f t="shared" ca="1" si="44"/>
        <v>5.7543280944301475E-4</v>
      </c>
      <c r="BS87" s="14">
        <f t="shared" ca="1" si="45"/>
        <v>7.7160364100624672E-4</v>
      </c>
      <c r="BT87" s="14">
        <f t="shared" ca="1" si="46"/>
        <v>8.3037670397787845E-4</v>
      </c>
      <c r="BU87" s="14">
        <f t="shared" ca="1" si="47"/>
        <v>8.9867070413077394E-4</v>
      </c>
      <c r="BV87" s="14">
        <f t="shared" ca="1" si="48"/>
        <v>9.504730036181936E-4</v>
      </c>
      <c r="BW87" s="14">
        <f t="shared" ca="1" si="49"/>
        <v>8.0588672753167956E-4</v>
      </c>
      <c r="BX87" s="13">
        <f t="shared" ca="1" si="50"/>
        <v>6.3874402157493326E-4</v>
      </c>
      <c r="BY87" s="13">
        <f t="shared" ca="1" si="51"/>
        <v>6.5225892567172825E-4</v>
      </c>
      <c r="BZ87" s="13">
        <f t="shared" ca="1" si="52"/>
        <v>5.6441148942381301E-4</v>
      </c>
      <c r="CA87" s="13">
        <f t="shared" ca="1" si="53"/>
        <v>3.1141287717041742E-4</v>
      </c>
      <c r="CB87" s="3"/>
    </row>
    <row r="88" spans="4:80" x14ac:dyDescent="0.25">
      <c r="D88" s="17"/>
      <c r="E88" s="2">
        <f t="shared" si="9"/>
        <v>0.89999999999999991</v>
      </c>
      <c r="G88" s="12">
        <f t="shared" ca="1" si="13"/>
        <v>1.0329387614686898E-5</v>
      </c>
      <c r="H88" s="9">
        <v>0</v>
      </c>
      <c r="I88" s="8">
        <f t="shared" ca="1" si="14"/>
        <v>-1.0329387614686898E-5</v>
      </c>
      <c r="J88" s="8">
        <f t="shared" ca="1" si="15"/>
        <v>-2.0517528951849664E-5</v>
      </c>
      <c r="K88" s="8">
        <f t="shared" ca="1" si="16"/>
        <v>-3.0419434190085457E-5</v>
      </c>
      <c r="L88" s="8">
        <f t="shared" ca="1" si="17"/>
        <v>-3.988261646043061E-5</v>
      </c>
      <c r="M88" s="8">
        <f t="shared" ca="1" si="18"/>
        <v>-4.8743337223206035E-5</v>
      </c>
      <c r="N88" s="8">
        <f t="shared" ca="1" si="19"/>
        <v>-5.682290395633402E-5</v>
      </c>
      <c r="O88" s="8">
        <f t="shared" ca="1" si="20"/>
        <v>-6.3924164437153814E-5</v>
      </c>
      <c r="P88" s="8">
        <f t="shared" ca="1" si="21"/>
        <v>-6.982853870325183E-5</v>
      </c>
      <c r="Q88" s="8">
        <f t="shared" ca="1" si="22"/>
        <v>-7.4294434524027129E-5</v>
      </c>
      <c r="R88" s="8">
        <f t="shared" ca="1" si="23"/>
        <v>-7.7059494085047786E-5</v>
      </c>
      <c r="S88" s="8">
        <f t="shared" ca="1" si="24"/>
        <v>-7.7855244483405559E-5</v>
      </c>
      <c r="T88" s="8">
        <f t="shared" ca="1" si="25"/>
        <v>-7.646936284119279E-5</v>
      </c>
      <c r="U88" s="8">
        <f t="shared" ca="1" si="26"/>
        <v>-7.2808389308389208E-5</v>
      </c>
      <c r="V88" s="8">
        <f t="shared" ca="1" si="27"/>
        <v>-6.691321575964885E-5</v>
      </c>
      <c r="W88" s="8">
        <f t="shared" ca="1" si="28"/>
        <v>-5.8960249265820974E-5</v>
      </c>
      <c r="X88" s="8">
        <f t="shared" ca="1" si="29"/>
        <v>-4.9248266589655936E-5</v>
      </c>
      <c r="Y88" s="8">
        <f t="shared" ca="1" si="30"/>
        <v>-3.8138090810833964E-5</v>
      </c>
      <c r="Z88" s="8">
        <f t="shared" ca="1" si="31"/>
        <v>-2.599278483930371E-5</v>
      </c>
      <c r="AA88" s="8">
        <f t="shared" ca="1" si="32"/>
        <v>-1.3165535899975763E-5</v>
      </c>
      <c r="AB88" s="9">
        <v>0</v>
      </c>
      <c r="AC88" s="12">
        <f t="shared" ca="1" si="10"/>
        <v>1.3165535899975763E-5</v>
      </c>
      <c r="AF88" s="2">
        <f t="shared" si="11"/>
        <v>0.89999999999999991</v>
      </c>
      <c r="AH88" s="15">
        <v>0</v>
      </c>
      <c r="AI88" s="13">
        <f t="shared" si="58"/>
        <v>-1.0332498600162877E-5</v>
      </c>
      <c r="AJ88" s="13">
        <f t="shared" si="58"/>
        <v>-2.0523777613456292E-5</v>
      </c>
      <c r="AK88" s="13">
        <f t="shared" si="58"/>
        <v>-3.0427781108741471E-5</v>
      </c>
      <c r="AL88" s="13">
        <f t="shared" si="58"/>
        <v>-3.9891785665645201E-5</v>
      </c>
      <c r="AM88" s="13">
        <f t="shared" si="58"/>
        <v>-4.8752776376591356E-5</v>
      </c>
      <c r="AN88" s="13">
        <f t="shared" si="58"/>
        <v>-5.6831141079532847E-5</v>
      </c>
      <c r="AO88" s="13">
        <f t="shared" si="58"/>
        <v>-6.3928797001207099E-5</v>
      </c>
      <c r="AP88" s="13">
        <f t="shared" si="58"/>
        <v>-6.9830273622538392E-5</v>
      </c>
      <c r="AQ88" s="13">
        <f t="shared" si="58"/>
        <v>-7.4297037832099755E-5</v>
      </c>
      <c r="AR88" s="13">
        <f t="shared" si="58"/>
        <v>-7.7063569125728807E-5</v>
      </c>
      <c r="AS88" s="13">
        <f t="shared" si="58"/>
        <v>-7.7861897292290564E-5</v>
      </c>
      <c r="AT88" s="13">
        <f t="shared" si="58"/>
        <v>-7.6479199849663481E-5</v>
      </c>
      <c r="AU88" s="13">
        <f t="shared" si="58"/>
        <v>-7.2816049270788189E-5</v>
      </c>
      <c r="AV88" s="13">
        <f t="shared" si="58"/>
        <v>-6.6914890161049977E-5</v>
      </c>
      <c r="AW88" s="13">
        <f t="shared" si="58"/>
        <v>-5.8957986272148015E-5</v>
      </c>
      <c r="AX88" s="13">
        <f t="shared" si="58"/>
        <v>-4.9241859864185928E-5</v>
      </c>
      <c r="AY88" s="13">
        <f t="shared" si="58"/>
        <v>-3.8127922480974674E-5</v>
      </c>
      <c r="AZ88" s="13">
        <f t="shared" si="58"/>
        <v>-2.5985592943233551E-5</v>
      </c>
      <c r="BA88" s="13">
        <f t="shared" si="58"/>
        <v>-1.3163683177377465E-5</v>
      </c>
      <c r="BB88" s="15">
        <v>0</v>
      </c>
      <c r="BF88" s="2">
        <f t="shared" si="12"/>
        <v>0.89999999999999991</v>
      </c>
      <c r="BH88" s="3"/>
      <c r="BI88" s="13">
        <f t="shared" ca="1" si="35"/>
        <v>-3.0108743261089265E-4</v>
      </c>
      <c r="BJ88" s="13">
        <f t="shared" ca="1" si="36"/>
        <v>-3.0445962357979504E-4</v>
      </c>
      <c r="BK88" s="13">
        <f t="shared" ca="1" si="37"/>
        <v>-2.7431900558848435E-4</v>
      </c>
      <c r="BL88" s="13">
        <f t="shared" ca="1" si="38"/>
        <v>-2.2985196229225385E-4</v>
      </c>
      <c r="BM88" s="13">
        <f t="shared" ca="1" si="39"/>
        <v>-1.9361263269209228E-4</v>
      </c>
      <c r="BN88" s="13">
        <f t="shared" ca="1" si="40"/>
        <v>-1.4494030987868698E-4</v>
      </c>
      <c r="BO88" s="13">
        <f t="shared" ca="1" si="41"/>
        <v>-7.2464433410137792E-5</v>
      </c>
      <c r="BP88" s="13">
        <f t="shared" ca="1" si="42"/>
        <v>-2.4844801495979403E-5</v>
      </c>
      <c r="BQ88" s="13">
        <f t="shared" ca="1" si="43"/>
        <v>-3.503919064053236E-5</v>
      </c>
      <c r="BR88" s="13">
        <f t="shared" ca="1" si="44"/>
        <v>-5.2878950809722057E-5</v>
      </c>
      <c r="BS88" s="13">
        <f t="shared" ca="1" si="45"/>
        <v>-8.5443703741654918E-5</v>
      </c>
      <c r="BT88" s="13">
        <f t="shared" ca="1" si="46"/>
        <v>-1.2862331836666427E-4</v>
      </c>
      <c r="BU88" s="13">
        <f t="shared" ca="1" si="47"/>
        <v>-1.0519607250999909E-4</v>
      </c>
      <c r="BV88" s="13">
        <f t="shared" ca="1" si="48"/>
        <v>-2.5022852120014627E-5</v>
      </c>
      <c r="BW88" s="13">
        <f t="shared" ca="1" si="49"/>
        <v>3.8383157499870725E-5</v>
      </c>
      <c r="BX88" s="13">
        <f t="shared" ca="1" si="50"/>
        <v>1.3010730073311974E-4</v>
      </c>
      <c r="BY88" s="13">
        <f t="shared" ca="1" si="51"/>
        <v>2.6668984821723497E-4</v>
      </c>
      <c r="BZ88" s="13">
        <f t="shared" ca="1" si="52"/>
        <v>2.767647475225902E-4</v>
      </c>
      <c r="CA88" s="13">
        <f t="shared" ca="1" si="53"/>
        <v>1.4074500072150492E-4</v>
      </c>
      <c r="CB88" s="3"/>
    </row>
    <row r="89" spans="4:80" x14ac:dyDescent="0.25">
      <c r="D89" s="17"/>
      <c r="E89" s="2">
        <f t="shared" si="9"/>
        <v>0.79999999999999993</v>
      </c>
      <c r="G89" s="12">
        <f t="shared" ca="1" si="13"/>
        <v>9.351154612776401E-6</v>
      </c>
      <c r="H89" s="9">
        <v>0</v>
      </c>
      <c r="I89" s="8">
        <f t="shared" ca="1" si="14"/>
        <v>-9.351154612776401E-6</v>
      </c>
      <c r="J89" s="8">
        <f t="shared" ca="1" si="15"/>
        <v>-1.8568376510894035E-5</v>
      </c>
      <c r="K89" s="8">
        <f t="shared" ca="1" si="16"/>
        <v>-2.7514368515573411E-5</v>
      </c>
      <c r="L89" s="8">
        <f t="shared" ca="1" si="17"/>
        <v>-3.6045157278555947E-5</v>
      </c>
      <c r="M89" s="8">
        <f t="shared" ca="1" si="18"/>
        <v>-4.4006918347496767E-5</v>
      </c>
      <c r="N89" s="8">
        <f t="shared" ca="1" si="19"/>
        <v>-5.1233097108204354E-5</v>
      </c>
      <c r="O89" s="8">
        <f t="shared" ca="1" si="20"/>
        <v>-5.7542138911689767E-5</v>
      </c>
      <c r="P89" s="8">
        <f t="shared" ca="1" si="21"/>
        <v>-6.2736463410364421E-5</v>
      </c>
      <c r="Q89" s="8">
        <f t="shared" ca="1" si="22"/>
        <v>-6.6604025944608103E-5</v>
      </c>
      <c r="R89" s="8">
        <f t="shared" ca="1" si="23"/>
        <v>-6.8925400784719128E-5</v>
      </c>
      <c r="S89" s="8">
        <f t="shared" ca="1" si="24"/>
        <v>-6.9492535703506069E-5</v>
      </c>
      <c r="T89" s="8">
        <f t="shared" ca="1" si="25"/>
        <v>-6.8148065392638555E-5</v>
      </c>
      <c r="U89" s="8">
        <f t="shared" ca="1" si="26"/>
        <v>-6.4824256184971526E-5</v>
      </c>
      <c r="V89" s="8">
        <f t="shared" ca="1" si="27"/>
        <v>-5.9559927518135183E-5</v>
      </c>
      <c r="W89" s="8">
        <f t="shared" ca="1" si="28"/>
        <v>-5.2501548024659504E-5</v>
      </c>
      <c r="X89" s="8">
        <f t="shared" ca="1" si="29"/>
        <v>-4.3888511601078034E-5</v>
      </c>
      <c r="Y89" s="8">
        <f t="shared" ca="1" si="30"/>
        <v>-3.4016402164092949E-5</v>
      </c>
      <c r="Z89" s="8">
        <f t="shared" ca="1" si="31"/>
        <v>-2.3199894868405918E-5</v>
      </c>
      <c r="AA89" s="8">
        <f t="shared" ca="1" si="32"/>
        <v>-1.1756188284265546E-5</v>
      </c>
      <c r="AB89" s="9">
        <v>0</v>
      </c>
      <c r="AC89" s="12">
        <f t="shared" ca="1" si="10"/>
        <v>1.1756188284265546E-5</v>
      </c>
      <c r="AF89" s="2">
        <f t="shared" si="11"/>
        <v>0.79999999999999993</v>
      </c>
      <c r="AH89" s="15">
        <v>0</v>
      </c>
      <c r="AI89" s="13">
        <f t="shared" si="58"/>
        <v>-9.3552960660112164E-6</v>
      </c>
      <c r="AJ89" s="13">
        <f t="shared" si="58"/>
        <v>-1.8576428316680984E-5</v>
      </c>
      <c r="AK89" s="13">
        <f t="shared" si="58"/>
        <v>-2.7525471316006786E-5</v>
      </c>
      <c r="AL89" s="13">
        <f t="shared" si="58"/>
        <v>-3.6058146233242264E-5</v>
      </c>
      <c r="AM89" s="13">
        <f t="shared" si="58"/>
        <v>-4.4020677297814996E-5</v>
      </c>
      <c r="AN89" s="13">
        <f t="shared" si="58"/>
        <v>-5.1246001347954494E-5</v>
      </c>
      <c r="AO89" s="13">
        <f t="shared" si="58"/>
        <v>-5.7552282687485976E-5</v>
      </c>
      <c r="AP89" s="13">
        <f t="shared" si="58"/>
        <v>-6.2743462347750436E-5</v>
      </c>
      <c r="AQ89" s="13">
        <f t="shared" si="58"/>
        <v>-6.6609192279737039E-5</v>
      </c>
      <c r="AR89" s="13">
        <f t="shared" si="58"/>
        <v>-6.892955212817409E-5</v>
      </c>
      <c r="AS89" s="13">
        <f t="shared" si="58"/>
        <v>-6.9496395681259811E-5</v>
      </c>
      <c r="AT89" s="13">
        <f t="shared" si="58"/>
        <v>-6.8151706088184807E-5</v>
      </c>
      <c r="AU89" s="13">
        <f t="shared" si="58"/>
        <v>-6.4825795346622631E-5</v>
      </c>
      <c r="AV89" s="13">
        <f t="shared" si="58"/>
        <v>-5.9558145244021686E-5</v>
      </c>
      <c r="AW89" s="13">
        <f t="shared" si="58"/>
        <v>-5.2497240996392875E-5</v>
      </c>
      <c r="AX89" s="13">
        <f t="shared" si="58"/>
        <v>-4.38821695653191E-5</v>
      </c>
      <c r="AY89" s="13">
        <f t="shared" si="58"/>
        <v>-3.400918831199924E-5</v>
      </c>
      <c r="AZ89" s="13">
        <f t="shared" si="58"/>
        <v>-2.3194876393971217E-5</v>
      </c>
      <c r="BA89" s="13">
        <f t="shared" si="58"/>
        <v>-1.1754378903543713E-5</v>
      </c>
      <c r="BB89" s="15">
        <v>0</v>
      </c>
      <c r="BF89" s="2">
        <f t="shared" si="12"/>
        <v>0.79999999999999993</v>
      </c>
      <c r="BH89" s="3"/>
      <c r="BI89" s="13">
        <f t="shared" ca="1" si="35"/>
        <v>-4.4268542711990401E-4</v>
      </c>
      <c r="BJ89" s="13">
        <f t="shared" ca="1" si="36"/>
        <v>-4.3344208314355029E-4</v>
      </c>
      <c r="BK89" s="13">
        <f t="shared" ca="1" si="37"/>
        <v>-4.0336458932560716E-4</v>
      </c>
      <c r="BL89" s="13">
        <f t="shared" ca="1" si="38"/>
        <v>-3.6022247517378996E-4</v>
      </c>
      <c r="BM89" s="13">
        <f t="shared" ca="1" si="39"/>
        <v>-3.1255653394755172E-4</v>
      </c>
      <c r="BN89" s="13">
        <f t="shared" ca="1" si="40"/>
        <v>-2.5180969072146399E-4</v>
      </c>
      <c r="BO89" s="13">
        <f t="shared" ca="1" si="41"/>
        <v>-1.7625323136686411E-4</v>
      </c>
      <c r="BP89" s="13">
        <f t="shared" ca="1" si="42"/>
        <v>-1.1154847252809713E-4</v>
      </c>
      <c r="BQ89" s="13">
        <f t="shared" ca="1" si="43"/>
        <v>-7.7561894268874987E-5</v>
      </c>
      <c r="BR89" s="13">
        <f t="shared" ca="1" si="44"/>
        <v>-6.022588754446609E-5</v>
      </c>
      <c r="BS89" s="13">
        <f t="shared" ca="1" si="45"/>
        <v>-5.5542128709034056E-5</v>
      </c>
      <c r="BT89" s="13">
        <f t="shared" ca="1" si="46"/>
        <v>-5.3420460839833776E-5</v>
      </c>
      <c r="BU89" s="13">
        <f t="shared" ca="1" si="47"/>
        <v>-2.3743043072206154E-5</v>
      </c>
      <c r="BV89" s="13">
        <f t="shared" ca="1" si="48"/>
        <v>2.9924943199533349E-5</v>
      </c>
      <c r="BW89" s="13">
        <f t="shared" ca="1" si="49"/>
        <v>8.2042945207836505E-5</v>
      </c>
      <c r="BX89" s="13">
        <f t="shared" ca="1" si="50"/>
        <v>1.4452420702431519E-4</v>
      </c>
      <c r="BY89" s="13">
        <f t="shared" ca="1" si="51"/>
        <v>2.1211479755205221E-4</v>
      </c>
      <c r="BZ89" s="13">
        <f t="shared" ca="1" si="52"/>
        <v>2.1636133555792223E-4</v>
      </c>
      <c r="CA89" s="13">
        <f t="shared" ca="1" si="53"/>
        <v>1.5393248224181326E-4</v>
      </c>
      <c r="CB89" s="3"/>
    </row>
    <row r="90" spans="4:80" x14ac:dyDescent="0.25">
      <c r="D90" s="17"/>
      <c r="E90" s="2">
        <f t="shared" si="9"/>
        <v>0.7</v>
      </c>
      <c r="G90" s="12">
        <f t="shared" ca="1" si="13"/>
        <v>8.2998077991695317E-6</v>
      </c>
      <c r="H90" s="9">
        <v>0</v>
      </c>
      <c r="I90" s="8">
        <f t="shared" ca="1" si="14"/>
        <v>-8.2998077991695317E-6</v>
      </c>
      <c r="J90" s="8">
        <f t="shared" ca="1" si="15"/>
        <v>-1.6475335232842344E-5</v>
      </c>
      <c r="K90" s="8">
        <f t="shared" ca="1" si="16"/>
        <v>-2.4399393641472501E-5</v>
      </c>
      <c r="L90" s="8">
        <f t="shared" ca="1" si="17"/>
        <v>-3.1939089959745823E-5</v>
      </c>
      <c r="M90" s="8">
        <f t="shared" ca="1" si="18"/>
        <v>-3.8953295435493382E-5</v>
      </c>
      <c r="N90" s="8">
        <f t="shared" ca="1" si="19"/>
        <v>-4.5290625769005151E-5</v>
      </c>
      <c r="O90" s="8">
        <f t="shared" ca="1" si="20"/>
        <v>-5.0788358377757872E-5</v>
      </c>
      <c r="P90" s="8">
        <f t="shared" ca="1" si="21"/>
        <v>-5.5273037935584291E-5</v>
      </c>
      <c r="Q90" s="8">
        <f t="shared" ca="1" si="22"/>
        <v>-5.8564087306969458E-5</v>
      </c>
      <c r="R90" s="8">
        <f t="shared" ca="1" si="23"/>
        <v>-6.0482598640616185E-5</v>
      </c>
      <c r="S90" s="8">
        <f t="shared" ca="1" si="24"/>
        <v>-6.0868189535839789E-5</v>
      </c>
      <c r="T90" s="8">
        <f t="shared" ca="1" si="25"/>
        <v>-5.9604877379729369E-5</v>
      </c>
      <c r="U90" s="8">
        <f t="shared" ca="1" si="26"/>
        <v>-5.6646011127221492E-5</v>
      </c>
      <c r="V90" s="8">
        <f t="shared" ca="1" si="27"/>
        <v>-5.202769748017602E-5</v>
      </c>
      <c r="W90" s="8">
        <f t="shared" ca="1" si="28"/>
        <v>-4.5869803346510073E-5</v>
      </c>
      <c r="X90" s="8">
        <f t="shared" ca="1" si="29"/>
        <v>-3.8364529115912482E-5</v>
      </c>
      <c r="Y90" s="8">
        <f t="shared" ca="1" si="30"/>
        <v>-2.9753454182966743E-5</v>
      </c>
      <c r="Z90" s="8">
        <f t="shared" ca="1" si="31"/>
        <v>-2.0303582469018027E-5</v>
      </c>
      <c r="AA90" s="8">
        <f t="shared" ca="1" si="32"/>
        <v>-1.0292277473035595E-5</v>
      </c>
      <c r="AB90" s="9">
        <v>0</v>
      </c>
      <c r="AC90" s="12">
        <f t="shared" ca="1" si="10"/>
        <v>1.0292277473035595E-5</v>
      </c>
      <c r="AF90" s="2">
        <f t="shared" si="11"/>
        <v>0.7</v>
      </c>
      <c r="AH90" s="15">
        <v>0</v>
      </c>
      <c r="AI90" s="13">
        <f t="shared" si="58"/>
        <v>-8.3045356396476779E-6</v>
      </c>
      <c r="AJ90" s="13">
        <f t="shared" si="58"/>
        <v>-1.6484343393753008E-5</v>
      </c>
      <c r="AK90" s="13">
        <f t="shared" si="58"/>
        <v>-2.4411877475801184E-5</v>
      </c>
      <c r="AL90" s="13">
        <f t="shared" si="58"/>
        <v>-3.1953799702254399E-5</v>
      </c>
      <c r="AM90" s="13">
        <f t="shared" si="58"/>
        <v>-3.8968364277010578E-5</v>
      </c>
      <c r="AN90" s="13">
        <f t="shared" si="58"/>
        <v>-4.5303631188692909E-5</v>
      </c>
      <c r="AO90" s="13">
        <f t="shared" si="58"/>
        <v>-5.079641630343198E-5</v>
      </c>
      <c r="AP90" s="13">
        <f t="shared" si="58"/>
        <v>-5.5272550022063209E-5</v>
      </c>
      <c r="AQ90" s="13">
        <f t="shared" si="58"/>
        <v>-5.8550819532909221E-5</v>
      </c>
      <c r="AR90" s="13">
        <f t="shared" si="58"/>
        <v>-6.0453518190728763E-5</v>
      </c>
      <c r="AS90" s="13">
        <f t="shared" si="58"/>
        <v>-6.0824477666433126E-5</v>
      </c>
      <c r="AT90" s="13">
        <f t="shared" si="58"/>
        <v>-5.9552013400178816E-5</v>
      </c>
      <c r="AU90" s="13">
        <f t="shared" si="58"/>
        <v>-5.6591140154286703E-5</v>
      </c>
      <c r="AV90" s="13">
        <f t="shared" si="58"/>
        <v>-5.1977980635812585E-5</v>
      </c>
      <c r="AW90" s="13">
        <f t="shared" si="58"/>
        <v>-4.583093094349267E-5</v>
      </c>
      <c r="AX90" s="13">
        <f t="shared" si="58"/>
        <v>-3.8338253875231341E-5</v>
      </c>
      <c r="AY90" s="13">
        <f t="shared" si="58"/>
        <v>-2.9737540919914993E-5</v>
      </c>
      <c r="AZ90" s="13">
        <f t="shared" si="58"/>
        <v>-2.0294746365127741E-5</v>
      </c>
      <c r="BA90" s="13">
        <f t="shared" si="58"/>
        <v>-1.0288298499028955E-5</v>
      </c>
      <c r="BB90" s="15">
        <v>0</v>
      </c>
      <c r="BF90" s="2">
        <f t="shared" si="12"/>
        <v>0.7</v>
      </c>
      <c r="BH90" s="3"/>
      <c r="BI90" s="13">
        <f t="shared" ca="1" si="35"/>
        <v>-5.6930822905671547E-4</v>
      </c>
      <c r="BJ90" s="13">
        <f t="shared" ca="1" si="36"/>
        <v>-5.4646768121062938E-4</v>
      </c>
      <c r="BK90" s="13">
        <f t="shared" ca="1" si="37"/>
        <v>-5.1138362221661506E-4</v>
      </c>
      <c r="BL90" s="13">
        <f t="shared" ca="1" si="38"/>
        <v>-4.6034407944099963E-4</v>
      </c>
      <c r="BM90" s="13">
        <f t="shared" ca="1" si="39"/>
        <v>-3.8669422740142249E-4</v>
      </c>
      <c r="BN90" s="13">
        <f t="shared" ca="1" si="40"/>
        <v>-2.8707234600222641E-4</v>
      </c>
      <c r="BO90" s="13">
        <f t="shared" ca="1" si="41"/>
        <v>-1.5863177484754797E-4</v>
      </c>
      <c r="BP90" s="13">
        <f t="shared" ca="1" si="42"/>
        <v>8.8274110908058838E-6</v>
      </c>
      <c r="BQ90" s="13">
        <f t="shared" ca="1" si="43"/>
        <v>2.2660270455787551E-4</v>
      </c>
      <c r="BR90" s="13">
        <f t="shared" ca="1" si="44"/>
        <v>4.8103817209901715E-4</v>
      </c>
      <c r="BS90" s="13">
        <f t="shared" ca="1" si="45"/>
        <v>7.1865589452954637E-4</v>
      </c>
      <c r="BT90" s="13">
        <f t="shared" ca="1" si="46"/>
        <v>8.8769424461465358E-4</v>
      </c>
      <c r="BU90" s="13">
        <f t="shared" ca="1" si="47"/>
        <v>9.6960359493009443E-4</v>
      </c>
      <c r="BV90" s="13">
        <f t="shared" ca="1" si="48"/>
        <v>9.5649818933483456E-4</v>
      </c>
      <c r="BW90" s="13">
        <f t="shared" ca="1" si="49"/>
        <v>8.4816961421382939E-4</v>
      </c>
      <c r="BX90" s="13">
        <f t="shared" ca="1" si="50"/>
        <v>6.8535308797973221E-4</v>
      </c>
      <c r="BY90" s="13">
        <f t="shared" ca="1" si="51"/>
        <v>5.351237042297936E-4</v>
      </c>
      <c r="BZ90" s="13">
        <f t="shared" ca="1" si="52"/>
        <v>4.3538873220257845E-4</v>
      </c>
      <c r="CA90" s="13">
        <f t="shared" ca="1" si="53"/>
        <v>3.8674752749601052E-4</v>
      </c>
      <c r="CB90" s="3"/>
    </row>
    <row r="91" spans="4:80" x14ac:dyDescent="0.25">
      <c r="D91" s="17"/>
      <c r="E91" s="2">
        <f t="shared" si="9"/>
        <v>0.6</v>
      </c>
      <c r="G91" s="12">
        <f t="shared" ca="1" si="13"/>
        <v>7.1918681112397524E-6</v>
      </c>
      <c r="H91" s="9">
        <v>0</v>
      </c>
      <c r="I91" s="8">
        <f t="shared" ca="1" si="14"/>
        <v>-7.1918681112397524E-6</v>
      </c>
      <c r="J91" s="8">
        <f t="shared" ca="1" si="15"/>
        <v>-1.4271591167729252E-5</v>
      </c>
      <c r="K91" s="8">
        <f t="shared" ca="1" si="16"/>
        <v>-2.1124619964406899E-5</v>
      </c>
      <c r="L91" s="8">
        <f t="shared" ca="1" si="17"/>
        <v>-2.7631754318990439E-5</v>
      </c>
      <c r="M91" s="8">
        <f t="shared" ca="1" si="18"/>
        <v>-3.3667252897407668E-5</v>
      </c>
      <c r="N91" s="8">
        <f t="shared" ca="1" si="19"/>
        <v>-3.9097591184365237E-5</v>
      </c>
      <c r="O91" s="8">
        <f t="shared" ca="1" si="20"/>
        <v>-4.3781317244432323E-5</v>
      </c>
      <c r="P91" s="8">
        <f t="shared" ca="1" si="21"/>
        <v>-4.7570696466001801E-5</v>
      </c>
      <c r="Q91" s="8">
        <f t="shared" ca="1" si="22"/>
        <v>-5.0316151274176566E-5</v>
      </c>
      <c r="R91" s="8">
        <f t="shared" ca="1" si="23"/>
        <v>-5.1874755597200529E-5</v>
      </c>
      <c r="S91" s="8">
        <f t="shared" ca="1" si="24"/>
        <v>-5.2123746828863335E-5</v>
      </c>
      <c r="T91" s="8">
        <f t="shared" ca="1" si="25"/>
        <v>-5.0978071823479116E-5</v>
      </c>
      <c r="U91" s="8">
        <f t="shared" ca="1" si="26"/>
        <v>-4.8406749749488565E-5</v>
      </c>
      <c r="V91" s="8">
        <f t="shared" ca="1" si="27"/>
        <v>-4.4442471570985581E-5</v>
      </c>
      <c r="W91" s="8">
        <f t="shared" ca="1" si="28"/>
        <v>-3.9182485177695686E-5</v>
      </c>
      <c r="X91" s="8">
        <f t="shared" ca="1" si="29"/>
        <v>-3.2780751213485387E-5</v>
      </c>
      <c r="Y91" s="8">
        <f t="shared" ca="1" si="30"/>
        <v>-2.5433283819632447E-5</v>
      </c>
      <c r="Z91" s="8">
        <f t="shared" ca="1" si="31"/>
        <v>-1.7362197875375869E-5</v>
      </c>
      <c r="AA91" s="8">
        <f t="shared" ca="1" si="32"/>
        <v>-8.8035801738011033E-6</v>
      </c>
      <c r="AB91" s="9">
        <v>0</v>
      </c>
      <c r="AC91" s="12">
        <f t="shared" ca="1" si="10"/>
        <v>8.8035801738011033E-6</v>
      </c>
      <c r="AF91" s="2">
        <f t="shared" si="11"/>
        <v>0.6</v>
      </c>
      <c r="AH91" s="15">
        <v>0</v>
      </c>
      <c r="AI91" s="13">
        <f t="shared" si="58"/>
        <v>-7.1967240183312438E-6</v>
      </c>
      <c r="AJ91" s="13">
        <f t="shared" si="58"/>
        <v>-1.4280741300709448E-5</v>
      </c>
      <c r="AK91" s="13">
        <f t="shared" si="58"/>
        <v>-2.1137238512474841E-5</v>
      </c>
      <c r="AL91" s="13">
        <f t="shared" si="58"/>
        <v>-2.7646454216902157E-5</v>
      </c>
      <c r="AM91" s="13">
        <f t="shared" si="58"/>
        <v>-3.3681643464204579E-5</v>
      </c>
      <c r="AN91" s="13">
        <f t="shared" si="58"/>
        <v>-3.9108553014843004E-5</v>
      </c>
      <c r="AO91" s="13">
        <f t="shared" si="58"/>
        <v>-4.3784919665279985E-5</v>
      </c>
      <c r="AP91" s="13">
        <f t="shared" si="58"/>
        <v>-4.7560931396344923E-5</v>
      </c>
      <c r="AQ91" s="13">
        <f t="shared" si="58"/>
        <v>-5.0285089612092849E-5</v>
      </c>
      <c r="AR91" s="13">
        <f t="shared" si="58"/>
        <v>-5.1816717599997273E-5</v>
      </c>
      <c r="AS91" s="13">
        <f t="shared" si="58"/>
        <v>-5.2040496186175484E-5</v>
      </c>
      <c r="AT91" s="13">
        <f t="shared" si="58"/>
        <v>-5.0879314704820829E-5</v>
      </c>
      <c r="AU91" s="13">
        <f t="shared" si="58"/>
        <v>-4.8306067391932246E-5</v>
      </c>
      <c r="AV91" s="13">
        <f t="shared" si="58"/>
        <v>-4.4353164104821902E-5</v>
      </c>
      <c r="AW91" s="13">
        <f t="shared" si="58"/>
        <v>-3.9114238606761037E-5</v>
      </c>
      <c r="AX91" s="13">
        <f t="shared" si="58"/>
        <v>-3.2736284843048975E-5</v>
      </c>
      <c r="AY91" s="13">
        <f t="shared" si="58"/>
        <v>-2.5407946187852342E-5</v>
      </c>
      <c r="AZ91" s="13">
        <f t="shared" si="58"/>
        <v>-1.7348684557910582E-5</v>
      </c>
      <c r="BA91" s="13">
        <f t="shared" si="58"/>
        <v>-8.7973501285818305E-6</v>
      </c>
      <c r="BB91" s="15">
        <v>0</v>
      </c>
      <c r="BF91" s="2">
        <f t="shared" si="12"/>
        <v>0.6</v>
      </c>
      <c r="BH91" s="3"/>
      <c r="BI91" s="13">
        <f t="shared" ca="1" si="35"/>
        <v>-6.747385448049141E-4</v>
      </c>
      <c r="BJ91" s="13">
        <f t="shared" ca="1" si="36"/>
        <v>-6.407323532807022E-4</v>
      </c>
      <c r="BK91" s="13">
        <f t="shared" ca="1" si="37"/>
        <v>-5.9698186499123685E-4</v>
      </c>
      <c r="BL91" s="13">
        <f t="shared" ca="1" si="38"/>
        <v>-5.3171006293932825E-4</v>
      </c>
      <c r="BM91" s="13">
        <f t="shared" ca="1" si="39"/>
        <v>-4.2725251255050115E-4</v>
      </c>
      <c r="BN91" s="13">
        <f t="shared" ca="1" si="40"/>
        <v>-2.8029240748452726E-4</v>
      </c>
      <c r="BO91" s="13">
        <f t="shared" ca="1" si="41"/>
        <v>-8.2275378719469258E-5</v>
      </c>
      <c r="BP91" s="13">
        <f t="shared" ca="1" si="42"/>
        <v>2.0531704006176041E-4</v>
      </c>
      <c r="BQ91" s="13">
        <f t="shared" ca="1" si="43"/>
        <v>6.1771118085562882E-4</v>
      </c>
      <c r="BR91" s="13">
        <f t="shared" ca="1" si="44"/>
        <v>1.1200631744234329E-3</v>
      </c>
      <c r="BS91" s="13">
        <f t="shared" ca="1" si="45"/>
        <v>1.5997280731148442E-3</v>
      </c>
      <c r="BT91" s="13">
        <f t="shared" ca="1" si="46"/>
        <v>1.9410072488442755E-3</v>
      </c>
      <c r="BU91" s="13">
        <f t="shared" ca="1" si="47"/>
        <v>2.0842590380920518E-3</v>
      </c>
      <c r="BV91" s="13">
        <f t="shared" ca="1" si="48"/>
        <v>2.0135534401247049E-3</v>
      </c>
      <c r="BW91" s="13">
        <f t="shared" ca="1" si="49"/>
        <v>1.7448012121819279E-3</v>
      </c>
      <c r="BX91" s="13">
        <f t="shared" ca="1" si="50"/>
        <v>1.358320611199513E-3</v>
      </c>
      <c r="BY91" s="13">
        <f t="shared" ca="1" si="51"/>
        <v>9.9723258199514611E-4</v>
      </c>
      <c r="BZ91" s="13">
        <f t="shared" ca="1" si="52"/>
        <v>7.7892461645601748E-4</v>
      </c>
      <c r="CA91" s="13">
        <f t="shared" ca="1" si="53"/>
        <v>7.0817293028180056E-4</v>
      </c>
      <c r="CB91" s="3"/>
    </row>
    <row r="92" spans="4:80" x14ac:dyDescent="0.25">
      <c r="D92" s="17"/>
      <c r="E92" s="2">
        <f t="shared" si="9"/>
        <v>0.5</v>
      </c>
      <c r="G92" s="12">
        <f t="shared" ca="1" si="13"/>
        <v>6.0417988572409054E-6</v>
      </c>
      <c r="H92" s="9">
        <v>0</v>
      </c>
      <c r="I92" s="8">
        <f t="shared" ca="1" si="14"/>
        <v>-6.0417988572409054E-6</v>
      </c>
      <c r="J92" s="8">
        <f t="shared" ca="1" si="15"/>
        <v>-1.1986006977687247E-5</v>
      </c>
      <c r="K92" s="8">
        <f t="shared" ca="1" si="16"/>
        <v>-1.7733140574010028E-5</v>
      </c>
      <c r="L92" s="8">
        <f t="shared" ca="1" si="17"/>
        <v>-2.3180109289134022E-5</v>
      </c>
      <c r="M92" s="8">
        <f t="shared" ca="1" si="18"/>
        <v>-2.8218898056707314E-5</v>
      </c>
      <c r="N92" s="8">
        <f t="shared" ca="1" si="19"/>
        <v>-3.2735934812746455E-5</v>
      </c>
      <c r="O92" s="8">
        <f t="shared" ca="1" si="20"/>
        <v>-3.6612547813046398E-5</v>
      </c>
      <c r="P92" s="8">
        <f t="shared" ca="1" si="21"/>
        <v>-3.9727055914376063E-5</v>
      </c>
      <c r="Q92" s="8">
        <f t="shared" ca="1" si="22"/>
        <v>-4.1959149266295236E-5</v>
      </c>
      <c r="R92" s="8">
        <f t="shared" ca="1" si="23"/>
        <v>-4.3197164082838157E-5</v>
      </c>
      <c r="S92" s="8">
        <f t="shared" ca="1" si="24"/>
        <v>-4.3348347591252722E-5</v>
      </c>
      <c r="T92" s="8">
        <f t="shared" ca="1" si="25"/>
        <v>-4.2350919543200345E-5</v>
      </c>
      <c r="U92" s="8">
        <f t="shared" ca="1" si="26"/>
        <v>-4.0184969009278098E-5</v>
      </c>
      <c r="V92" s="8">
        <f t="shared" ca="1" si="27"/>
        <v>-3.6879058370376888E-5</v>
      </c>
      <c r="W92" s="8">
        <f t="shared" ca="1" si="28"/>
        <v>-3.2510973073970581E-5</v>
      </c>
      <c r="X92" s="8">
        <f t="shared" ca="1" si="29"/>
        <v>-2.7202595523061109E-5</v>
      </c>
      <c r="Y92" s="8">
        <f t="shared" ca="1" si="30"/>
        <v>-2.1110414142842354E-5</v>
      </c>
      <c r="Z92" s="8">
        <f t="shared" ca="1" si="31"/>
        <v>-1.4414722979112139E-5</v>
      </c>
      <c r="AA92" s="8">
        <f t="shared" ca="1" si="32"/>
        <v>-7.3103598584950283E-6</v>
      </c>
      <c r="AB92" s="9">
        <v>0</v>
      </c>
      <c r="AC92" s="12">
        <f t="shared" ca="1" si="10"/>
        <v>7.3103598584950283E-6</v>
      </c>
      <c r="AF92" s="2">
        <f t="shared" si="11"/>
        <v>0.5</v>
      </c>
      <c r="AH92" s="15">
        <v>0</v>
      </c>
      <c r="AI92" s="13">
        <f t="shared" si="58"/>
        <v>-6.0463852294114275E-6</v>
      </c>
      <c r="AJ92" s="13">
        <f t="shared" si="58"/>
        <v>-1.1994637342681378E-5</v>
      </c>
      <c r="AK92" s="13">
        <f t="shared" si="58"/>
        <v>-1.7744976914554837E-5</v>
      </c>
      <c r="AL92" s="13">
        <f t="shared" si="58"/>
        <v>-2.3193745645907591E-5</v>
      </c>
      <c r="AM92" s="13">
        <f t="shared" si="58"/>
        <v>-2.823197221435052E-5</v>
      </c>
      <c r="AN92" s="13">
        <f t="shared" si="58"/>
        <v>-3.2745355706662996E-5</v>
      </c>
      <c r="AO92" s="13">
        <f t="shared" si="58"/>
        <v>-3.6614395180508446E-5</v>
      </c>
      <c r="AP92" s="13">
        <f t="shared" si="58"/>
        <v>-3.9715528230780712E-5</v>
      </c>
      <c r="AQ92" s="13">
        <f t="shared" si="58"/>
        <v>-4.192691437364097E-5</v>
      </c>
      <c r="AR92" s="13">
        <f t="shared" si="58"/>
        <v>-4.3139202777513789E-5</v>
      </c>
      <c r="AS92" s="13">
        <f t="shared" si="58"/>
        <v>-4.3266481513854256E-5</v>
      </c>
      <c r="AT92" s="13">
        <f t="shared" si="58"/>
        <v>-4.2254291646430658E-5</v>
      </c>
      <c r="AU92" s="13">
        <f t="shared" si="58"/>
        <v>-4.0086489567000263E-5</v>
      </c>
      <c r="AV92" s="13">
        <f t="shared" si="58"/>
        <v>-3.6791395618937194E-5</v>
      </c>
      <c r="AW92" s="13">
        <f t="shared" si="58"/>
        <v>-3.2443281534421726E-5</v>
      </c>
      <c r="AX92" s="13">
        <f t="shared" si="58"/>
        <v>-2.715760221817871E-5</v>
      </c>
      <c r="AY92" s="13">
        <f t="shared" si="58"/>
        <v>-2.1084095863612706E-5</v>
      </c>
      <c r="AZ92" s="13">
        <f t="shared" si="58"/>
        <v>-1.4400425320897392E-5</v>
      </c>
      <c r="BA92" s="13">
        <f t="shared" si="58"/>
        <v>-7.3037690296216396E-6</v>
      </c>
      <c r="BB92" s="15">
        <v>0</v>
      </c>
      <c r="BF92" s="2">
        <f t="shared" si="12"/>
        <v>0.5</v>
      </c>
      <c r="BH92" s="3"/>
      <c r="BI92" s="13">
        <f t="shared" ca="1" si="35"/>
        <v>-7.5853125404790338E-4</v>
      </c>
      <c r="BJ92" s="13">
        <f t="shared" ca="1" si="36"/>
        <v>-7.1951862716357524E-4</v>
      </c>
      <c r="BK92" s="13">
        <f t="shared" ca="1" si="37"/>
        <v>-6.6702484887997716E-4</v>
      </c>
      <c r="BL92" s="13">
        <f t="shared" ca="1" si="38"/>
        <v>-5.8793249618888045E-4</v>
      </c>
      <c r="BM92" s="13">
        <f t="shared" ca="1" si="39"/>
        <v>-4.6309756696915174E-4</v>
      </c>
      <c r="BN92" s="13">
        <f t="shared" ca="1" si="40"/>
        <v>-2.8770168206247628E-4</v>
      </c>
      <c r="BO92" s="13">
        <f t="shared" ca="1" si="41"/>
        <v>-5.0454676444623055E-5</v>
      </c>
      <c r="BP92" s="13">
        <f t="shared" ca="1" si="42"/>
        <v>2.9025633319956442E-4</v>
      </c>
      <c r="BQ92" s="13">
        <f t="shared" ca="1" si="43"/>
        <v>7.6883532060093669E-4</v>
      </c>
      <c r="BR92" s="13">
        <f t="shared" ca="1" si="44"/>
        <v>1.3435877715055947E-3</v>
      </c>
      <c r="BS92" s="13">
        <f t="shared" ca="1" si="45"/>
        <v>1.8921362341944041E-3</v>
      </c>
      <c r="BT92" s="13">
        <f t="shared" ca="1" si="46"/>
        <v>2.2868185219678122E-3</v>
      </c>
      <c r="BU92" s="13">
        <f t="shared" ca="1" si="47"/>
        <v>2.4566741398804005E-3</v>
      </c>
      <c r="BV92" s="13">
        <f t="shared" ca="1" si="48"/>
        <v>2.3826970943872667E-3</v>
      </c>
      <c r="BW92" s="13">
        <f t="shared" ca="1" si="49"/>
        <v>2.0864578534398859E-3</v>
      </c>
      <c r="BX92" s="13">
        <f t="shared" ca="1" si="50"/>
        <v>1.6567480634310718E-3</v>
      </c>
      <c r="BY92" s="13">
        <f t="shared" ca="1" si="51"/>
        <v>1.2482526829651229E-3</v>
      </c>
      <c r="BZ92" s="13">
        <f t="shared" ca="1" si="52"/>
        <v>9.9286360618800157E-4</v>
      </c>
      <c r="CA92" s="13">
        <f t="shared" ca="1" si="53"/>
        <v>9.0238736283396192E-4</v>
      </c>
      <c r="CB92" s="3"/>
    </row>
    <row r="93" spans="4:80" x14ac:dyDescent="0.25">
      <c r="D93" s="17"/>
      <c r="E93" s="2">
        <f t="shared" si="9"/>
        <v>0.4</v>
      </c>
      <c r="G93" s="12">
        <f t="shared" ca="1" si="13"/>
        <v>4.8616294813197345E-6</v>
      </c>
      <c r="H93" s="9">
        <v>0</v>
      </c>
      <c r="I93" s="8">
        <f t="shared" ca="1" si="14"/>
        <v>-4.8616294813197345E-6</v>
      </c>
      <c r="J93" s="8">
        <f t="shared" ca="1" si="15"/>
        <v>-9.6424063611544902E-6</v>
      </c>
      <c r="K93" s="8">
        <f t="shared" ca="1" si="16"/>
        <v>-1.4260065886440122E-5</v>
      </c>
      <c r="L93" s="8">
        <f t="shared" ca="1" si="17"/>
        <v>-1.8629695459729648E-5</v>
      </c>
      <c r="M93" s="8">
        <f t="shared" ca="1" si="18"/>
        <v>-2.266287879869876E-5</v>
      </c>
      <c r="N93" s="8">
        <f t="shared" ca="1" si="19"/>
        <v>-2.6267474842221557E-5</v>
      </c>
      <c r="O93" s="8">
        <f t="shared" ca="1" si="20"/>
        <v>-2.9348353894026071E-5</v>
      </c>
      <c r="P93" s="8">
        <f t="shared" ca="1" si="21"/>
        <v>-3.1809473908449775E-5</v>
      </c>
      <c r="Q93" s="8">
        <f t="shared" ca="1" si="22"/>
        <v>-3.3557680443471714E-5</v>
      </c>
      <c r="R93" s="8">
        <f t="shared" ca="1" si="23"/>
        <v>-3.450845819302889E-5</v>
      </c>
      <c r="S93" s="8">
        <f t="shared" ca="1" si="24"/>
        <v>-3.4593423784971171E-5</v>
      </c>
      <c r="T93" s="8">
        <f t="shared" ca="1" si="25"/>
        <v>-3.3768584452661695E-5</v>
      </c>
      <c r="U93" s="8">
        <f t="shared" ca="1" si="26"/>
        <v>-3.2021599519447321E-5</v>
      </c>
      <c r="V93" s="8">
        <f t="shared" ca="1" si="27"/>
        <v>-2.9376231133125498E-5</v>
      </c>
      <c r="W93" s="8">
        <f t="shared" ca="1" si="28"/>
        <v>-2.5892947512865774E-5</v>
      </c>
      <c r="X93" s="8">
        <f t="shared" ca="1" si="29"/>
        <v>-2.1665654280687063E-5</v>
      </c>
      <c r="Y93" s="8">
        <f t="shared" ca="1" si="30"/>
        <v>-1.681553523491663E-5</v>
      </c>
      <c r="Z93" s="8">
        <f t="shared" ca="1" si="31"/>
        <v>-1.1483740628421649E-5</v>
      </c>
      <c r="AA93" s="8">
        <f t="shared" ca="1" si="32"/>
        <v>-5.8245753528726519E-6</v>
      </c>
      <c r="AB93" s="9">
        <v>0</v>
      </c>
      <c r="AC93" s="12">
        <f t="shared" ca="1" si="10"/>
        <v>5.8245753528726519E-6</v>
      </c>
      <c r="AF93" s="2">
        <f t="shared" si="11"/>
        <v>0.4</v>
      </c>
      <c r="AH93" s="15">
        <v>0</v>
      </c>
      <c r="AI93" s="13">
        <f t="shared" si="58"/>
        <v>-4.8656379416452883E-6</v>
      </c>
      <c r="AJ93" s="13">
        <f t="shared" si="58"/>
        <v>-9.6500109795413668E-6</v>
      </c>
      <c r="AK93" s="13">
        <f t="shared" si="58"/>
        <v>-1.4270487398171299E-5</v>
      </c>
      <c r="AL93" s="13">
        <f t="shared" si="58"/>
        <v>-1.8641703770241943E-5</v>
      </c>
      <c r="AM93" s="13">
        <f t="shared" si="58"/>
        <v>-2.2674690802715432E-5</v>
      </c>
      <c r="AN93" s="13">
        <f t="shared" si="58"/>
        <v>-2.6276822291106683E-5</v>
      </c>
      <c r="AO93" s="13">
        <f t="shared" si="58"/>
        <v>-2.9352525058557298E-5</v>
      </c>
      <c r="AP93" s="13">
        <f t="shared" si="58"/>
        <v>-3.1805257741734955E-5</v>
      </c>
      <c r="AQ93" s="13">
        <f t="shared" si="58"/>
        <v>-3.3541856842432485E-5</v>
      </c>
      <c r="AR93" s="13">
        <f t="shared" si="58"/>
        <v>-3.4479271192977756E-5</v>
      </c>
      <c r="AS93" s="13">
        <f t="shared" si="58"/>
        <v>-3.4552094825625458E-5</v>
      </c>
      <c r="AT93" s="13">
        <f t="shared" si="58"/>
        <v>-3.3719435092844721E-5</v>
      </c>
      <c r="AU93" s="13">
        <f t="shared" si="58"/>
        <v>-3.1970710318200269E-5</v>
      </c>
      <c r="AV93" s="13">
        <f t="shared" si="58"/>
        <v>-2.9329684678347092E-5</v>
      </c>
      <c r="AW93" s="13">
        <f t="shared" si="58"/>
        <v>-2.5855258820429914E-5</v>
      </c>
      <c r="AX93" s="13">
        <f t="shared" si="58"/>
        <v>-2.163860426473302E-5</v>
      </c>
      <c r="AY93" s="13">
        <f t="shared" si="58"/>
        <v>-1.6798124413271105E-5</v>
      </c>
      <c r="AZ93" s="13">
        <f t="shared" si="58"/>
        <v>-1.1473640086107946E-5</v>
      </c>
      <c r="BA93" s="13">
        <f t="shared" si="58"/>
        <v>-5.8199140320889648E-6</v>
      </c>
      <c r="BB93" s="15">
        <v>0</v>
      </c>
      <c r="BF93" s="2">
        <f t="shared" si="12"/>
        <v>0.4</v>
      </c>
      <c r="BH93" s="3"/>
      <c r="BI93" s="13">
        <f t="shared" ca="1" si="35"/>
        <v>-8.2383037406978936E-4</v>
      </c>
      <c r="BJ93" s="13">
        <f t="shared" ca="1" si="36"/>
        <v>-7.8804245953696954E-4</v>
      </c>
      <c r="BK93" s="13">
        <f t="shared" ca="1" si="37"/>
        <v>-7.3028421807882094E-4</v>
      </c>
      <c r="BL93" s="13">
        <f t="shared" ca="1" si="38"/>
        <v>-6.4416378783273146E-4</v>
      </c>
      <c r="BM93" s="13">
        <f t="shared" ca="1" si="39"/>
        <v>-5.2093341071085195E-4</v>
      </c>
      <c r="BN93" s="13">
        <f t="shared" ca="1" si="40"/>
        <v>-3.5572980558952759E-4</v>
      </c>
      <c r="BO93" s="13">
        <f t="shared" ca="1" si="41"/>
        <v>-1.421058162085014E-4</v>
      </c>
      <c r="BP93" s="13">
        <f t="shared" ca="1" si="42"/>
        <v>1.3256194145810704E-4</v>
      </c>
      <c r="BQ93" s="13">
        <f t="shared" ca="1" si="43"/>
        <v>4.7175685930452932E-4</v>
      </c>
      <c r="BR93" s="13">
        <f t="shared" ca="1" si="44"/>
        <v>8.4650861347321206E-4</v>
      </c>
      <c r="BS93" s="13">
        <f t="shared" ca="1" si="45"/>
        <v>1.1961346932592371E-3</v>
      </c>
      <c r="BT93" s="13">
        <f t="shared" ca="1" si="46"/>
        <v>1.4575973672644076E-3</v>
      </c>
      <c r="BU93" s="13">
        <f t="shared" ca="1" si="47"/>
        <v>1.5917444667496842E-3</v>
      </c>
      <c r="BV93" s="13">
        <f t="shared" ca="1" si="48"/>
        <v>1.5870083599217593E-3</v>
      </c>
      <c r="BW93" s="13">
        <f t="shared" ca="1" si="49"/>
        <v>1.4576799519825238E-3</v>
      </c>
      <c r="BX93" s="13">
        <f t="shared" ca="1" si="50"/>
        <v>1.2500813649117867E-3</v>
      </c>
      <c r="BY93" s="13">
        <f t="shared" ca="1" si="51"/>
        <v>1.0364741453974301E-3</v>
      </c>
      <c r="BZ93" s="13">
        <f t="shared" ca="1" si="52"/>
        <v>8.8032588070572563E-4</v>
      </c>
      <c r="CA93" s="13">
        <f t="shared" ca="1" si="53"/>
        <v>8.0092605457508315E-4</v>
      </c>
      <c r="CB93" s="3"/>
    </row>
    <row r="94" spans="4:80" x14ac:dyDescent="0.25">
      <c r="D94" s="17"/>
      <c r="E94" s="2">
        <f t="shared" si="9"/>
        <v>0.30000000000000004</v>
      </c>
      <c r="G94" s="12">
        <f t="shared" ca="1" si="13"/>
        <v>3.6609148434496171E-6</v>
      </c>
      <c r="H94" s="9">
        <v>0</v>
      </c>
      <c r="I94" s="8">
        <f t="shared" ca="1" si="14"/>
        <v>-3.6609148434496171E-6</v>
      </c>
      <c r="J94" s="8">
        <f t="shared" ca="1" si="15"/>
        <v>-7.2595447185430797E-6</v>
      </c>
      <c r="K94" s="8">
        <f t="shared" ca="1" si="16"/>
        <v>-1.0732620290517338E-5</v>
      </c>
      <c r="L94" s="8">
        <f t="shared" ca="1" si="17"/>
        <v>-1.401505464873259E-5</v>
      </c>
      <c r="M94" s="8">
        <f t="shared" ca="1" si="18"/>
        <v>-1.7039429816585383E-5</v>
      </c>
      <c r="N94" s="8">
        <f t="shared" ca="1" si="19"/>
        <v>-1.9736002274149973E-5</v>
      </c>
      <c r="O94" s="8">
        <f t="shared" ca="1" si="20"/>
        <v>-2.2033460160882188E-5</v>
      </c>
      <c r="P94" s="8">
        <f t="shared" ca="1" si="21"/>
        <v>-2.3860678799442198E-5</v>
      </c>
      <c r="Q94" s="8">
        <f t="shared" ca="1" si="22"/>
        <v>-2.5149677352364613E-5</v>
      </c>
      <c r="R94" s="8">
        <f t="shared" ca="1" si="23"/>
        <v>-2.5839824764297786E-5</v>
      </c>
      <c r="S94" s="8">
        <f t="shared" ca="1" si="24"/>
        <v>-2.5883034149776054E-5</v>
      </c>
      <c r="T94" s="8">
        <f t="shared" ca="1" si="25"/>
        <v>-2.5249252550880973E-5</v>
      </c>
      <c r="U94" s="8">
        <f t="shared" ca="1" si="26"/>
        <v>-2.3931187521594297E-5</v>
      </c>
      <c r="V94" s="8">
        <f t="shared" ca="1" si="27"/>
        <v>-2.1947214425908139E-5</v>
      </c>
      <c r="W94" s="8">
        <f t="shared" ca="1" si="28"/>
        <v>-1.9341828297386334E-5</v>
      </c>
      <c r="X94" s="8">
        <f t="shared" ca="1" si="29"/>
        <v>-1.6183617271038344E-5</v>
      </c>
      <c r="Y94" s="8">
        <f t="shared" ca="1" si="30"/>
        <v>-1.2561342485559197E-5</v>
      </c>
      <c r="Z94" s="8">
        <f t="shared" ca="1" si="31"/>
        <v>-8.5791133043115952E-6</v>
      </c>
      <c r="AA94" s="8">
        <f t="shared" ca="1" si="32"/>
        <v>-4.3516221114086293E-6</v>
      </c>
      <c r="AB94" s="9">
        <v>0</v>
      </c>
      <c r="AC94" s="12">
        <f t="shared" ca="1" si="10"/>
        <v>4.3516221114086293E-6</v>
      </c>
      <c r="AF94" s="2">
        <f t="shared" si="11"/>
        <v>0.30000000000000004</v>
      </c>
      <c r="AH94" s="15">
        <v>0</v>
      </c>
      <c r="AI94" s="13">
        <f t="shared" si="58"/>
        <v>-3.6641179668533191E-6</v>
      </c>
      <c r="AJ94" s="13">
        <f t="shared" si="58"/>
        <v>-7.2657124301542093E-6</v>
      </c>
      <c r="AK94" s="13">
        <f t="shared" si="58"/>
        <v>-1.0741114899325791E-5</v>
      </c>
      <c r="AL94" s="13">
        <f t="shared" si="58"/>
        <v>-1.4024968681561767E-5</v>
      </c>
      <c r="AM94" s="13">
        <f t="shared" si="58"/>
        <v>-1.7049800579820416E-5</v>
      </c>
      <c r="AN94" s="13">
        <f t="shared" si="58"/>
        <v>-1.9745729374563196E-5</v>
      </c>
      <c r="AO94" s="13">
        <f t="shared" si="58"/>
        <v>-2.2041523708435448E-5</v>
      </c>
      <c r="AP94" s="13">
        <f t="shared" si="58"/>
        <v>-2.3867117578389662E-5</v>
      </c>
      <c r="AQ94" s="13">
        <f t="shared" si="58"/>
        <v>-2.5156083159329271E-5</v>
      </c>
      <c r="AR94" s="13">
        <f t="shared" si="58"/>
        <v>-2.5848081322990141E-5</v>
      </c>
      <c r="AS94" s="13">
        <f t="shared" si="58"/>
        <v>-2.589347795897575E-5</v>
      </c>
      <c r="AT94" s="13">
        <f t="shared" si="58"/>
        <v>-2.5260377920508705E-5</v>
      </c>
      <c r="AU94" s="13">
        <f t="shared" si="58"/>
        <v>-2.3940789328501572E-5</v>
      </c>
      <c r="AV94" s="13">
        <f t="shared" si="58"/>
        <v>-2.1953346644771977E-5</v>
      </c>
      <c r="AW94" s="13">
        <f t="shared" si="58"/>
        <v>-1.934335406709517E-5</v>
      </c>
      <c r="AX94" s="13">
        <f t="shared" si="58"/>
        <v>-1.6181021146687449E-5</v>
      </c>
      <c r="AY94" s="13">
        <f t="shared" si="58"/>
        <v>-1.2556946912144176E-5</v>
      </c>
      <c r="AZ94" s="13">
        <f t="shared" si="58"/>
        <v>-8.5755391650255126E-6</v>
      </c>
      <c r="BA94" s="13">
        <f t="shared" si="58"/>
        <v>-4.3499479614167227E-6</v>
      </c>
      <c r="BB94" s="15">
        <v>0</v>
      </c>
      <c r="BF94" s="2">
        <f t="shared" si="12"/>
        <v>0.30000000000000004</v>
      </c>
      <c r="BH94" s="3"/>
      <c r="BI94" s="13">
        <f t="shared" ca="1" si="35"/>
        <v>-8.741867572710435E-4</v>
      </c>
      <c r="BJ94" s="13">
        <f t="shared" ca="1" si="36"/>
        <v>-8.4887912512642872E-4</v>
      </c>
      <c r="BK94" s="13">
        <f t="shared" ca="1" si="37"/>
        <v>-7.9084982220851779E-4</v>
      </c>
      <c r="BL94" s="13">
        <f t="shared" ca="1" si="38"/>
        <v>-7.0688448967525734E-4</v>
      </c>
      <c r="BM94" s="13">
        <f t="shared" ca="1" si="39"/>
        <v>-6.0826302257795117E-4</v>
      </c>
      <c r="BN94" s="13">
        <f t="shared" ca="1" si="40"/>
        <v>-4.9261793417232152E-4</v>
      </c>
      <c r="BO94" s="13">
        <f t="shared" ca="1" si="41"/>
        <v>-3.6583439783587882E-4</v>
      </c>
      <c r="BP94" s="13">
        <f t="shared" ca="1" si="42"/>
        <v>-2.6977614394853576E-4</v>
      </c>
      <c r="BQ94" s="13">
        <f t="shared" ca="1" si="43"/>
        <v>-2.5464246258392474E-4</v>
      </c>
      <c r="BR94" s="13">
        <f t="shared" ca="1" si="44"/>
        <v>-3.1942636628164335E-4</v>
      </c>
      <c r="BS94" s="13">
        <f t="shared" ca="1" si="45"/>
        <v>-4.0333744336091827E-4</v>
      </c>
      <c r="BT94" s="13">
        <f t="shared" ca="1" si="46"/>
        <v>-4.4042767937763403E-4</v>
      </c>
      <c r="BU94" s="13">
        <f t="shared" ca="1" si="47"/>
        <v>-4.0106475920760512E-4</v>
      </c>
      <c r="BV94" s="13">
        <f t="shared" ca="1" si="48"/>
        <v>-2.7932956933917014E-4</v>
      </c>
      <c r="BW94" s="13">
        <f t="shared" ca="1" si="49"/>
        <v>-7.8878239189721685E-5</v>
      </c>
      <c r="BX94" s="13">
        <f t="shared" ca="1" si="50"/>
        <v>1.6044255349281623E-4</v>
      </c>
      <c r="BY94" s="13">
        <f t="shared" ca="1" si="51"/>
        <v>3.5005112674084095E-4</v>
      </c>
      <c r="BZ94" s="13">
        <f t="shared" ca="1" si="52"/>
        <v>4.1678304037830638E-4</v>
      </c>
      <c r="CA94" s="13">
        <f t="shared" ca="1" si="53"/>
        <v>3.8486667122364951E-4</v>
      </c>
      <c r="CB94" s="3"/>
    </row>
    <row r="95" spans="4:80" x14ac:dyDescent="0.25">
      <c r="D95" s="17"/>
      <c r="E95" s="2">
        <f t="shared" si="9"/>
        <v>0.2</v>
      </c>
      <c r="G95" s="12">
        <f t="shared" ca="1" si="13"/>
        <v>2.4469629595446168E-6</v>
      </c>
      <c r="H95" s="9">
        <v>0</v>
      </c>
      <c r="I95" s="8">
        <f t="shared" ca="1" si="14"/>
        <v>-2.4469629595446168E-6</v>
      </c>
      <c r="J95" s="8">
        <f t="shared" ca="1" si="15"/>
        <v>-4.8516135309370006E-6</v>
      </c>
      <c r="K95" s="8">
        <f t="shared" ca="1" si="16"/>
        <v>-7.1710242418703405E-6</v>
      </c>
      <c r="L95" s="8">
        <f t="shared" ca="1" si="17"/>
        <v>-9.3611467914443197E-6</v>
      </c>
      <c r="M95" s="8">
        <f t="shared" ca="1" si="18"/>
        <v>-1.1376534700576128E-5</v>
      </c>
      <c r="N95" s="8">
        <f t="shared" ca="1" si="19"/>
        <v>-1.3170429145551729E-5</v>
      </c>
      <c r="O95" s="8">
        <f t="shared" ca="1" si="20"/>
        <v>-1.4695355828245743E-5</v>
      </c>
      <c r="P95" s="8">
        <f t="shared" ca="1" si="21"/>
        <v>-1.590437555510369E-5</v>
      </c>
      <c r="Q95" s="8">
        <f t="shared" ca="1" si="22"/>
        <v>-1.6753084816591701E-5</v>
      </c>
      <c r="R95" s="8">
        <f t="shared" ca="1" si="23"/>
        <v>-1.7202350066363503E-5</v>
      </c>
      <c r="S95" s="8">
        <f t="shared" ca="1" si="24"/>
        <v>-1.7221570720114482E-5</v>
      </c>
      <c r="T95" s="8">
        <f t="shared" ca="1" si="25"/>
        <v>-1.679203644132877E-5</v>
      </c>
      <c r="U95" s="8">
        <f t="shared" ca="1" si="26"/>
        <v>-1.5909775716271958E-5</v>
      </c>
      <c r="V95" s="8">
        <f t="shared" ca="1" si="27"/>
        <v>-1.4587309857482042E-5</v>
      </c>
      <c r="W95" s="8">
        <f t="shared" ca="1" si="28"/>
        <v>-1.285395291121173E-5</v>
      </c>
      <c r="X95" s="8">
        <f t="shared" ca="1" si="29"/>
        <v>-1.0754639746764121E-5</v>
      </c>
      <c r="Y95" s="8">
        <f t="shared" ca="1" si="30"/>
        <v>-8.3476027613322814E-6</v>
      </c>
      <c r="Z95" s="8">
        <f t="shared" ca="1" si="31"/>
        <v>-5.7014330485978085E-6</v>
      </c>
      <c r="AA95" s="8">
        <f t="shared" ca="1" si="32"/>
        <v>-2.8920611064568794E-6</v>
      </c>
      <c r="AB95" s="9">
        <v>0</v>
      </c>
      <c r="AC95" s="12">
        <f t="shared" ca="1" si="10"/>
        <v>2.8920611064568794E-6</v>
      </c>
      <c r="AF95" s="2">
        <f t="shared" si="11"/>
        <v>0.2</v>
      </c>
      <c r="AH95" s="15">
        <v>0</v>
      </c>
      <c r="AI95" s="13">
        <f t="shared" si="58"/>
        <v>-2.4491948633430436E-6</v>
      </c>
      <c r="AJ95" s="13">
        <f t="shared" si="58"/>
        <v>-4.8559824540072936E-6</v>
      </c>
      <c r="AK95" s="13">
        <f t="shared" si="58"/>
        <v>-7.1770900856598884E-6</v>
      </c>
      <c r="AL95" s="13">
        <f t="shared" si="58"/>
        <v>-9.3683590344630511E-6</v>
      </c>
      <c r="AM95" s="13">
        <f t="shared" si="58"/>
        <v>-1.1384598939566176E-5</v>
      </c>
      <c r="AN95" s="13">
        <f t="shared" si="58"/>
        <v>-1.3179159348805627E-5</v>
      </c>
      <c r="AO95" s="13">
        <f t="shared" si="58"/>
        <v>-1.4704966998857931E-5</v>
      </c>
      <c r="AP95" s="13">
        <f t="shared" si="58"/>
        <v>-1.5916891247918401E-5</v>
      </c>
      <c r="AQ95" s="13">
        <f t="shared" si="58"/>
        <v>-1.6772716931112273E-5</v>
      </c>
      <c r="AR95" s="13">
        <f t="shared" si="58"/>
        <v>-1.7232813505221069E-5</v>
      </c>
      <c r="AS95" s="13">
        <f t="shared" si="58"/>
        <v>-1.7262570141525234E-5</v>
      </c>
      <c r="AT95" s="13">
        <f t="shared" si="58"/>
        <v>-1.6838768930930708E-5</v>
      </c>
      <c r="AU95" s="13">
        <f t="shared" si="58"/>
        <v>-1.5955355799244748E-5</v>
      </c>
      <c r="AV95" s="13">
        <f t="shared" si="58"/>
        <v>-1.4625216712625995E-5</v>
      </c>
      <c r="AW95" s="13">
        <f t="shared" si="58"/>
        <v>-1.2879791571341267E-5</v>
      </c>
      <c r="AX95" s="13">
        <f t="shared" si="58"/>
        <v>-1.0767997532198134E-5</v>
      </c>
      <c r="AY95" s="13">
        <f t="shared" si="58"/>
        <v>-8.3523715830014702E-6</v>
      </c>
      <c r="AZ95" s="13">
        <f t="shared" si="58"/>
        <v>-5.7027528339743794E-6</v>
      </c>
      <c r="BA95" s="13">
        <f t="shared" si="58"/>
        <v>-2.8926292076707411E-6</v>
      </c>
      <c r="BB95" s="15">
        <v>0</v>
      </c>
      <c r="BF95" s="2">
        <f t="shared" si="12"/>
        <v>0.2</v>
      </c>
      <c r="BH95" s="3"/>
      <c r="BI95" s="13">
        <f t="shared" ca="1" si="35"/>
        <v>-9.1128061381784604E-4</v>
      </c>
      <c r="BJ95" s="13">
        <f t="shared" ca="1" si="36"/>
        <v>-8.9969910552039267E-4</v>
      </c>
      <c r="BK95" s="13">
        <f t="shared" ca="1" si="37"/>
        <v>-8.4516757030369421E-4</v>
      </c>
      <c r="BL95" s="13">
        <f t="shared" ca="1" si="38"/>
        <v>-7.6985126127212123E-4</v>
      </c>
      <c r="BM95" s="13">
        <f t="shared" ca="1" si="39"/>
        <v>-7.0834633989802043E-4</v>
      </c>
      <c r="BN95" s="13">
        <f t="shared" ca="1" si="40"/>
        <v>-6.6242489546112842E-4</v>
      </c>
      <c r="BO95" s="13">
        <f t="shared" ca="1" si="41"/>
        <v>-6.5360028437561003E-4</v>
      </c>
      <c r="BP95" s="13">
        <f t="shared" ca="1" si="42"/>
        <v>-7.8631515537602324E-4</v>
      </c>
      <c r="BQ95" s="13">
        <f t="shared" ca="1" si="43"/>
        <v>-1.1704790941863331E-3</v>
      </c>
      <c r="BR95" s="13">
        <f t="shared" ca="1" si="44"/>
        <v>-1.767757705283397E-3</v>
      </c>
      <c r="BS95" s="13">
        <f t="shared" ca="1" si="45"/>
        <v>-2.3750473466362778E-3</v>
      </c>
      <c r="BT95" s="13">
        <f t="shared" ca="1" si="46"/>
        <v>-2.7752913406927657E-3</v>
      </c>
      <c r="BU95" s="13">
        <f t="shared" ca="1" si="47"/>
        <v>-2.8567262019282176E-3</v>
      </c>
      <c r="BV95" s="13">
        <f t="shared" ca="1" si="48"/>
        <v>-2.5918833128283306E-3</v>
      </c>
      <c r="BW95" s="13">
        <f t="shared" ca="1" si="49"/>
        <v>-2.0061396169663214E-3</v>
      </c>
      <c r="BX95" s="13">
        <f t="shared" ca="1" si="50"/>
        <v>-1.2405078468926329E-3</v>
      </c>
      <c r="BY95" s="13">
        <f t="shared" ca="1" si="51"/>
        <v>-5.7095420406034776E-4</v>
      </c>
      <c r="BZ95" s="13">
        <f t="shared" ca="1" si="52"/>
        <v>-2.314295244760117E-4</v>
      </c>
      <c r="CA95" s="13">
        <f t="shared" ca="1" si="53"/>
        <v>-1.963961410453801E-4</v>
      </c>
      <c r="CB95" s="3"/>
    </row>
    <row r="96" spans="4:80" x14ac:dyDescent="0.25">
      <c r="D96" s="17"/>
      <c r="E96" s="2">
        <f t="shared" si="9"/>
        <v>0.1</v>
      </c>
      <c r="G96" s="12">
        <f t="shared" ca="1" si="13"/>
        <v>1.2252563177755057E-6</v>
      </c>
      <c r="H96" s="9">
        <v>0</v>
      </c>
      <c r="I96" s="8">
        <f t="shared" ca="1" si="14"/>
        <v>-1.2252563177755057E-6</v>
      </c>
      <c r="J96" s="8">
        <f t="shared" ca="1" si="15"/>
        <v>-2.4291190728365148E-6</v>
      </c>
      <c r="K96" s="8">
        <f t="shared" ca="1" si="16"/>
        <v>-3.5899006337663334E-6</v>
      </c>
      <c r="L96" s="8">
        <f t="shared" ca="1" si="17"/>
        <v>-4.6853823545639412E-6</v>
      </c>
      <c r="M96" s="8">
        <f t="shared" ca="1" si="18"/>
        <v>-5.6926960595505561E-6</v>
      </c>
      <c r="N96" s="8">
        <f t="shared" ca="1" si="19"/>
        <v>-6.5883915349127528E-6</v>
      </c>
      <c r="O96" s="8">
        <f t="shared" ca="1" si="20"/>
        <v>-7.3487612646181959E-6</v>
      </c>
      <c r="P96" s="8">
        <f t="shared" ca="1" si="21"/>
        <v>-7.9504869080638865E-6</v>
      </c>
      <c r="Q96" s="8">
        <f t="shared" ca="1" si="22"/>
        <v>-8.3716445202897371E-6</v>
      </c>
      <c r="R96" s="8">
        <f t="shared" ca="1" si="23"/>
        <v>-8.5930478428493083E-6</v>
      </c>
      <c r="S96" s="8">
        <f t="shared" ca="1" si="24"/>
        <v>-8.5998207946169831E-6</v>
      </c>
      <c r="T96" s="8">
        <f t="shared" ca="1" si="25"/>
        <v>-8.3829912902509229E-6</v>
      </c>
      <c r="U96" s="8">
        <f t="shared" ca="1" si="26"/>
        <v>-7.9408320425446907E-6</v>
      </c>
      <c r="V96" s="8">
        <f t="shared" ca="1" si="27"/>
        <v>-7.2796864466528355E-6</v>
      </c>
      <c r="W96" s="8">
        <f t="shared" ca="1" si="28"/>
        <v>-6.4141179032237052E-6</v>
      </c>
      <c r="X96" s="8">
        <f t="shared" ca="1" si="29"/>
        <v>-5.3663729684731858E-6</v>
      </c>
      <c r="Y96" s="8">
        <f t="shared" ca="1" si="30"/>
        <v>-4.1652989010282611E-6</v>
      </c>
      <c r="Z96" s="8">
        <f t="shared" ca="1" si="31"/>
        <v>-2.8449509443589868E-6</v>
      </c>
      <c r="AA96" s="8">
        <f t="shared" ca="1" si="32"/>
        <v>-1.4431282942719123E-6</v>
      </c>
      <c r="AB96" s="9">
        <v>0</v>
      </c>
      <c r="AC96" s="12">
        <f t="shared" ca="1" si="10"/>
        <v>1.4431282942719123E-6</v>
      </c>
      <c r="AF96" s="2">
        <f t="shared" si="11"/>
        <v>0.1</v>
      </c>
      <c r="AH96" s="15">
        <v>0</v>
      </c>
      <c r="AI96" s="13">
        <f t="shared" si="58"/>
        <v>-1.2264024786045637E-6</v>
      </c>
      <c r="AJ96" s="13">
        <f t="shared" si="58"/>
        <v>-2.4313910340125014E-6</v>
      </c>
      <c r="AK96" s="13">
        <f t="shared" si="58"/>
        <v>-3.5930772201825266E-6</v>
      </c>
      <c r="AL96" s="13">
        <f t="shared" si="58"/>
        <v>-4.6892177593306093E-6</v>
      </c>
      <c r="AM96" s="13">
        <f t="shared" si="58"/>
        <v>-5.6971913424212536E-6</v>
      </c>
      <c r="AN96" s="13">
        <f t="shared" si="58"/>
        <v>-6.5936860933688095E-6</v>
      </c>
      <c r="AO96" s="13">
        <f t="shared" si="58"/>
        <v>-7.3553377405285475E-6</v>
      </c>
      <c r="AP96" s="13">
        <f t="shared" si="58"/>
        <v>-7.9601672812659775E-6</v>
      </c>
      <c r="AQ96" s="13">
        <f t="shared" si="58"/>
        <v>-8.3877909274837865E-6</v>
      </c>
      <c r="AR96" s="13">
        <f t="shared" si="58"/>
        <v>-8.6184872958425148E-6</v>
      </c>
      <c r="AS96" s="13">
        <f t="shared" si="58"/>
        <v>-8.634185724024307E-6</v>
      </c>
      <c r="AT96" s="13">
        <f t="shared" si="58"/>
        <v>-8.4223518383790405E-6</v>
      </c>
      <c r="AU96" s="13">
        <f t="shared" si="58"/>
        <v>-7.9795674058112492E-6</v>
      </c>
      <c r="AV96" s="13">
        <f t="shared" si="58"/>
        <v>-7.3124326999403046E-6</v>
      </c>
      <c r="AW96" s="13">
        <f t="shared" si="58"/>
        <v>-6.4372112894228326E-6</v>
      </c>
      <c r="AX96" s="13">
        <f t="shared" si="58"/>
        <v>-5.3793008669397135E-6</v>
      </c>
      <c r="AY96" s="13">
        <f t="shared" si="58"/>
        <v>-4.1709283699075662E-6</v>
      </c>
      <c r="AZ96" s="13">
        <f t="shared" si="58"/>
        <v>-2.8471970755679073E-6</v>
      </c>
      <c r="BA96" s="13">
        <f t="shared" si="58"/>
        <v>-1.4441337761826986E-6</v>
      </c>
      <c r="BB96" s="15">
        <v>0</v>
      </c>
      <c r="BF96" s="2">
        <f t="shared" si="12"/>
        <v>0.1</v>
      </c>
      <c r="BH96" s="3"/>
      <c r="BI96" s="13">
        <f t="shared" ca="1" si="35"/>
        <v>-9.3457152040513081E-4</v>
      </c>
      <c r="BJ96" s="13">
        <f t="shared" ca="1" si="36"/>
        <v>-9.3442854078356816E-4</v>
      </c>
      <c r="BK96" s="13">
        <f t="shared" ca="1" si="37"/>
        <v>-8.8408520650493539E-4</v>
      </c>
      <c r="BL96" s="13">
        <f t="shared" ca="1" si="38"/>
        <v>-8.1791995243480178E-4</v>
      </c>
      <c r="BM96" s="13">
        <f t="shared" ca="1" si="39"/>
        <v>-7.8903491220764653E-4</v>
      </c>
      <c r="BN96" s="13">
        <f t="shared" ca="1" si="40"/>
        <v>-8.0297399376978642E-4</v>
      </c>
      <c r="BO96" s="13">
        <f t="shared" ca="1" si="41"/>
        <v>-8.9410930433753459E-4</v>
      </c>
      <c r="BP96" s="13">
        <f t="shared" ca="1" si="42"/>
        <v>-1.2161017300319139E-3</v>
      </c>
      <c r="BQ96" s="13">
        <f t="shared" ca="1" si="43"/>
        <v>-1.9249892294219404E-3</v>
      </c>
      <c r="BR96" s="13">
        <f t="shared" ca="1" si="44"/>
        <v>-2.9517306367067716E-3</v>
      </c>
      <c r="BS96" s="13">
        <f t="shared" ca="1" si="45"/>
        <v>-3.9801007883933717E-3</v>
      </c>
      <c r="BT96" s="13">
        <f t="shared" ca="1" si="46"/>
        <v>-4.6733440829150735E-3</v>
      </c>
      <c r="BU96" s="13">
        <f t="shared" ca="1" si="47"/>
        <v>-4.8543186988243073E-3</v>
      </c>
      <c r="BV96" s="13">
        <f t="shared" ca="1" si="48"/>
        <v>-4.4781613221187557E-3</v>
      </c>
      <c r="BW96" s="13">
        <f t="shared" ca="1" si="49"/>
        <v>-3.5874830203372196E-3</v>
      </c>
      <c r="BX96" s="13">
        <f t="shared" ca="1" si="50"/>
        <v>-2.4032674108229097E-3</v>
      </c>
      <c r="BY96" s="13">
        <f t="shared" ca="1" si="51"/>
        <v>-1.3496920541528805E-3</v>
      </c>
      <c r="BZ96" s="13">
        <f t="shared" ca="1" si="52"/>
        <v>-7.8889207501470812E-4</v>
      </c>
      <c r="CA96" s="13">
        <f t="shared" ca="1" si="53"/>
        <v>-6.96252609951494E-4</v>
      </c>
      <c r="CB96" s="3"/>
    </row>
    <row r="97" spans="4:80" x14ac:dyDescent="0.25">
      <c r="D97" s="17"/>
      <c r="E97" s="2">
        <v>0</v>
      </c>
      <c r="G97" s="12">
        <f t="shared" si="13"/>
        <v>0</v>
      </c>
      <c r="H97" s="9">
        <v>0</v>
      </c>
      <c r="I97" s="9">
        <v>0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9">
        <v>0</v>
      </c>
      <c r="S97" s="9">
        <v>0</v>
      </c>
      <c r="T97" s="9">
        <v>0</v>
      </c>
      <c r="U97" s="9">
        <v>0</v>
      </c>
      <c r="V97" s="9">
        <v>0</v>
      </c>
      <c r="W97" s="9">
        <v>0</v>
      </c>
      <c r="X97" s="9">
        <v>0</v>
      </c>
      <c r="Y97" s="9">
        <v>0</v>
      </c>
      <c r="Z97" s="9">
        <v>0</v>
      </c>
      <c r="AA97" s="9">
        <v>0</v>
      </c>
      <c r="AB97" s="9">
        <v>0</v>
      </c>
      <c r="AC97" s="12">
        <f>-AA97</f>
        <v>0</v>
      </c>
      <c r="AF97" s="2">
        <v>0</v>
      </c>
      <c r="AH97" s="15">
        <v>0</v>
      </c>
      <c r="AI97" s="15">
        <v>0</v>
      </c>
      <c r="AJ97" s="15">
        <v>0</v>
      </c>
      <c r="AK97" s="15">
        <v>0</v>
      </c>
      <c r="AL97" s="15">
        <v>0</v>
      </c>
      <c r="AM97" s="15">
        <v>0</v>
      </c>
      <c r="AN97" s="15">
        <v>0</v>
      </c>
      <c r="AO97" s="15">
        <v>0</v>
      </c>
      <c r="AP97" s="15">
        <v>0</v>
      </c>
      <c r="AQ97" s="15">
        <v>0</v>
      </c>
      <c r="AR97" s="15">
        <v>0</v>
      </c>
      <c r="AS97" s="15">
        <v>0</v>
      </c>
      <c r="AT97" s="15">
        <v>0</v>
      </c>
      <c r="AU97" s="15">
        <v>0</v>
      </c>
      <c r="AV97" s="15">
        <v>0</v>
      </c>
      <c r="AW97" s="15">
        <v>0</v>
      </c>
      <c r="AX97" s="15">
        <v>0</v>
      </c>
      <c r="AY97" s="15">
        <v>0</v>
      </c>
      <c r="AZ97" s="15">
        <v>0</v>
      </c>
      <c r="BA97" s="15">
        <v>0</v>
      </c>
      <c r="BB97" s="15">
        <v>0</v>
      </c>
      <c r="BF97" s="2">
        <v>0</v>
      </c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</row>
    <row r="98" spans="4:80" x14ac:dyDescent="0.25">
      <c r="H98" s="12">
        <f>-H96</f>
        <v>0</v>
      </c>
      <c r="I98" s="12">
        <f t="shared" ref="I98:AB98" ca="1" si="59">-I96</f>
        <v>1.2252563177755057E-6</v>
      </c>
      <c r="J98" s="12">
        <f t="shared" ca="1" si="59"/>
        <v>2.4291190728365148E-6</v>
      </c>
      <c r="K98" s="12">
        <f t="shared" ca="1" si="59"/>
        <v>3.5899006337663334E-6</v>
      </c>
      <c r="L98" s="12">
        <f t="shared" ca="1" si="59"/>
        <v>4.6853823545639412E-6</v>
      </c>
      <c r="M98" s="12">
        <f t="shared" ca="1" si="59"/>
        <v>5.6926960595505561E-6</v>
      </c>
      <c r="N98" s="12">
        <f t="shared" ca="1" si="59"/>
        <v>6.5883915349127528E-6</v>
      </c>
      <c r="O98" s="12">
        <f t="shared" ca="1" si="59"/>
        <v>7.3487612646181959E-6</v>
      </c>
      <c r="P98" s="12">
        <f t="shared" ca="1" si="59"/>
        <v>7.9504869080638865E-6</v>
      </c>
      <c r="Q98" s="12">
        <f t="shared" ca="1" si="59"/>
        <v>8.3716445202897371E-6</v>
      </c>
      <c r="R98" s="12">
        <f t="shared" ca="1" si="59"/>
        <v>8.5930478428493083E-6</v>
      </c>
      <c r="S98" s="12">
        <f t="shared" ca="1" si="59"/>
        <v>8.5998207946169831E-6</v>
      </c>
      <c r="T98" s="12">
        <f t="shared" ca="1" si="59"/>
        <v>8.3829912902509229E-6</v>
      </c>
      <c r="U98" s="12">
        <f t="shared" ca="1" si="59"/>
        <v>7.9408320425446907E-6</v>
      </c>
      <c r="V98" s="12">
        <f t="shared" ca="1" si="59"/>
        <v>7.2796864466528355E-6</v>
      </c>
      <c r="W98" s="12">
        <f t="shared" ca="1" si="59"/>
        <v>6.4141179032237052E-6</v>
      </c>
      <c r="X98" s="12">
        <f t="shared" ca="1" si="59"/>
        <v>5.3663729684731858E-6</v>
      </c>
      <c r="Y98" s="12">
        <f t="shared" ca="1" si="59"/>
        <v>4.1652989010282611E-6</v>
      </c>
      <c r="Z98" s="12">
        <f t="shared" ca="1" si="59"/>
        <v>2.8449509443589868E-6</v>
      </c>
      <c r="AA98" s="12">
        <f t="shared" ca="1" si="59"/>
        <v>1.4431282942719123E-6</v>
      </c>
      <c r="AB98" s="12">
        <f t="shared" si="59"/>
        <v>0</v>
      </c>
    </row>
    <row r="99" spans="4:80" x14ac:dyDescent="0.25">
      <c r="BI99" t="s">
        <v>49</v>
      </c>
      <c r="BL99" s="16">
        <f ca="1">MAX(ABS(MAX(BI58:CA96)),ABS(MIN(BI58:CA96)))</f>
        <v>4.8543186988243073E-3</v>
      </c>
    </row>
    <row r="100" spans="4:80" x14ac:dyDescent="0.25">
      <c r="BL100" s="16"/>
    </row>
    <row r="102" spans="4:80" ht="18.75" x14ac:dyDescent="0.3">
      <c r="E102" s="1" t="s">
        <v>18</v>
      </c>
    </row>
    <row r="103" spans="4:80" x14ac:dyDescent="0.25">
      <c r="H103" s="18" t="s">
        <v>17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</row>
    <row r="104" spans="4:80" x14ac:dyDescent="0.25">
      <c r="H104" s="2">
        <v>0</v>
      </c>
      <c r="I104" s="2">
        <f t="shared" ref="I104:AB104" si="60">+H104+delta</f>
        <v>0.1</v>
      </c>
      <c r="J104" s="2">
        <f t="shared" si="60"/>
        <v>0.2</v>
      </c>
      <c r="K104" s="2">
        <f t="shared" si="60"/>
        <v>0.30000000000000004</v>
      </c>
      <c r="L104" s="2">
        <f t="shared" si="60"/>
        <v>0.4</v>
      </c>
      <c r="M104" s="2">
        <f t="shared" si="60"/>
        <v>0.5</v>
      </c>
      <c r="N104" s="2">
        <f t="shared" si="60"/>
        <v>0.6</v>
      </c>
      <c r="O104" s="2">
        <f t="shared" si="60"/>
        <v>0.7</v>
      </c>
      <c r="P104" s="2">
        <f t="shared" si="60"/>
        <v>0.79999999999999993</v>
      </c>
      <c r="Q104" s="2">
        <f t="shared" si="60"/>
        <v>0.89999999999999991</v>
      </c>
      <c r="R104" s="2">
        <f t="shared" si="60"/>
        <v>0.99999999999999989</v>
      </c>
      <c r="S104" s="2">
        <f t="shared" si="60"/>
        <v>1.0999999999999999</v>
      </c>
      <c r="T104" s="2">
        <f t="shared" si="60"/>
        <v>1.2</v>
      </c>
      <c r="U104" s="2">
        <f t="shared" si="60"/>
        <v>1.3</v>
      </c>
      <c r="V104" s="2">
        <f t="shared" si="60"/>
        <v>1.4000000000000001</v>
      </c>
      <c r="W104" s="2">
        <f t="shared" si="60"/>
        <v>1.5000000000000002</v>
      </c>
      <c r="X104" s="2">
        <f t="shared" si="60"/>
        <v>1.6000000000000003</v>
      </c>
      <c r="Y104" s="2">
        <f t="shared" si="60"/>
        <v>1.7000000000000004</v>
      </c>
      <c r="Z104" s="2">
        <f t="shared" si="60"/>
        <v>1.8000000000000005</v>
      </c>
      <c r="AA104" s="2">
        <f t="shared" si="60"/>
        <v>1.9000000000000006</v>
      </c>
      <c r="AB104" s="2">
        <f t="shared" si="60"/>
        <v>2.0000000000000004</v>
      </c>
    </row>
    <row r="107" spans="4:80" x14ac:dyDescent="0.25">
      <c r="D107" s="17" t="s">
        <v>16</v>
      </c>
      <c r="E107" s="2">
        <f t="shared" ref="E107:E146" si="61">E108+delta</f>
        <v>4.0000000000000018</v>
      </c>
      <c r="H107" s="9">
        <f t="shared" ref="H107:AB107" si="62" xml:space="preserve"> -(D*(nu*H58+G57+nu*H56+I57+((-2*nu)-2)*H57))/delta^2</f>
        <v>0</v>
      </c>
      <c r="I107" s="9">
        <f t="shared" ca="1" si="62"/>
        <v>1.2725855577738888E-14</v>
      </c>
      <c r="J107" s="9">
        <f t="shared" ca="1" si="62"/>
        <v>1.2725855577738888E-14</v>
      </c>
      <c r="K107" s="9">
        <f t="shared" ca="1" si="62"/>
        <v>3.8177566733216668E-14</v>
      </c>
      <c r="L107" s="9">
        <f t="shared" ca="1" si="62"/>
        <v>2.5451711155477775E-14</v>
      </c>
      <c r="M107" s="9">
        <f t="shared" ca="1" si="62"/>
        <v>0</v>
      </c>
      <c r="N107" s="9">
        <f t="shared" ca="1" si="62"/>
        <v>0</v>
      </c>
      <c r="O107" s="9">
        <f t="shared" ca="1" si="62"/>
        <v>-2.5451711155477775E-14</v>
      </c>
      <c r="P107" s="9">
        <f t="shared" ca="1" si="62"/>
        <v>0</v>
      </c>
      <c r="Q107" s="9">
        <f t="shared" ca="1" si="62"/>
        <v>0</v>
      </c>
      <c r="R107" s="9">
        <f t="shared" ca="1" si="62"/>
        <v>0</v>
      </c>
      <c r="S107" s="9">
        <f t="shared" ca="1" si="62"/>
        <v>0</v>
      </c>
      <c r="T107" s="9">
        <f t="shared" ca="1" si="62"/>
        <v>1.018068446219111E-13</v>
      </c>
      <c r="U107" s="9">
        <f t="shared" ca="1" si="62"/>
        <v>1.2725855577738887E-13</v>
      </c>
      <c r="V107" s="9">
        <f t="shared" ca="1" si="62"/>
        <v>5.0903422310955551E-14</v>
      </c>
      <c r="W107" s="9">
        <f t="shared" ca="1" si="62"/>
        <v>0</v>
      </c>
      <c r="X107" s="9">
        <f t="shared" ca="1" si="62"/>
        <v>0</v>
      </c>
      <c r="Y107" s="9">
        <f t="shared" ca="1" si="62"/>
        <v>0</v>
      </c>
      <c r="Z107" s="9">
        <f t="shared" ca="1" si="62"/>
        <v>0</v>
      </c>
      <c r="AA107" s="9">
        <f t="shared" ca="1" si="62"/>
        <v>-6.3629277888694438E-15</v>
      </c>
      <c r="AB107" s="9">
        <f t="shared" si="62"/>
        <v>0</v>
      </c>
    </row>
    <row r="108" spans="4:80" x14ac:dyDescent="0.25">
      <c r="D108" s="17"/>
      <c r="E108" s="2">
        <f t="shared" si="61"/>
        <v>3.9000000000000021</v>
      </c>
      <c r="H108" s="9">
        <f t="shared" ref="H108:AB108" ca="1" si="63" xml:space="preserve"> -(D*(nu*H59+G58+nu*H57+I58+((-2*nu)-2)*H58))/delta^2</f>
        <v>5.0903422310955551E-14</v>
      </c>
      <c r="I108" s="8">
        <f t="shared" ca="1" si="63"/>
        <v>-2.2587937333148145</v>
      </c>
      <c r="J108" s="8">
        <f t="shared" ca="1" si="63"/>
        <v>-4.4746948666358923</v>
      </c>
      <c r="K108" s="8">
        <f t="shared" ca="1" si="63"/>
        <v>-6.604569711877156</v>
      </c>
      <c r="L108" s="8">
        <f t="shared" ca="1" si="63"/>
        <v>-8.6049359975330315</v>
      </c>
      <c r="M108" s="8">
        <f t="shared" ca="1" si="63"/>
        <v>-10.432110180527435</v>
      </c>
      <c r="N108" s="8">
        <f t="shared" ca="1" si="63"/>
        <v>-12.042705421649508</v>
      </c>
      <c r="O108" s="8">
        <f t="shared" ca="1" si="63"/>
        <v>-13.394537247121734</v>
      </c>
      <c r="P108" s="8">
        <f t="shared" ca="1" si="63"/>
        <v>-14.447942447223538</v>
      </c>
      <c r="Q108" s="8">
        <f t="shared" ca="1" si="63"/>
        <v>-15.167456180040498</v>
      </c>
      <c r="R108" s="8">
        <f t="shared" ca="1" si="63"/>
        <v>-15.523729645288519</v>
      </c>
      <c r="S108" s="8">
        <f t="shared" ca="1" si="63"/>
        <v>-15.495516434902731</v>
      </c>
      <c r="T108" s="8">
        <f t="shared" ca="1" si="63"/>
        <v>-15.07152148054691</v>
      </c>
      <c r="U108" s="8">
        <f t="shared" ca="1" si="63"/>
        <v>-14.251902129998875</v>
      </c>
      <c r="V108" s="8">
        <f t="shared" ca="1" si="63"/>
        <v>-13.049240262295001</v>
      </c>
      <c r="W108" s="8">
        <f t="shared" ca="1" si="63"/>
        <v>-11.488863217484171</v>
      </c>
      <c r="X108" s="8">
        <f t="shared" ca="1" si="63"/>
        <v>-9.6084674103271084</v>
      </c>
      <c r="Y108" s="8">
        <f t="shared" ca="1" si="63"/>
        <v>-7.4570749464720043</v>
      </c>
      <c r="Z108" s="8">
        <f t="shared" ca="1" si="63"/>
        <v>-5.0934142516772773</v>
      </c>
      <c r="AA108" s="8">
        <f t="shared" ca="1" si="63"/>
        <v>-2.5838505603257858</v>
      </c>
      <c r="AB108" s="9">
        <f t="shared" ca="1" si="63"/>
        <v>0</v>
      </c>
    </row>
    <row r="109" spans="4:80" x14ac:dyDescent="0.25">
      <c r="D109" s="17"/>
      <c r="E109" s="2">
        <f t="shared" si="61"/>
        <v>3.800000000000002</v>
      </c>
      <c r="H109" s="9">
        <f t="shared" ref="H109:AB109" ca="1" si="64" xml:space="preserve"> -(D*(nu*H60+G59+nu*H58+I59+((-2*nu)-2)*H59))/delta^2</f>
        <v>1.018068446219111E-13</v>
      </c>
      <c r="I109" s="8">
        <f t="shared" ca="1" si="64"/>
        <v>-4.5383008919218044</v>
      </c>
      <c r="J109" s="8">
        <f t="shared" ca="1" si="64"/>
        <v>-8.9912795796725185</v>
      </c>
      <c r="K109" s="8">
        <f t="shared" ca="1" si="64"/>
        <v>-13.273025372623538</v>
      </c>
      <c r="L109" s="8">
        <f t="shared" ca="1" si="64"/>
        <v>-17.296726629237739</v>
      </c>
      <c r="M109" s="8">
        <f t="shared" ca="1" si="64"/>
        <v>-20.97488630090556</v>
      </c>
      <c r="N109" s="8">
        <f t="shared" ca="1" si="64"/>
        <v>-24.220267581534976</v>
      </c>
      <c r="O109" s="8">
        <f t="shared" ca="1" si="64"/>
        <v>-26.947693945335725</v>
      </c>
      <c r="P109" s="8">
        <f t="shared" ca="1" si="64"/>
        <v>-29.076722571698543</v>
      </c>
      <c r="Q109" s="8">
        <f t="shared" ca="1" si="64"/>
        <v>-30.535083615794502</v>
      </c>
      <c r="R109" s="8">
        <f t="shared" ca="1" si="64"/>
        <v>-31.262644304023489</v>
      </c>
      <c r="S109" s="8">
        <f t="shared" ca="1" si="64"/>
        <v>-31.215538681274811</v>
      </c>
      <c r="T109" s="8">
        <f t="shared" ca="1" si="64"/>
        <v>-30.370027284652345</v>
      </c>
      <c r="U109" s="8">
        <f t="shared" ca="1" si="64"/>
        <v>-28.725638739688936</v>
      </c>
      <c r="V109" s="8">
        <f t="shared" ca="1" si="64"/>
        <v>-26.307207386462807</v>
      </c>
      <c r="W109" s="8">
        <f t="shared" ca="1" si="64"/>
        <v>-23.165548836502403</v>
      </c>
      <c r="X109" s="8">
        <f t="shared" ca="1" si="64"/>
        <v>-19.376681498514042</v>
      </c>
      <c r="Y109" s="8">
        <f t="shared" ca="1" si="64"/>
        <v>-15.03966830397149</v>
      </c>
      <c r="Z109" s="8">
        <f t="shared" ca="1" si="64"/>
        <v>-10.273282429620048</v>
      </c>
      <c r="AA109" s="8">
        <f t="shared" ca="1" si="64"/>
        <v>-5.2117710217537416</v>
      </c>
      <c r="AB109" s="9">
        <f t="shared" ca="1" si="64"/>
        <v>0</v>
      </c>
    </row>
    <row r="110" spans="4:80" x14ac:dyDescent="0.25">
      <c r="D110" s="17"/>
      <c r="E110" s="2">
        <f t="shared" si="61"/>
        <v>3.700000000000002</v>
      </c>
      <c r="H110" s="9">
        <f t="shared" ref="H110:AB110" ca="1" si="65" xml:space="preserve"> -(D*(nu*H61+G60+nu*H59+I60+((-2*nu)-2)*H60))/delta^2</f>
        <v>0</v>
      </c>
      <c r="I110" s="8">
        <f t="shared" ca="1" si="65"/>
        <v>-6.8585499975700683</v>
      </c>
      <c r="J110" s="8">
        <f t="shared" ca="1" si="65"/>
        <v>-13.590353206209437</v>
      </c>
      <c r="K110" s="8">
        <f t="shared" ca="1" si="65"/>
        <v>-20.067509037007532</v>
      </c>
      <c r="L110" s="8">
        <f t="shared" ca="1" si="65"/>
        <v>-26.160244584669908</v>
      </c>
      <c r="M110" s="8">
        <f t="shared" ca="1" si="65"/>
        <v>-31.737032950137255</v>
      </c>
      <c r="N110" s="8">
        <f t="shared" ca="1" si="65"/>
        <v>-36.665878124907429</v>
      </c>
      <c r="O110" s="8">
        <f t="shared" ca="1" si="65"/>
        <v>-40.816980151316109</v>
      </c>
      <c r="P110" s="8">
        <f t="shared" ca="1" si="65"/>
        <v>-44.0668313044415</v>
      </c>
      <c r="Q110" s="8">
        <f t="shared" ca="1" si="65"/>
        <v>-46.303590812209393</v>
      </c>
      <c r="R110" s="8">
        <f t="shared" ca="1" si="65"/>
        <v>-47.433363569350156</v>
      </c>
      <c r="S110" s="8">
        <f t="shared" ca="1" si="65"/>
        <v>-47.386804706345302</v>
      </c>
      <c r="T110" s="8">
        <f t="shared" ca="1" si="65"/>
        <v>-46.125333916515459</v>
      </c>
      <c r="U110" s="8">
        <f t="shared" ca="1" si="65"/>
        <v>-43.646214395652734</v>
      </c>
      <c r="V110" s="8">
        <f t="shared" ca="1" si="65"/>
        <v>-39.985852844695131</v>
      </c>
      <c r="W110" s="8">
        <f t="shared" ca="1" si="65"/>
        <v>-35.220896094384095</v>
      </c>
      <c r="X110" s="8">
        <f t="shared" ca="1" si="65"/>
        <v>-29.466987708623332</v>
      </c>
      <c r="Y110" s="8">
        <f t="shared" ca="1" si="65"/>
        <v>-22.875334110757226</v>
      </c>
      <c r="Z110" s="8">
        <f t="shared" ca="1" si="65"/>
        <v>-15.627446647695855</v>
      </c>
      <c r="AA110" s="8">
        <f t="shared" ca="1" si="65"/>
        <v>-7.9285322958740441</v>
      </c>
      <c r="AB110" s="9">
        <f t="shared" ca="1" si="65"/>
        <v>0</v>
      </c>
    </row>
    <row r="111" spans="4:80" x14ac:dyDescent="0.25">
      <c r="D111" s="17"/>
      <c r="E111" s="2">
        <f t="shared" si="61"/>
        <v>3.6000000000000019</v>
      </c>
      <c r="H111" s="9">
        <f t="shared" ref="H111:AB111" ca="1" si="66" xml:space="preserve"> -(D*(nu*H62+G61+nu*H60+I61+((-2*nu)-2)*H61))/delta^2</f>
        <v>0</v>
      </c>
      <c r="I111" s="8">
        <f t="shared" ca="1" si="66"/>
        <v>-9.238148019629822</v>
      </c>
      <c r="J111" s="8">
        <f t="shared" ca="1" si="66"/>
        <v>-18.30983151690554</v>
      </c>
      <c r="K111" s="8">
        <f t="shared" ca="1" si="66"/>
        <v>-27.046527706957306</v>
      </c>
      <c r="L111" s="8">
        <f t="shared" ca="1" si="66"/>
        <v>-35.2762145408105</v>
      </c>
      <c r="M111" s="8">
        <f t="shared" ca="1" si="66"/>
        <v>-42.823125137895609</v>
      </c>
      <c r="N111" s="8">
        <f t="shared" ca="1" si="66"/>
        <v>-49.509188452546148</v>
      </c>
      <c r="O111" s="8">
        <f t="shared" ca="1" si="66"/>
        <v>-55.157496993510769</v>
      </c>
      <c r="P111" s="8">
        <f t="shared" ca="1" si="66"/>
        <v>-59.597918401454919</v>
      </c>
      <c r="Q111" s="8">
        <f t="shared" ca="1" si="66"/>
        <v>-62.674672068662908</v>
      </c>
      <c r="R111" s="8">
        <f t="shared" ca="1" si="66"/>
        <v>-64.255351889864812</v>
      </c>
      <c r="S111" s="8">
        <f t="shared" ca="1" si="66"/>
        <v>-64.240548634977884</v>
      </c>
      <c r="T111" s="8">
        <f t="shared" ca="1" si="66"/>
        <v>-62.572989826904148</v>
      </c>
      <c r="U111" s="8">
        <f t="shared" ca="1" si="66"/>
        <v>-59.245050254463003</v>
      </c>
      <c r="V111" s="8">
        <f t="shared" ca="1" si="66"/>
        <v>-54.303637278006654</v>
      </c>
      <c r="W111" s="8">
        <f t="shared" ca="1" si="66"/>
        <v>-47.85180534914889</v>
      </c>
      <c r="X111" s="8">
        <f t="shared" ca="1" si="66"/>
        <v>-40.046921550844736</v>
      </c>
      <c r="Y111" s="8">
        <f t="shared" ca="1" si="66"/>
        <v>-31.095665908573061</v>
      </c>
      <c r="Z111" s="8">
        <f t="shared" ca="1" si="66"/>
        <v>-21.246487883022347</v>
      </c>
      <c r="AA111" s="8">
        <f t="shared" ca="1" si="66"/>
        <v>-10.780282770517925</v>
      </c>
      <c r="AB111" s="9">
        <f t="shared" ca="1" si="66"/>
        <v>0</v>
      </c>
    </row>
    <row r="112" spans="4:80" x14ac:dyDescent="0.25">
      <c r="D112" s="17"/>
      <c r="E112" s="2">
        <f t="shared" si="61"/>
        <v>3.5000000000000018</v>
      </c>
      <c r="H112" s="9">
        <f t="shared" ref="H112:AB112" ca="1" si="67" xml:space="preserve"> -(D*(nu*H63+G62+nu*H61+I62+((-2*nu)-2)*H62))/delta^2</f>
        <v>1.018068446219111E-13</v>
      </c>
      <c r="I112" s="8">
        <f t="shared" ca="1" si="67"/>
        <v>-11.693442024779706</v>
      </c>
      <c r="J112" s="8">
        <f t="shared" ca="1" si="67"/>
        <v>-23.183353491480513</v>
      </c>
      <c r="K112" s="8">
        <f t="shared" ca="1" si="67"/>
        <v>-34.262769030701421</v>
      </c>
      <c r="L112" s="8">
        <f t="shared" ca="1" si="67"/>
        <v>-44.718677198712989</v>
      </c>
      <c r="M112" s="8">
        <f t="shared" ca="1" si="67"/>
        <v>-54.331020407195389</v>
      </c>
      <c r="N112" s="8">
        <f t="shared" ca="1" si="67"/>
        <v>-62.874004520041481</v>
      </c>
      <c r="O112" s="8">
        <f t="shared" ca="1" si="67"/>
        <v>-70.120244895337649</v>
      </c>
      <c r="P112" s="8">
        <f t="shared" ca="1" si="67"/>
        <v>-75.847992016483843</v>
      </c>
      <c r="Q112" s="8">
        <f t="shared" ca="1" si="67"/>
        <v>-79.851272850036736</v>
      </c>
      <c r="R112" s="8">
        <f t="shared" ca="1" si="67"/>
        <v>-81.952281444871602</v>
      </c>
      <c r="S112" s="8">
        <f t="shared" ca="1" si="67"/>
        <v>-82.01483603639538</v>
      </c>
      <c r="T112" s="8">
        <f t="shared" ca="1" si="67"/>
        <v>-79.957320862724629</v>
      </c>
      <c r="U112" s="8">
        <f t="shared" ca="1" si="67"/>
        <v>-75.763391647057915</v>
      </c>
      <c r="V112" s="8">
        <f t="shared" ca="1" si="67"/>
        <v>-69.488936095119186</v>
      </c>
      <c r="W112" s="8">
        <f t="shared" ca="1" si="67"/>
        <v>-61.264328872522611</v>
      </c>
      <c r="X112" s="8">
        <f t="shared" ca="1" si="67"/>
        <v>-51.291768164423182</v>
      </c>
      <c r="Y112" s="8">
        <f t="shared" ca="1" si="67"/>
        <v>-39.838216275036061</v>
      </c>
      <c r="Z112" s="8">
        <f t="shared" ca="1" si="67"/>
        <v>-27.224982830334067</v>
      </c>
      <c r="AA112" s="8">
        <f t="shared" ca="1" si="67"/>
        <v>-13.815164601762497</v>
      </c>
      <c r="AB112" s="9">
        <f t="shared" ca="1" si="67"/>
        <v>0</v>
      </c>
    </row>
    <row r="113" spans="4:28" x14ac:dyDescent="0.25">
      <c r="D113" s="17"/>
      <c r="E113" s="2">
        <f t="shared" si="61"/>
        <v>3.4000000000000017</v>
      </c>
      <c r="H113" s="9">
        <f t="shared" ref="H113:AB113" ca="1" si="68" xml:space="preserve"> -(D*(nu*H64+G63+nu*H62+I63+((-2*nu)-2)*H63))/delta^2</f>
        <v>0</v>
      </c>
      <c r="I113" s="8">
        <f t="shared" ca="1" si="68"/>
        <v>-14.237533946816376</v>
      </c>
      <c r="J113" s="8">
        <f t="shared" ca="1" si="68"/>
        <v>-28.238394755506562</v>
      </c>
      <c r="K113" s="8">
        <f t="shared" ca="1" si="68"/>
        <v>-41.76048337196444</v>
      </c>
      <c r="L113" s="8">
        <f t="shared" ca="1" si="68"/>
        <v>-54.551896760891672</v>
      </c>
      <c r="M113" s="8">
        <f t="shared" ca="1" si="68"/>
        <v>-66.348628189583508</v>
      </c>
      <c r="N113" s="8">
        <f t="shared" ca="1" si="68"/>
        <v>-76.875311828146693</v>
      </c>
      <c r="O113" s="8">
        <f t="shared" ca="1" si="68"/>
        <v>-85.849812251334498</v>
      </c>
      <c r="P113" s="8">
        <f t="shared" ca="1" si="68"/>
        <v>-92.992130703841411</v>
      </c>
      <c r="Q113" s="8">
        <f t="shared" ca="1" si="68"/>
        <v>-98.037564340690651</v>
      </c>
      <c r="R113" s="8">
        <f t="shared" ca="1" si="68"/>
        <v>-100.75332660323888</v>
      </c>
      <c r="S113" s="8">
        <f t="shared" ca="1" si="68"/>
        <v>-100.95702638514929</v>
      </c>
      <c r="T113" s="8">
        <f t="shared" ca="1" si="68"/>
        <v>-98.53472278795212</v>
      </c>
      <c r="U113" s="8">
        <f t="shared" ca="1" si="68"/>
        <v>-93.455979929791297</v>
      </c>
      <c r="V113" s="8">
        <f t="shared" ca="1" si="68"/>
        <v>-85.783630003818445</v>
      </c>
      <c r="W113" s="8">
        <f t="shared" ca="1" si="68"/>
        <v>-75.676808757830628</v>
      </c>
      <c r="X113" s="8">
        <f t="shared" ca="1" si="68"/>
        <v>-63.387028664333542</v>
      </c>
      <c r="Y113" s="8">
        <f t="shared" ca="1" si="68"/>
        <v>-49.248233260008782</v>
      </c>
      <c r="Z113" s="8">
        <f t="shared" ca="1" si="68"/>
        <v>-33.662569049199128</v>
      </c>
      <c r="AA113" s="8">
        <f t="shared" ca="1" si="68"/>
        <v>-17.083809719047764</v>
      </c>
      <c r="AB113" s="9">
        <f t="shared" ca="1" si="68"/>
        <v>0</v>
      </c>
    </row>
    <row r="114" spans="4:28" x14ac:dyDescent="0.25">
      <c r="D114" s="17"/>
      <c r="E114" s="2">
        <f t="shared" si="61"/>
        <v>3.3000000000000016</v>
      </c>
      <c r="H114" s="9">
        <f t="shared" ref="H114:AB114" ca="1" si="69" xml:space="preserve"> -(D*(nu*H65+G64+nu*H63+I64+((-2*nu)-2)*H64))/delta^2</f>
        <v>0</v>
      </c>
      <c r="I114" s="8">
        <f t="shared" ca="1" si="69"/>
        <v>-16.879113619495449</v>
      </c>
      <c r="J114" s="8">
        <f t="shared" ca="1" si="69"/>
        <v>-33.494012297893541</v>
      </c>
      <c r="K114" s="8">
        <f t="shared" ca="1" si="69"/>
        <v>-49.572306921671192</v>
      </c>
      <c r="L114" s="8">
        <f t="shared" ca="1" si="69"/>
        <v>-64.826530533540094</v>
      </c>
      <c r="M114" s="8">
        <f t="shared" ca="1" si="69"/>
        <v>-78.949802184986567</v>
      </c>
      <c r="N114" s="8">
        <f t="shared" ca="1" si="69"/>
        <v>-91.615361780224248</v>
      </c>
      <c r="O114" s="8">
        <f t="shared" ca="1" si="69"/>
        <v>-102.48117616371118</v>
      </c>
      <c r="P114" s="8">
        <f t="shared" ca="1" si="69"/>
        <v>-111.20048589793583</v>
      </c>
      <c r="Q114" s="8">
        <f t="shared" ca="1" si="69"/>
        <v>-117.43849502414521</v>
      </c>
      <c r="R114" s="8">
        <f t="shared" ca="1" si="69"/>
        <v>-120.89437083134591</v>
      </c>
      <c r="S114" s="8">
        <f t="shared" ca="1" si="69"/>
        <v>-121.32644647458571</v>
      </c>
      <c r="T114" s="8">
        <f t="shared" ca="1" si="69"/>
        <v>-118.5773432666869</v>
      </c>
      <c r="U114" s="8">
        <f t="shared" ca="1" si="69"/>
        <v>-112.59512509772425</v>
      </c>
      <c r="V114" s="8">
        <f t="shared" ca="1" si="69"/>
        <v>-103.44695005451152</v>
      </c>
      <c r="W114" s="8">
        <f t="shared" ca="1" si="69"/>
        <v>-91.32303047122906</v>
      </c>
      <c r="X114" s="8">
        <f t="shared" ca="1" si="69"/>
        <v>-76.530666428242114</v>
      </c>
      <c r="Y114" s="8">
        <f t="shared" ca="1" si="69"/>
        <v>-59.480033926124719</v>
      </c>
      <c r="Z114" s="8">
        <f t="shared" ca="1" si="69"/>
        <v>-40.664647737091592</v>
      </c>
      <c r="AA114" s="8">
        <f t="shared" ca="1" si="69"/>
        <v>-20.639612690347839</v>
      </c>
      <c r="AB114" s="9">
        <f t="shared" ca="1" si="69"/>
        <v>0</v>
      </c>
    </row>
    <row r="115" spans="4:28" x14ac:dyDescent="0.25">
      <c r="D115" s="17"/>
      <c r="E115" s="2">
        <f t="shared" si="61"/>
        <v>3.2000000000000015</v>
      </c>
      <c r="H115" s="9">
        <f t="shared" ref="H115:AB115" ca="1" si="70" xml:space="preserve"> -(D*(nu*H66+G65+nu*H64+I65+((-2*nu)-2)*H65))/delta^2</f>
        <v>0</v>
      </c>
      <c r="I115" s="8">
        <f t="shared" ca="1" si="70"/>
        <v>-19.621095238409797</v>
      </c>
      <c r="J115" s="8">
        <f t="shared" ca="1" si="70"/>
        <v>-38.958178284019851</v>
      </c>
      <c r="K115" s="8">
        <f t="shared" ca="1" si="70"/>
        <v>-57.715435424237413</v>
      </c>
      <c r="L115" s="8">
        <f t="shared" ca="1" si="70"/>
        <v>-75.574900919046598</v>
      </c>
      <c r="M115" s="8">
        <f t="shared" ca="1" si="70"/>
        <v>-92.189116831814658</v>
      </c>
      <c r="N115" s="8">
        <f t="shared" ca="1" si="70"/>
        <v>-107.17851414684496</v>
      </c>
      <c r="O115" s="8">
        <f t="shared" ca="1" si="70"/>
        <v>-120.13528574843993</v>
      </c>
      <c r="P115" s="8">
        <f t="shared" ca="1" si="70"/>
        <v>-130.63528727536166</v>
      </c>
      <c r="Q115" s="8">
        <f t="shared" ca="1" si="70"/>
        <v>-138.25874354992726</v>
      </c>
      <c r="R115" s="8">
        <f t="shared" ca="1" si="70"/>
        <v>-142.61910579970228</v>
      </c>
      <c r="S115" s="8">
        <f t="shared" ca="1" si="70"/>
        <v>-143.39740179760474</v>
      </c>
      <c r="T115" s="8">
        <f t="shared" ca="1" si="70"/>
        <v>-140.37736285032716</v>
      </c>
      <c r="U115" s="8">
        <f t="shared" ca="1" si="70"/>
        <v>-133.47537174104497</v>
      </c>
      <c r="V115" s="8">
        <f t="shared" ca="1" si="70"/>
        <v>-122.75965771435399</v>
      </c>
      <c r="W115" s="8">
        <f t="shared" ca="1" si="70"/>
        <v>-108.45530891505047</v>
      </c>
      <c r="X115" s="8">
        <f t="shared" ca="1" si="70"/>
        <v>-90.934899903670569</v>
      </c>
      <c r="Y115" s="8">
        <f t="shared" ca="1" si="70"/>
        <v>-70.697703411785952</v>
      </c>
      <c r="Z115" s="8">
        <f t="shared" ca="1" si="70"/>
        <v>-48.342435853936955</v>
      </c>
      <c r="AA115" s="8">
        <f t="shared" ca="1" si="70"/>
        <v>-24.538608903203038</v>
      </c>
      <c r="AB115" s="9">
        <f t="shared" ca="1" si="70"/>
        <v>0</v>
      </c>
    </row>
    <row r="116" spans="4:28" x14ac:dyDescent="0.25">
      <c r="D116" s="17"/>
      <c r="E116" s="2">
        <f t="shared" si="61"/>
        <v>3.1000000000000014</v>
      </c>
      <c r="H116" s="9">
        <f t="shared" ref="H116:AB116" ca="1" si="71" xml:space="preserve"> -(D*(nu*H67+G66+nu*H65+I66+((-2*nu)-2)*H66))/delta^2</f>
        <v>0</v>
      </c>
      <c r="I116" s="8">
        <f t="shared" ca="1" si="71"/>
        <v>-22.45907806902968</v>
      </c>
      <c r="J116" s="8">
        <f t="shared" ca="1" si="71"/>
        <v>-44.624722699815628</v>
      </c>
      <c r="K116" s="8">
        <f t="shared" ca="1" si="71"/>
        <v>-66.187128313530238</v>
      </c>
      <c r="L116" s="8">
        <f t="shared" ca="1" si="71"/>
        <v>-86.805264709939635</v>
      </c>
      <c r="M116" s="8">
        <f t="shared" ca="1" si="71"/>
        <v>-106.09530417914006</v>
      </c>
      <c r="N116" s="8">
        <f t="shared" ca="1" si="71"/>
        <v>-123.62449199114809</v>
      </c>
      <c r="O116" s="8">
        <f t="shared" ca="1" si="71"/>
        <v>-138.91301213637729</v>
      </c>
      <c r="P116" s="8">
        <f t="shared" ca="1" si="71"/>
        <v>-151.4464589689824</v>
      </c>
      <c r="Q116" s="8">
        <f t="shared" ca="1" si="71"/>
        <v>-160.7008202236284</v>
      </c>
      <c r="R116" s="8">
        <f t="shared" ca="1" si="71"/>
        <v>-166.17999183022698</v>
      </c>
      <c r="S116" s="8">
        <f t="shared" ca="1" si="71"/>
        <v>-167.46271651392198</v>
      </c>
      <c r="T116" s="8">
        <f t="shared" ca="1" si="71"/>
        <v>-164.25219089515457</v>
      </c>
      <c r="U116" s="8">
        <f t="shared" ca="1" si="71"/>
        <v>-156.41904267606049</v>
      </c>
      <c r="V116" s="8">
        <f t="shared" ca="1" si="71"/>
        <v>-144.02866072921779</v>
      </c>
      <c r="W116" s="8">
        <f t="shared" ca="1" si="71"/>
        <v>-127.34734335181585</v>
      </c>
      <c r="X116" s="8">
        <f t="shared" ca="1" si="71"/>
        <v>-106.82714051266016</v>
      </c>
      <c r="Y116" s="8">
        <f t="shared" ca="1" si="71"/>
        <v>-83.074601795606682</v>
      </c>
      <c r="Z116" s="8">
        <f t="shared" ca="1" si="71"/>
        <v>-56.811897568386748</v>
      </c>
      <c r="AA116" s="8">
        <f t="shared" ca="1" si="71"/>
        <v>-28.838681423967998</v>
      </c>
      <c r="AB116" s="9">
        <f t="shared" ca="1" si="71"/>
        <v>0</v>
      </c>
    </row>
    <row r="117" spans="4:28" x14ac:dyDescent="0.25">
      <c r="D117" s="17"/>
      <c r="E117" s="2">
        <f t="shared" si="61"/>
        <v>3.0000000000000013</v>
      </c>
      <c r="H117" s="9">
        <f t="shared" ref="H117:AB117" ca="1" si="72" xml:space="preserve"> -(D*(nu*H68+G67+nu*H66+I67+((-2*nu)-2)*H67))/delta^2</f>
        <v>2.036136892438222E-13</v>
      </c>
      <c r="I117" s="8">
        <f t="shared" ca="1" si="72"/>
        <v>-25.379710884113926</v>
      </c>
      <c r="J117" s="8">
        <f t="shared" ca="1" si="72"/>
        <v>-50.470010080417708</v>
      </c>
      <c r="K117" s="8">
        <f t="shared" ca="1" si="72"/>
        <v>-74.959651096845533</v>
      </c>
      <c r="L117" s="8">
        <f t="shared" ca="1" si="72"/>
        <v>-98.49508922490655</v>
      </c>
      <c r="M117" s="8">
        <f t="shared" ca="1" si="72"/>
        <v>-120.663187411889</v>
      </c>
      <c r="N117" s="8">
        <f t="shared" ca="1" si="72"/>
        <v>-140.97967852512761</v>
      </c>
      <c r="O117" s="8">
        <f t="shared" ca="1" si="72"/>
        <v>-158.88693289989675</v>
      </c>
      <c r="P117" s="8">
        <f t="shared" ca="1" si="72"/>
        <v>-173.76529006893853</v>
      </c>
      <c r="Q117" s="8">
        <f t="shared" ca="1" si="72"/>
        <v>-184.96192864047859</v>
      </c>
      <c r="R117" s="8">
        <f t="shared" ca="1" si="72"/>
        <v>-191.83901487724128</v>
      </c>
      <c r="S117" s="8">
        <f t="shared" ca="1" si="72"/>
        <v>-193.83808183324868</v>
      </c>
      <c r="T117" s="8">
        <f t="shared" ca="1" si="72"/>
        <v>-190.55105677080297</v>
      </c>
      <c r="U117" s="8">
        <f t="shared" ca="1" si="72"/>
        <v>-181.78309135325259</v>
      </c>
      <c r="V117" s="8">
        <f t="shared" ca="1" si="72"/>
        <v>-167.59220128003912</v>
      </c>
      <c r="W117" s="8">
        <f t="shared" ca="1" si="72"/>
        <v>-148.29655386763335</v>
      </c>
      <c r="X117" s="8">
        <f t="shared" ca="1" si="72"/>
        <v>-124.44941474630626</v>
      </c>
      <c r="Y117" s="8">
        <f t="shared" ca="1" si="72"/>
        <v>-96.7908480279538</v>
      </c>
      <c r="Z117" s="8">
        <f t="shared" ca="1" si="72"/>
        <v>-66.190815260040267</v>
      </c>
      <c r="AA117" s="8">
        <f t="shared" ca="1" si="72"/>
        <v>-33.597666843373801</v>
      </c>
      <c r="AB117" s="9">
        <f t="shared" ca="1" si="72"/>
        <v>0</v>
      </c>
    </row>
    <row r="118" spans="4:28" x14ac:dyDescent="0.25">
      <c r="D118" s="17"/>
      <c r="E118" s="2">
        <f t="shared" si="61"/>
        <v>2.9000000000000012</v>
      </c>
      <c r="H118" s="9">
        <f t="shared" ref="H118:AB118" ca="1" si="73" xml:space="preserve"> -(D*(nu*H69+G68+nu*H67+I68+((-2*nu)-2)*H68))/delta^2</f>
        <v>0</v>
      </c>
      <c r="I118" s="8">
        <f t="shared" ca="1" si="73"/>
        <v>-28.359128605241192</v>
      </c>
      <c r="J118" s="8">
        <f t="shared" ca="1" si="73"/>
        <v>-56.44964168464837</v>
      </c>
      <c r="K118" s="8">
        <f t="shared" ca="1" si="73"/>
        <v>-83.974978989446782</v>
      </c>
      <c r="L118" s="8">
        <f t="shared" ca="1" si="73"/>
        <v>-110.5835601401586</v>
      </c>
      <c r="M118" s="8">
        <f t="shared" ca="1" si="73"/>
        <v>-135.84409570876983</v>
      </c>
      <c r="N118" s="8">
        <f t="shared" ca="1" si="73"/>
        <v>-159.22610083375969</v>
      </c>
      <c r="O118" s="8">
        <f t="shared" ca="1" si="73"/>
        <v>-180.09027354112089</v>
      </c>
      <c r="P118" s="8">
        <f t="shared" ca="1" si="73"/>
        <v>-197.69534685801949</v>
      </c>
      <c r="Q118" s="8">
        <f t="shared" ca="1" si="73"/>
        <v>-211.22895972737973</v>
      </c>
      <c r="R118" s="8">
        <f t="shared" ca="1" si="73"/>
        <v>-219.868090373402</v>
      </c>
      <c r="S118" s="8">
        <f t="shared" ca="1" si="73"/>
        <v>-222.86761060111598</v>
      </c>
      <c r="T118" s="8">
        <f t="shared" ca="1" si="73"/>
        <v>-219.66372330932168</v>
      </c>
      <c r="U118" s="8">
        <f t="shared" ca="1" si="73"/>
        <v>-209.96792203365908</v>
      </c>
      <c r="V118" s="8">
        <f t="shared" ca="1" si="73"/>
        <v>-193.82581237747519</v>
      </c>
      <c r="W118" s="8">
        <f t="shared" ca="1" si="73"/>
        <v>-171.6254229285654</v>
      </c>
      <c r="X118" s="8">
        <f t="shared" ca="1" si="73"/>
        <v>-144.05521495531011</v>
      </c>
      <c r="Y118" s="8">
        <f t="shared" ca="1" si="73"/>
        <v>-112.0274900243231</v>
      </c>
      <c r="Z118" s="8">
        <f t="shared" ca="1" si="73"/>
        <v>-76.592880678304994</v>
      </c>
      <c r="AA118" s="8">
        <f t="shared" ca="1" si="73"/>
        <v>-38.869722750421651</v>
      </c>
      <c r="AB118" s="9">
        <f t="shared" ca="1" si="73"/>
        <v>0</v>
      </c>
    </row>
    <row r="119" spans="4:28" x14ac:dyDescent="0.25">
      <c r="D119" s="17"/>
      <c r="E119" s="2">
        <f t="shared" si="61"/>
        <v>2.8000000000000012</v>
      </c>
      <c r="H119" s="9">
        <f t="shared" ref="H119:AB119" ca="1" si="74" xml:space="preserve"> -(D*(nu*H70+G69+nu*H68+I69+((-2*nu)-2)*H69))/delta^2</f>
        <v>0</v>
      </c>
      <c r="I119" s="8">
        <f t="shared" ca="1" si="74"/>
        <v>-31.361752135183028</v>
      </c>
      <c r="J119" s="8">
        <f t="shared" ca="1" si="74"/>
        <v>-62.495713851570613</v>
      </c>
      <c r="K119" s="8">
        <f t="shared" ca="1" si="74"/>
        <v>-93.139918740188662</v>
      </c>
      <c r="L119" s="8">
        <f t="shared" ca="1" si="74"/>
        <v>-122.9639184660944</v>
      </c>
      <c r="M119" s="8">
        <f t="shared" ca="1" si="74"/>
        <v>-151.53505668723253</v>
      </c>
      <c r="N119" s="8">
        <f t="shared" ca="1" si="74"/>
        <v>-178.28787001944158</v>
      </c>
      <c r="O119" s="8">
        <f t="shared" ca="1" si="74"/>
        <v>-202.50217707008264</v>
      </c>
      <c r="P119" s="8">
        <f t="shared" ca="1" si="74"/>
        <v>-223.2994256254388</v>
      </c>
      <c r="Q119" s="8">
        <f t="shared" ca="1" si="74"/>
        <v>-239.67057202367869</v>
      </c>
      <c r="R119" s="8">
        <f t="shared" ca="1" si="74"/>
        <v>-250.54877710240055</v>
      </c>
      <c r="S119" s="8">
        <f t="shared" ca="1" si="74"/>
        <v>-254.93113883218368</v>
      </c>
      <c r="T119" s="8">
        <f t="shared" ca="1" si="74"/>
        <v>-252.03240105456675</v>
      </c>
      <c r="U119" s="8">
        <f t="shared" ca="1" si="74"/>
        <v>-241.42917295521829</v>
      </c>
      <c r="V119" s="8">
        <f t="shared" ca="1" si="74"/>
        <v>-223.14932980820842</v>
      </c>
      <c r="W119" s="8">
        <f t="shared" ca="1" si="74"/>
        <v>-197.68107565551674</v>
      </c>
      <c r="X119" s="8">
        <f t="shared" ca="1" si="74"/>
        <v>-165.90213133796553</v>
      </c>
      <c r="Y119" s="8">
        <f t="shared" ca="1" si="74"/>
        <v>-128.95542249906626</v>
      </c>
      <c r="Z119" s="8">
        <f t="shared" ca="1" si="74"/>
        <v>-88.117197154442096</v>
      </c>
      <c r="AA119" s="8">
        <f t="shared" ca="1" si="74"/>
        <v>-44.699072026795541</v>
      </c>
      <c r="AB119" s="9">
        <f t="shared" ca="1" si="74"/>
        <v>0</v>
      </c>
    </row>
    <row r="120" spans="4:28" x14ac:dyDescent="0.25">
      <c r="D120" s="17"/>
      <c r="E120" s="2">
        <f t="shared" si="61"/>
        <v>2.7000000000000011</v>
      </c>
      <c r="H120" s="9">
        <f t="shared" ref="H120:AB120" ca="1" si="75" xml:space="preserve"> -(D*(nu*H71+G70+nu*H69+I70+((-2*nu)-2)*H70))/delta^2</f>
        <v>0</v>
      </c>
      <c r="I120" s="8">
        <f t="shared" ca="1" si="75"/>
        <v>-34.339889209530185</v>
      </c>
      <c r="J120" s="8">
        <f t="shared" ca="1" si="75"/>
        <v>-68.515469967819456</v>
      </c>
      <c r="K120" s="8">
        <f t="shared" ca="1" si="75"/>
        <v>-102.32277763225007</v>
      </c>
      <c r="L120" s="8">
        <f t="shared" ca="1" si="75"/>
        <v>-135.47682120996487</v>
      </c>
      <c r="M120" s="8">
        <f t="shared" ca="1" si="75"/>
        <v>-167.56765722807401</v>
      </c>
      <c r="N120" s="8">
        <f t="shared" ca="1" si="75"/>
        <v>-198.01521855291315</v>
      </c>
      <c r="O120" s="8">
        <f t="shared" ca="1" si="75"/>
        <v>-226.02839442115607</v>
      </c>
      <c r="P120" s="8">
        <f t="shared" ca="1" si="75"/>
        <v>-250.58078309830125</v>
      </c>
      <c r="Q120" s="8">
        <f t="shared" ca="1" si="75"/>
        <v>-270.42458890301162</v>
      </c>
      <c r="R120" s="8">
        <f t="shared" ca="1" si="75"/>
        <v>-284.17058634047243</v>
      </c>
      <c r="S120" s="8">
        <f t="shared" ca="1" si="75"/>
        <v>-290.45396487786911</v>
      </c>
      <c r="T120" s="8">
        <f t="shared" ca="1" si="75"/>
        <v>-288.1683939009157</v>
      </c>
      <c r="U120" s="8">
        <f t="shared" ca="1" si="75"/>
        <v>-276.69390525597453</v>
      </c>
      <c r="V120" s="8">
        <f t="shared" ca="1" si="75"/>
        <v>-256.03537419721653</v>
      </c>
      <c r="W120" s="8">
        <f t="shared" ca="1" si="75"/>
        <v>-226.83188652128675</v>
      </c>
      <c r="X120" s="8">
        <f t="shared" ca="1" si="75"/>
        <v>-190.23773952235308</v>
      </c>
      <c r="Y120" s="8">
        <f t="shared" ca="1" si="75"/>
        <v>-147.7162643263942</v>
      </c>
      <c r="Z120" s="8">
        <f t="shared" ca="1" si="75"/>
        <v>-100.83105662974978</v>
      </c>
      <c r="AA120" s="8">
        <f t="shared" ca="1" si="75"/>
        <v>-51.110027852481423</v>
      </c>
      <c r="AB120" s="9">
        <f t="shared" ca="1" si="75"/>
        <v>0</v>
      </c>
    </row>
    <row r="121" spans="4:28" x14ac:dyDescent="0.25">
      <c r="D121" s="17"/>
      <c r="E121" s="2">
        <f t="shared" si="61"/>
        <v>2.600000000000001</v>
      </c>
      <c r="H121" s="9">
        <f t="shared" ref="H121:AB121" ca="1" si="76" xml:space="preserve"> -(D*(nu*H72+G71+nu*H70+I71+((-2*nu)-2)*H71))/delta^2</f>
        <v>0</v>
      </c>
      <c r="I121" s="8">
        <f t="shared" ca="1" si="76"/>
        <v>-37.234709833025768</v>
      </c>
      <c r="J121" s="8">
        <f t="shared" ca="1" si="76"/>
        <v>-74.392505771844725</v>
      </c>
      <c r="K121" s="8">
        <f t="shared" ca="1" si="76"/>
        <v>-111.35329078666511</v>
      </c>
      <c r="L121" s="8">
        <f t="shared" ca="1" si="76"/>
        <v>-147.90679268547709</v>
      </c>
      <c r="M121" s="8">
        <f t="shared" ca="1" si="76"/>
        <v>-183.69851293861424</v>
      </c>
      <c r="N121" s="8">
        <f t="shared" ca="1" si="76"/>
        <v>-218.16716034814411</v>
      </c>
      <c r="O121" s="8">
        <f t="shared" ca="1" si="76"/>
        <v>-250.47670715888569</v>
      </c>
      <c r="P121" s="8">
        <f t="shared" ca="1" si="76"/>
        <v>-279.4561495157497</v>
      </c>
      <c r="Q121" s="8">
        <f t="shared" ca="1" si="76"/>
        <v>-303.5777125091173</v>
      </c>
      <c r="R121" s="8">
        <f t="shared" ca="1" si="76"/>
        <v>-321.02646873383804</v>
      </c>
      <c r="S121" s="8">
        <f t="shared" ca="1" si="76"/>
        <v>-329.91983778366159</v>
      </c>
      <c r="T121" s="8">
        <f t="shared" ca="1" si="76"/>
        <v>-328.67544167101306</v>
      </c>
      <c r="U121" s="8">
        <f t="shared" ca="1" si="76"/>
        <v>-316.38309270419347</v>
      </c>
      <c r="V121" s="8">
        <f t="shared" ca="1" si="76"/>
        <v>-293.01987816760857</v>
      </c>
      <c r="W121" s="8">
        <f t="shared" ca="1" si="76"/>
        <v>-259.45922023135535</v>
      </c>
      <c r="X121" s="8">
        <f t="shared" ca="1" si="76"/>
        <v>-217.27492498850958</v>
      </c>
      <c r="Y121" s="8">
        <f t="shared" ca="1" si="76"/>
        <v>-168.39143348203891</v>
      </c>
      <c r="Z121" s="8">
        <f t="shared" ca="1" si="76"/>
        <v>-114.74355507717242</v>
      </c>
      <c r="AA121" s="8">
        <f t="shared" ca="1" si="76"/>
        <v>-58.092249591140558</v>
      </c>
      <c r="AB121" s="9">
        <f t="shared" ca="1" si="76"/>
        <v>0</v>
      </c>
    </row>
    <row r="122" spans="4:28" x14ac:dyDescent="0.25">
      <c r="D122" s="17"/>
      <c r="E122" s="2">
        <f t="shared" si="61"/>
        <v>2.5000000000000009</v>
      </c>
      <c r="H122" s="9">
        <f t="shared" ref="H122:AB122" ca="1" si="77" xml:space="preserve"> -(D*(nu*H73+G72+nu*H71+I72+((-2*nu)-2)*H72))/delta^2</f>
        <v>0</v>
      </c>
      <c r="I122" s="8">
        <f t="shared" ca="1" si="77"/>
        <v>-39.979215022828974</v>
      </c>
      <c r="J122" s="8">
        <f t="shared" ca="1" si="77"/>
        <v>-79.991886480456884</v>
      </c>
      <c r="K122" s="8">
        <f t="shared" ca="1" si="77"/>
        <v>-120.02806601510238</v>
      </c>
      <c r="L122" s="8">
        <f t="shared" ca="1" si="77"/>
        <v>-159.98493692957976</v>
      </c>
      <c r="M122" s="8">
        <f t="shared" ca="1" si="77"/>
        <v>-199.60497974774617</v>
      </c>
      <c r="N122" s="8">
        <f t="shared" ca="1" si="77"/>
        <v>-238.39567222474045</v>
      </c>
      <c r="O122" s="8">
        <f t="shared" ca="1" si="77"/>
        <v>-275.52746792854293</v>
      </c>
      <c r="P122" s="8">
        <f t="shared" ca="1" si="77"/>
        <v>-309.71731648179065</v>
      </c>
      <c r="Q122" s="8">
        <f t="shared" ca="1" si="77"/>
        <v>-339.13249273121824</v>
      </c>
      <c r="R122" s="8">
        <f t="shared" ca="1" si="77"/>
        <v>-361.40288045759843</v>
      </c>
      <c r="S122" s="8">
        <f t="shared" ca="1" si="77"/>
        <v>-373.88807541661521</v>
      </c>
      <c r="T122" s="8">
        <f t="shared" ca="1" si="77"/>
        <v>-374.28165645971893</v>
      </c>
      <c r="U122" s="8">
        <f t="shared" ca="1" si="77"/>
        <v>-361.2422901050648</v>
      </c>
      <c r="V122" s="8">
        <f t="shared" ca="1" si="77"/>
        <v>-334.71544518708396</v>
      </c>
      <c r="W122" s="8">
        <f t="shared" ca="1" si="77"/>
        <v>-295.9414253101794</v>
      </c>
      <c r="X122" s="8">
        <f t="shared" ca="1" si="77"/>
        <v>-247.15091742798182</v>
      </c>
      <c r="Y122" s="8">
        <f t="shared" ca="1" si="77"/>
        <v>-190.95490902347095</v>
      </c>
      <c r="Z122" s="8">
        <f t="shared" ca="1" si="77"/>
        <v>-129.76824729022863</v>
      </c>
      <c r="AA122" s="8">
        <f t="shared" ca="1" si="77"/>
        <v>-65.581005244278828</v>
      </c>
      <c r="AB122" s="9">
        <f t="shared" ca="1" si="77"/>
        <v>0</v>
      </c>
    </row>
    <row r="123" spans="4:28" x14ac:dyDescent="0.25">
      <c r="D123" s="17"/>
      <c r="E123" s="2">
        <f t="shared" si="61"/>
        <v>2.4000000000000008</v>
      </c>
      <c r="H123" s="9">
        <f t="shared" ref="H123:AB123" ca="1" si="78" xml:space="preserve"> -(D*(nu*H74+G73+nu*H72+I73+((-2*nu)-2)*H73))/delta^2</f>
        <v>0</v>
      </c>
      <c r="I123" s="8">
        <f t="shared" ca="1" si="78"/>
        <v>-42.503637387752867</v>
      </c>
      <c r="J123" s="8">
        <f t="shared" ca="1" si="78"/>
        <v>-85.170338810364143</v>
      </c>
      <c r="K123" s="8">
        <f t="shared" ca="1" si="78"/>
        <v>-128.12395041650467</v>
      </c>
      <c r="L123" s="8">
        <f t="shared" ca="1" si="78"/>
        <v>-171.40209537676509</v>
      </c>
      <c r="M123" s="8">
        <f t="shared" ca="1" si="78"/>
        <v>-214.89210883595553</v>
      </c>
      <c r="N123" s="8">
        <f t="shared" ca="1" si="78"/>
        <v>-258.23786916671128</v>
      </c>
      <c r="O123" s="8">
        <f t="shared" ca="1" si="78"/>
        <v>-300.70285129769491</v>
      </c>
      <c r="P123" s="8">
        <f t="shared" ca="1" si="78"/>
        <v>-340.97822099445614</v>
      </c>
      <c r="Q123" s="8">
        <f t="shared" ca="1" si="78"/>
        <v>-376.95309916567379</v>
      </c>
      <c r="R123" s="8">
        <f t="shared" ca="1" si="78"/>
        <v>-405.56014990340873</v>
      </c>
      <c r="S123" s="8">
        <f t="shared" ca="1" si="78"/>
        <v>-423.0158715585527</v>
      </c>
      <c r="T123" s="8">
        <f t="shared" ca="1" si="78"/>
        <v>-425.87979410054641</v>
      </c>
      <c r="U123" s="8">
        <f t="shared" ca="1" si="78"/>
        <v>-412.18029705344253</v>
      </c>
      <c r="V123" s="8">
        <f t="shared" ca="1" si="78"/>
        <v>-381.82878435379013</v>
      </c>
      <c r="W123" s="8">
        <f t="shared" ca="1" si="78"/>
        <v>-336.62596076264839</v>
      </c>
      <c r="X123" s="8">
        <f t="shared" ca="1" si="78"/>
        <v>-279.86145059418567</v>
      </c>
      <c r="Y123" s="8">
        <f t="shared" ca="1" si="78"/>
        <v>-215.20574362144913</v>
      </c>
      <c r="Z123" s="8">
        <f t="shared" ca="1" si="78"/>
        <v>-145.67625936562851</v>
      </c>
      <c r="AA123" s="8">
        <f t="shared" ca="1" si="78"/>
        <v>-73.434849810968643</v>
      </c>
      <c r="AB123" s="9">
        <f t="shared" ca="1" si="78"/>
        <v>0</v>
      </c>
    </row>
    <row r="124" spans="4:28" x14ac:dyDescent="0.25">
      <c r="D124" s="17"/>
      <c r="E124" s="2">
        <f t="shared" si="61"/>
        <v>2.3000000000000007</v>
      </c>
      <c r="H124" s="9">
        <f t="shared" ref="H124:AB124" ca="1" si="79" xml:space="preserve"> -(D*(nu*H75+G74+nu*H73+I74+((-2*nu)-2)*H74))/delta^2</f>
        <v>0</v>
      </c>
      <c r="I124" s="8">
        <f t="shared" ca="1" si="79"/>
        <v>-44.743139787073453</v>
      </c>
      <c r="J124" s="8">
        <f t="shared" ca="1" si="79"/>
        <v>-89.791691606707815</v>
      </c>
      <c r="K124" s="8">
        <f t="shared" ca="1" si="79"/>
        <v>-135.42075891190888</v>
      </c>
      <c r="L124" s="8">
        <f t="shared" ca="1" si="79"/>
        <v>-181.83662613848108</v>
      </c>
      <c r="M124" s="8">
        <f t="shared" ca="1" si="79"/>
        <v>-229.11922615031156</v>
      </c>
      <c r="N124" s="8">
        <f t="shared" ca="1" si="79"/>
        <v>-277.12854060773645</v>
      </c>
      <c r="O124" s="8">
        <f t="shared" ca="1" si="79"/>
        <v>-325.3463517837651</v>
      </c>
      <c r="P124" s="8">
        <f t="shared" ca="1" si="79"/>
        <v>-372.60824368064436</v>
      </c>
      <c r="Q124" s="8">
        <f t="shared" ca="1" si="79"/>
        <v>-416.67610374590345</v>
      </c>
      <c r="R124" s="8">
        <f t="shared" ca="1" si="79"/>
        <v>-453.69728381274587</v>
      </c>
      <c r="S124" s="8">
        <f t="shared" ca="1" si="79"/>
        <v>-478.0880052122111</v>
      </c>
      <c r="T124" s="8">
        <f t="shared" ca="1" si="79"/>
        <v>-484.56676340634283</v>
      </c>
      <c r="U124" s="8">
        <f t="shared" ca="1" si="79"/>
        <v>-470.3069265655426</v>
      </c>
      <c r="V124" s="8">
        <f t="shared" ca="1" si="79"/>
        <v>-435.18503016323507</v>
      </c>
      <c r="W124" s="8">
        <f t="shared" ca="1" si="79"/>
        <v>-381.78468081100692</v>
      </c>
      <c r="X124" s="8">
        <f t="shared" ca="1" si="79"/>
        <v>-315.15718257645432</v>
      </c>
      <c r="Y124" s="8">
        <f t="shared" ca="1" si="79"/>
        <v>-240.68147917223394</v>
      </c>
      <c r="Z124" s="8">
        <f t="shared" ca="1" si="79"/>
        <v>-162.05035681095879</v>
      </c>
      <c r="AA124" s="8">
        <f t="shared" ca="1" si="79"/>
        <v>-81.41910813584667</v>
      </c>
      <c r="AB124" s="9">
        <f t="shared" ca="1" si="79"/>
        <v>0</v>
      </c>
    </row>
    <row r="125" spans="4:28" x14ac:dyDescent="0.25">
      <c r="D125" s="17"/>
      <c r="E125" s="2">
        <f t="shared" si="61"/>
        <v>2.2000000000000006</v>
      </c>
      <c r="H125" s="9">
        <f t="shared" ref="H125:AB125" ca="1" si="80" xml:space="preserve"> -(D*(nu*H76+G75+nu*H74+I75+((-2*nu)-2)*H75))/delta^2</f>
        <v>0</v>
      </c>
      <c r="I125" s="8">
        <f t="shared" ca="1" si="80"/>
        <v>-46.646622170956213</v>
      </c>
      <c r="J125" s="8">
        <f t="shared" ca="1" si="80"/>
        <v>-93.745590301694946</v>
      </c>
      <c r="K125" s="8">
        <f t="shared" ca="1" si="80"/>
        <v>-141.73174526217372</v>
      </c>
      <c r="L125" s="8">
        <f t="shared" ca="1" si="80"/>
        <v>-190.99800871612584</v>
      </c>
      <c r="M125" s="8">
        <f t="shared" ca="1" si="80"/>
        <v>-241.8543203592204</v>
      </c>
      <c r="N125" s="8">
        <f t="shared" ca="1" si="80"/>
        <v>-294.45247245483932</v>
      </c>
      <c r="O125" s="8">
        <f t="shared" ca="1" si="80"/>
        <v>-348.64079188354833</v>
      </c>
      <c r="P125" s="8">
        <f t="shared" ca="1" si="80"/>
        <v>-403.66866415236188</v>
      </c>
      <c r="Q125" s="8">
        <f t="shared" ca="1" si="80"/>
        <v>-457.565871455604</v>
      </c>
      <c r="R125" s="8">
        <f t="shared" ca="1" si="80"/>
        <v>-505.89624384770076</v>
      </c>
      <c r="S125" s="8">
        <f t="shared" ca="1" si="80"/>
        <v>-540.0603636154317</v>
      </c>
      <c r="T125" s="8">
        <f t="shared" ca="1" si="80"/>
        <v>-551.64585528642772</v>
      </c>
      <c r="U125" s="8">
        <f t="shared" ca="1" si="80"/>
        <v>-536.93370447229142</v>
      </c>
      <c r="V125" s="8">
        <f t="shared" ca="1" si="80"/>
        <v>-495.76640980977703</v>
      </c>
      <c r="W125" s="8">
        <f t="shared" ca="1" si="80"/>
        <v>-431.54910168437573</v>
      </c>
      <c r="X125" s="8">
        <f t="shared" ca="1" si="80"/>
        <v>-352.38446588289878</v>
      </c>
      <c r="Y125" s="8">
        <f t="shared" ca="1" si="80"/>
        <v>-266.57226054839583</v>
      </c>
      <c r="Z125" s="8">
        <f t="shared" ca="1" si="80"/>
        <v>-178.27038413322666</v>
      </c>
      <c r="AA125" s="8">
        <f t="shared" ca="1" si="80"/>
        <v>-89.213634142630625</v>
      </c>
      <c r="AB125" s="9">
        <f t="shared" ca="1" si="80"/>
        <v>0</v>
      </c>
    </row>
    <row r="126" spans="4:28" x14ac:dyDescent="0.25">
      <c r="D126" s="17"/>
      <c r="E126" s="2">
        <f t="shared" si="61"/>
        <v>2.1000000000000005</v>
      </c>
      <c r="H126" s="9">
        <f t="shared" ref="H126:AB126" ca="1" si="81" xml:space="preserve"> -(D*(nu*H77+G76+nu*H75+I76+((-2*nu)-2)*H76))/delta^2</f>
        <v>0</v>
      </c>
      <c r="I126" s="8">
        <f t="shared" ca="1" si="81"/>
        <v>-48.184121210107172</v>
      </c>
      <c r="J126" s="8">
        <f t="shared" ca="1" si="81"/>
        <v>-96.964367260444249</v>
      </c>
      <c r="K126" s="8">
        <f t="shared" ca="1" si="81"/>
        <v>-146.93443079040506</v>
      </c>
      <c r="L126" s="8">
        <f t="shared" ca="1" si="81"/>
        <v>-198.6787715795605</v>
      </c>
      <c r="M126" s="8">
        <f t="shared" ca="1" si="81"/>
        <v>-252.75526265264924</v>
      </c>
      <c r="N126" s="8">
        <f t="shared" ca="1" si="81"/>
        <v>-309.65585749352726</v>
      </c>
      <c r="O126" s="8">
        <f t="shared" ca="1" si="81"/>
        <v>-369.71913272019378</v>
      </c>
      <c r="P126" s="8">
        <f t="shared" ca="1" si="81"/>
        <v>-432.92148329191252</v>
      </c>
      <c r="Q126" s="8">
        <f t="shared" ca="1" si="81"/>
        <v>-498.30050247614747</v>
      </c>
      <c r="R126" s="8">
        <f t="shared" ca="1" si="81"/>
        <v>-562.05004628355005</v>
      </c>
      <c r="S126" s="8">
        <f t="shared" ca="1" si="81"/>
        <v>-610.12696289636835</v>
      </c>
      <c r="T126" s="8">
        <f t="shared" ca="1" si="81"/>
        <v>-628.48493735584952</v>
      </c>
      <c r="U126" s="8">
        <f t="shared" ca="1" si="81"/>
        <v>-613.43116622250602</v>
      </c>
      <c r="V126" s="8">
        <f t="shared" ca="1" si="81"/>
        <v>-564.77628994070335</v>
      </c>
      <c r="W126" s="8">
        <f t="shared" ca="1" si="81"/>
        <v>-485.8325329444022</v>
      </c>
      <c r="X126" s="8">
        <f t="shared" ca="1" si="81"/>
        <v>-390.26052251752162</v>
      </c>
      <c r="Y126" s="8">
        <f t="shared" ca="1" si="81"/>
        <v>-291.71094709112572</v>
      </c>
      <c r="Z126" s="8">
        <f t="shared" ca="1" si="81"/>
        <v>-193.59230412278322</v>
      </c>
      <c r="AA126" s="8">
        <f t="shared" ca="1" si="81"/>
        <v>-96.471900121129337</v>
      </c>
      <c r="AB126" s="9">
        <f t="shared" ca="1" si="81"/>
        <v>0</v>
      </c>
    </row>
    <row r="127" spans="4:28" x14ac:dyDescent="0.25">
      <c r="D127" s="17"/>
      <c r="E127" s="2">
        <f t="shared" si="61"/>
        <v>2.0000000000000004</v>
      </c>
      <c r="H127" s="9">
        <f t="shared" ref="H127:AB127" ca="1" si="82" xml:space="preserve"> -(D*(nu*H78+G77+nu*H76+I77+((-2*nu)-2)*H77))/delta^2</f>
        <v>0</v>
      </c>
      <c r="I127" s="8">
        <f t="shared" ca="1" si="82"/>
        <v>-49.34948875858624</v>
      </c>
      <c r="J127" s="8">
        <f t="shared" ca="1" si="82"/>
        <v>-99.430355442868034</v>
      </c>
      <c r="K127" s="8">
        <f t="shared" ca="1" si="82"/>
        <v>-150.987598400553</v>
      </c>
      <c r="L127" s="8">
        <f t="shared" ca="1" si="82"/>
        <v>-204.79201724903228</v>
      </c>
      <c r="M127" s="8">
        <f t="shared" ca="1" si="82"/>
        <v>-261.6491149867054</v>
      </c>
      <c r="N127" s="8">
        <f t="shared" ca="1" si="82"/>
        <v>-322.4021450064663</v>
      </c>
      <c r="O127" s="8">
        <f t="shared" ca="1" si="82"/>
        <v>-387.9258379582127</v>
      </c>
      <c r="P127" s="8">
        <f t="shared" ca="1" si="82"/>
        <v>-459.10672069706175</v>
      </c>
      <c r="Q127" s="8">
        <f t="shared" ca="1" si="82"/>
        <v>-536.80631586270408</v>
      </c>
      <c r="R127" s="10">
        <f t="shared" ca="1" si="82"/>
        <v>-621.80582638135434</v>
      </c>
      <c r="S127" s="10">
        <f t="shared" ca="1" si="82"/>
        <v>-689.73575642947469</v>
      </c>
      <c r="T127" s="10">
        <f t="shared" ca="1" si="82"/>
        <v>-716.00047551941225</v>
      </c>
      <c r="U127" s="10">
        <f t="shared" ca="1" si="82"/>
        <v>-700.7129695425931</v>
      </c>
      <c r="V127" s="10">
        <f t="shared" ca="1" si="82"/>
        <v>-643.65509527941003</v>
      </c>
      <c r="W127" s="10">
        <f t="shared" ca="1" si="82"/>
        <v>-544.2727057178414</v>
      </c>
      <c r="X127" s="8">
        <f t="shared" ca="1" si="82"/>
        <v>-426.70569638143309</v>
      </c>
      <c r="Y127" s="8">
        <f t="shared" ca="1" si="82"/>
        <v>-314.84378776405066</v>
      </c>
      <c r="Z127" s="8">
        <f t="shared" ca="1" si="82"/>
        <v>-207.39316804434225</v>
      </c>
      <c r="AA127" s="8">
        <f t="shared" ca="1" si="82"/>
        <v>-102.93965818483181</v>
      </c>
      <c r="AB127" s="9">
        <f t="shared" ca="1" si="82"/>
        <v>0</v>
      </c>
    </row>
    <row r="128" spans="4:28" x14ac:dyDescent="0.25">
      <c r="D128" s="17"/>
      <c r="E128" s="2">
        <f t="shared" si="61"/>
        <v>1.9000000000000006</v>
      </c>
      <c r="H128" s="9">
        <f t="shared" ref="H128:AB128" ca="1" si="83" xml:space="preserve"> -(D*(nu*H79+G78+nu*H77+I78+((-2*nu)-2)*H78))/delta^2</f>
        <v>0</v>
      </c>
      <c r="I128" s="8">
        <f t="shared" ca="1" si="83"/>
        <v>-50.156060461248764</v>
      </c>
      <c r="J128" s="8">
        <f t="shared" ca="1" si="83"/>
        <v>-101.16726438093151</v>
      </c>
      <c r="K128" s="8">
        <f t="shared" ca="1" si="83"/>
        <v>-153.91915801963614</v>
      </c>
      <c r="L128" s="8">
        <f t="shared" ca="1" si="83"/>
        <v>-209.35991476482309</v>
      </c>
      <c r="M128" s="8">
        <f t="shared" ca="1" si="83"/>
        <v>-268.53718578525576</v>
      </c>
      <c r="N128" s="8">
        <f t="shared" ca="1" si="83"/>
        <v>-332.64602694792114</v>
      </c>
      <c r="O128" s="8">
        <f t="shared" ca="1" si="83"/>
        <v>-403.10698907993816</v>
      </c>
      <c r="P128" s="8">
        <f t="shared" ca="1" si="83"/>
        <v>-481.73871274999703</v>
      </c>
      <c r="Q128" s="8">
        <f t="shared" ca="1" si="83"/>
        <v>-571.26257610769289</v>
      </c>
      <c r="R128" s="10">
        <f t="shared" ca="1" si="83"/>
        <v>-677.09503995456214</v>
      </c>
      <c r="S128" s="10">
        <f t="shared" ca="1" si="83"/>
        <v>-764.59309556637243</v>
      </c>
      <c r="T128" s="10">
        <f t="shared" ca="1" si="83"/>
        <v>-798.65824453059042</v>
      </c>
      <c r="U128" s="10">
        <f t="shared" ca="1" si="83"/>
        <v>-783.2377918451632</v>
      </c>
      <c r="V128" s="10">
        <f t="shared" ca="1" si="83"/>
        <v>-718.08838236366341</v>
      </c>
      <c r="W128" s="10">
        <f t="shared" ca="1" si="83"/>
        <v>-598.76817116402015</v>
      </c>
      <c r="X128" s="8">
        <f t="shared" ca="1" si="83"/>
        <v>-459.85719997905096</v>
      </c>
      <c r="Y128" s="8">
        <f t="shared" ca="1" si="83"/>
        <v>-335.43871667798493</v>
      </c>
      <c r="Z128" s="8">
        <f t="shared" ca="1" si="83"/>
        <v>-219.47555205463885</v>
      </c>
      <c r="AA128" s="8">
        <f t="shared" ca="1" si="83"/>
        <v>-108.54150971840089</v>
      </c>
      <c r="AB128" s="9">
        <f t="shared" ca="1" si="83"/>
        <v>0</v>
      </c>
    </row>
    <row r="129" spans="4:28" x14ac:dyDescent="0.25">
      <c r="D129" s="17"/>
      <c r="E129" s="2">
        <f t="shared" si="61"/>
        <v>1.8000000000000005</v>
      </c>
      <c r="H129" s="9">
        <f t="shared" ref="H129:AB129" ca="1" si="84" xml:space="preserve"> -(D*(nu*H80+G79+nu*H78+I79+((-2*nu)-2)*H79))/delta^2</f>
        <v>0</v>
      </c>
      <c r="I129" s="8">
        <f t="shared" ca="1" si="84"/>
        <v>-50.626526646442962</v>
      </c>
      <c r="J129" s="8">
        <f t="shared" ca="1" si="84"/>
        <v>-102.21749303312691</v>
      </c>
      <c r="K129" s="8">
        <f t="shared" ca="1" si="84"/>
        <v>-155.78473902557155</v>
      </c>
      <c r="L129" s="8">
        <f t="shared" ca="1" si="84"/>
        <v>-212.44026921098373</v>
      </c>
      <c r="M129" s="8">
        <f t="shared" ca="1" si="84"/>
        <v>-273.46168752374541</v>
      </c>
      <c r="N129" s="8">
        <f t="shared" ca="1" si="84"/>
        <v>-340.38344808435738</v>
      </c>
      <c r="O129" s="8">
        <f t="shared" ca="1" si="84"/>
        <v>-415.14275716538532</v>
      </c>
      <c r="P129" s="8">
        <f t="shared" ca="1" si="84"/>
        <v>-500.34934865335174</v>
      </c>
      <c r="Q129" s="8">
        <f t="shared" ca="1" si="84"/>
        <v>-599.84065764046454</v>
      </c>
      <c r="R129" s="10">
        <f t="shared" ca="1" si="84"/>
        <v>-719.81102645815133</v>
      </c>
      <c r="S129" s="10">
        <f t="shared" ca="1" si="84"/>
        <v>-820.339569048768</v>
      </c>
      <c r="T129" s="10">
        <f t="shared" ca="1" si="84"/>
        <v>-860.8409424716358</v>
      </c>
      <c r="U129" s="10">
        <f t="shared" ca="1" si="84"/>
        <v>-845.37896507873177</v>
      </c>
      <c r="V129" s="10">
        <f t="shared" ca="1" si="84"/>
        <v>-773.68896886774496</v>
      </c>
      <c r="W129" s="10">
        <f t="shared" ca="1" si="84"/>
        <v>-641.16720320424872</v>
      </c>
      <c r="X129" s="8">
        <f t="shared" ca="1" si="84"/>
        <v>-487.8263352372407</v>
      </c>
      <c r="Y129" s="8">
        <f t="shared" ca="1" si="84"/>
        <v>-352.95668847915312</v>
      </c>
      <c r="Z129" s="8">
        <f t="shared" ca="1" si="84"/>
        <v>-229.64482839164623</v>
      </c>
      <c r="AA129" s="8">
        <f t="shared" ca="1" si="84"/>
        <v>-113.20598329762717</v>
      </c>
      <c r="AB129" s="9">
        <f t="shared" ca="1" si="84"/>
        <v>0</v>
      </c>
    </row>
    <row r="130" spans="4:28" x14ac:dyDescent="0.25">
      <c r="D130" s="17"/>
      <c r="E130" s="2">
        <f t="shared" si="61"/>
        <v>1.7000000000000004</v>
      </c>
      <c r="H130" s="9">
        <f t="shared" ref="H130:AB130" ca="1" si="85" xml:space="preserve"> -(D*(nu*H81+G80+nu*H79+I80+((-2*nu)-2)*H80))/delta^2</f>
        <v>0</v>
      </c>
      <c r="I130" s="8">
        <f t="shared" ca="1" si="85"/>
        <v>-50.782113342178747</v>
      </c>
      <c r="J130" s="8">
        <f t="shared" ca="1" si="85"/>
        <v>-102.61826034893464</v>
      </c>
      <c r="K130" s="8">
        <f t="shared" ca="1" si="85"/>
        <v>-156.62502527331046</v>
      </c>
      <c r="L130" s="8">
        <f t="shared" ca="1" si="85"/>
        <v>-214.05240404131339</v>
      </c>
      <c r="M130" s="8">
        <f t="shared" ca="1" si="85"/>
        <v>-276.37306922636537</v>
      </c>
      <c r="N130" s="8">
        <f t="shared" ca="1" si="85"/>
        <v>-345.40432441343</v>
      </c>
      <c r="O130" s="8">
        <f t="shared" ca="1" si="85"/>
        <v>-423.48467747775578</v>
      </c>
      <c r="P130" s="8">
        <f t="shared" ca="1" si="85"/>
        <v>-513.7371338562707</v>
      </c>
      <c r="Q130" s="8">
        <f t="shared" ca="1" si="85"/>
        <v>-620.44785600605439</v>
      </c>
      <c r="R130" s="10">
        <f t="shared" ca="1" si="85"/>
        <v>-749.48779548991115</v>
      </c>
      <c r="S130" s="10">
        <f t="shared" ca="1" si="85"/>
        <v>-858.22309586971278</v>
      </c>
      <c r="T130" s="10">
        <f t="shared" ca="1" si="85"/>
        <v>-903.21067273561243</v>
      </c>
      <c r="U130" s="10">
        <f t="shared" ca="1" si="85"/>
        <v>-887.78925799215108</v>
      </c>
      <c r="V130" s="10">
        <f t="shared" ca="1" si="85"/>
        <v>-811.6771484399568</v>
      </c>
      <c r="W130" s="10">
        <f t="shared" ca="1" si="85"/>
        <v>-670.95927383884941</v>
      </c>
      <c r="X130" s="8">
        <f t="shared" ca="1" si="85"/>
        <v>-508.46212883812149</v>
      </c>
      <c r="Y130" s="8">
        <f t="shared" ca="1" si="85"/>
        <v>-366.1308085724288</v>
      </c>
      <c r="Z130" s="8">
        <f t="shared" ca="1" si="85"/>
        <v>-237.29300201300268</v>
      </c>
      <c r="AA130" s="8">
        <f t="shared" ca="1" si="85"/>
        <v>-116.69425397611693</v>
      </c>
      <c r="AB130" s="9">
        <f t="shared" ca="1" si="85"/>
        <v>0</v>
      </c>
    </row>
    <row r="131" spans="4:28" x14ac:dyDescent="0.25">
      <c r="D131" s="17"/>
      <c r="E131" s="2">
        <f t="shared" si="61"/>
        <v>1.6000000000000003</v>
      </c>
      <c r="H131" s="9">
        <f t="shared" ref="H131:AB131" ca="1" si="86" xml:space="preserve"> -(D*(nu*H82+G81+nu*H80+I81+((-2*nu)-2)*H81))/delta^2</f>
        <v>0</v>
      </c>
      <c r="I131" s="8">
        <f t="shared" ca="1" si="86"/>
        <v>-50.636051166179499</v>
      </c>
      <c r="J131" s="8">
        <f t="shared" ca="1" si="86"/>
        <v>-102.38912370587448</v>
      </c>
      <c r="K131" s="8">
        <f t="shared" ca="1" si="86"/>
        <v>-156.44928414223631</v>
      </c>
      <c r="L131" s="8">
        <f t="shared" ca="1" si="86"/>
        <v>-214.16274364838853</v>
      </c>
      <c r="M131" s="8">
        <f t="shared" ca="1" si="86"/>
        <v>-277.13607646816502</v>
      </c>
      <c r="N131" s="8">
        <f t="shared" ca="1" si="86"/>
        <v>-347.37380070737959</v>
      </c>
      <c r="O131" s="8">
        <f t="shared" ca="1" si="86"/>
        <v>-427.4599839977011</v>
      </c>
      <c r="P131" s="8">
        <f t="shared" ca="1" si="86"/>
        <v>-520.78172564757176</v>
      </c>
      <c r="Q131" s="8">
        <f t="shared" ca="1" si="86"/>
        <v>-631.74729881407359</v>
      </c>
      <c r="R131" s="10">
        <f t="shared" ca="1" si="86"/>
        <v>-765.83460330112757</v>
      </c>
      <c r="S131" s="10">
        <f t="shared" ca="1" si="86"/>
        <v>-879.09501738108725</v>
      </c>
      <c r="T131" s="10">
        <f t="shared" ca="1" si="86"/>
        <v>-926.69380832499849</v>
      </c>
      <c r="U131" s="10">
        <f t="shared" ca="1" si="86"/>
        <v>-911.3877499035143</v>
      </c>
      <c r="V131" s="10">
        <f t="shared" ca="1" si="86"/>
        <v>-832.88285266956279</v>
      </c>
      <c r="W131" s="10">
        <f t="shared" ca="1" si="86"/>
        <v>-687.81985026053519</v>
      </c>
      <c r="X131" s="8">
        <f t="shared" ca="1" si="86"/>
        <v>-520.38562511238763</v>
      </c>
      <c r="Y131" s="8">
        <f t="shared" ca="1" si="86"/>
        <v>-373.79900141585995</v>
      </c>
      <c r="Z131" s="8">
        <f t="shared" ca="1" si="86"/>
        <v>-241.72315775110192</v>
      </c>
      <c r="AA131" s="8">
        <f t="shared" ca="1" si="86"/>
        <v>-118.69759923503831</v>
      </c>
      <c r="AB131" s="9">
        <f t="shared" ca="1" si="86"/>
        <v>0</v>
      </c>
    </row>
    <row r="132" spans="4:28" x14ac:dyDescent="0.25">
      <c r="D132" s="17"/>
      <c r="E132" s="2">
        <f t="shared" si="61"/>
        <v>1.5000000000000002</v>
      </c>
      <c r="H132" s="9">
        <f t="shared" ref="H132:AB132" ca="1" si="87" xml:space="preserve"> -(D*(nu*H83+G82+nu*H81+I82+((-2*nu)-2)*H82))/delta^2</f>
        <v>0</v>
      </c>
      <c r="I132" s="8">
        <f t="shared" ca="1" si="87"/>
        <v>-50.192232578484024</v>
      </c>
      <c r="J132" s="8">
        <f t="shared" ca="1" si="87"/>
        <v>-101.53196547407748</v>
      </c>
      <c r="K132" s="8">
        <f t="shared" ca="1" si="87"/>
        <v>-155.24339521335767</v>
      </c>
      <c r="L132" s="8">
        <f t="shared" ca="1" si="87"/>
        <v>-212.71470419940476</v>
      </c>
      <c r="M132" s="8">
        <f t="shared" ca="1" si="87"/>
        <v>-275.60714320741562</v>
      </c>
      <c r="N132" s="8">
        <f t="shared" ca="1" si="87"/>
        <v>-345.99690054268746</v>
      </c>
      <c r="O132" s="8">
        <f t="shared" ca="1" si="87"/>
        <v>-426.55548540960115</v>
      </c>
      <c r="P132" s="8">
        <f t="shared" ca="1" si="87"/>
        <v>-520.75395726377542</v>
      </c>
      <c r="Q132" s="8">
        <f t="shared" ca="1" si="87"/>
        <v>-633.02220870927636</v>
      </c>
      <c r="R132" s="10">
        <f t="shared" ca="1" si="87"/>
        <v>-768.68881096651046</v>
      </c>
      <c r="S132" s="10">
        <f t="shared" ca="1" si="87"/>
        <v>-883.4115491729998</v>
      </c>
      <c r="T132" s="10">
        <f t="shared" ca="1" si="87"/>
        <v>-931.93759127064607</v>
      </c>
      <c r="U132" s="10">
        <f t="shared" ca="1" si="87"/>
        <v>-916.81782319804131</v>
      </c>
      <c r="V132" s="10">
        <f t="shared" ca="1" si="87"/>
        <v>-837.75113731583951</v>
      </c>
      <c r="W132" s="10">
        <f t="shared" ca="1" si="87"/>
        <v>-691.56936766324804</v>
      </c>
      <c r="X132" s="8">
        <f t="shared" ca="1" si="87"/>
        <v>-522.86092817324516</v>
      </c>
      <c r="Y132" s="8">
        <f t="shared" ca="1" si="87"/>
        <v>-375.21825704289262</v>
      </c>
      <c r="Z132" s="8">
        <f t="shared" ca="1" si="87"/>
        <v>-242.42812352204277</v>
      </c>
      <c r="AA132" s="8">
        <f t="shared" ca="1" si="87"/>
        <v>-118.97356024291847</v>
      </c>
      <c r="AB132" s="9">
        <f t="shared" ca="1" si="87"/>
        <v>0</v>
      </c>
    </row>
    <row r="133" spans="4:28" x14ac:dyDescent="0.25">
      <c r="D133" s="17"/>
      <c r="E133" s="2">
        <f t="shared" si="61"/>
        <v>1.4000000000000001</v>
      </c>
      <c r="H133" s="9">
        <f t="shared" ref="H133:AB133" ca="1" si="88" xml:space="preserve"> -(D*(nu*H84+G83+nu*H82+I83+((-2*nu)-2)*H83))/delta^2</f>
        <v>0</v>
      </c>
      <c r="I133" s="8">
        <f t="shared" ca="1" si="88"/>
        <v>-49.446522420159376</v>
      </c>
      <c r="J133" s="8">
        <f t="shared" ca="1" si="88"/>
        <v>-100.0362454378416</v>
      </c>
      <c r="K133" s="8">
        <f t="shared" ca="1" si="88"/>
        <v>-152.98508509534778</v>
      </c>
      <c r="L133" s="8">
        <f t="shared" ca="1" si="88"/>
        <v>-209.66441837605618</v>
      </c>
      <c r="M133" s="8">
        <f t="shared" ca="1" si="88"/>
        <v>-271.70490289565328</v>
      </c>
      <c r="N133" s="8">
        <f t="shared" ca="1" si="88"/>
        <v>-341.13360120595689</v>
      </c>
      <c r="O133" s="8">
        <f t="shared" ca="1" si="88"/>
        <v>-420.55506938422553</v>
      </c>
      <c r="P133" s="8">
        <f t="shared" ca="1" si="88"/>
        <v>-513.37427063606094</v>
      </c>
      <c r="Q133" s="8">
        <f t="shared" ca="1" si="88"/>
        <v>-624.01411885843811</v>
      </c>
      <c r="R133" s="10">
        <f t="shared" ca="1" si="88"/>
        <v>-757.96333524356021</v>
      </c>
      <c r="S133" s="10">
        <f t="shared" ca="1" si="88"/>
        <v>-871.27974703666882</v>
      </c>
      <c r="T133" s="10">
        <f t="shared" ca="1" si="88"/>
        <v>-919.130232919327</v>
      </c>
      <c r="U133" s="10">
        <f t="shared" ca="1" si="88"/>
        <v>-904.26800716296702</v>
      </c>
      <c r="V133" s="10">
        <f t="shared" ca="1" si="88"/>
        <v>-826.39018627793507</v>
      </c>
      <c r="W133" s="10">
        <f t="shared" ca="1" si="88"/>
        <v>-682.12330900378981</v>
      </c>
      <c r="X133" s="8">
        <f t="shared" ca="1" si="88"/>
        <v>-515.6350073614401</v>
      </c>
      <c r="Y133" s="8">
        <f t="shared" ca="1" si="88"/>
        <v>-370.12025644577511</v>
      </c>
      <c r="Z133" s="8">
        <f t="shared" ca="1" si="88"/>
        <v>-239.2144412928001</v>
      </c>
      <c r="AA133" s="8">
        <f t="shared" ca="1" si="88"/>
        <v>-117.42615451178773</v>
      </c>
      <c r="AB133" s="9">
        <f t="shared" ca="1" si="88"/>
        <v>0</v>
      </c>
    </row>
    <row r="134" spans="4:28" x14ac:dyDescent="0.25">
      <c r="D134" s="17"/>
      <c r="E134" s="2">
        <f t="shared" si="61"/>
        <v>1.3</v>
      </c>
      <c r="H134" s="9">
        <f t="shared" ref="H134:AB134" ca="1" si="89" xml:space="preserve"> -(D*(nu*H85+G84+nu*H83+I84+((-2*nu)-2)*H84))/delta^2</f>
        <v>0</v>
      </c>
      <c r="I134" s="8">
        <f t="shared" ca="1" si="89"/>
        <v>-48.387646649198651</v>
      </c>
      <c r="J134" s="8">
        <f t="shared" ca="1" si="89"/>
        <v>-97.881815806700914</v>
      </c>
      <c r="K134" s="8">
        <f t="shared" ca="1" si="89"/>
        <v>-149.6509436258097</v>
      </c>
      <c r="L134" s="8">
        <f t="shared" ca="1" si="89"/>
        <v>-204.99555231285328</v>
      </c>
      <c r="M134" s="8">
        <f t="shared" ca="1" si="89"/>
        <v>-265.43673097397135</v>
      </c>
      <c r="N134" s="8">
        <f t="shared" ca="1" si="89"/>
        <v>-332.83718202080786</v>
      </c>
      <c r="O134" s="8">
        <f t="shared" ca="1" si="89"/>
        <v>-409.57675552690887</v>
      </c>
      <c r="P134" s="8">
        <f t="shared" ca="1" si="89"/>
        <v>-498.81459047011748</v>
      </c>
      <c r="Q134" s="8">
        <f t="shared" ca="1" si="89"/>
        <v>-604.86655279154445</v>
      </c>
      <c r="R134" s="10">
        <f t="shared" ca="1" si="89"/>
        <v>-733.62564388086878</v>
      </c>
      <c r="S134" s="10">
        <f t="shared" ca="1" si="89"/>
        <v>-842.47126242429204</v>
      </c>
      <c r="T134" s="10">
        <f t="shared" ca="1" si="89"/>
        <v>-887.96381952343927</v>
      </c>
      <c r="U134" s="10">
        <f t="shared" ca="1" si="89"/>
        <v>-873.43508605077704</v>
      </c>
      <c r="V134" s="10">
        <f t="shared" ca="1" si="89"/>
        <v>-798.58559160826735</v>
      </c>
      <c r="W134" s="10">
        <f t="shared" ca="1" si="89"/>
        <v>-659.47174783971957</v>
      </c>
      <c r="X134" s="8">
        <f t="shared" ca="1" si="89"/>
        <v>-498.88127004706337</v>
      </c>
      <c r="Y134" s="8">
        <f t="shared" ca="1" si="89"/>
        <v>-358.71113608335401</v>
      </c>
      <c r="Z134" s="8">
        <f t="shared" ca="1" si="89"/>
        <v>-232.23290679371843</v>
      </c>
      <c r="AA134" s="8">
        <f t="shared" ca="1" si="89"/>
        <v>-114.12966442868881</v>
      </c>
      <c r="AB134" s="9">
        <f t="shared" ca="1" si="89"/>
        <v>0</v>
      </c>
    </row>
    <row r="135" spans="4:28" x14ac:dyDescent="0.25">
      <c r="D135" s="17"/>
      <c r="E135" s="2">
        <f t="shared" si="61"/>
        <v>1.2</v>
      </c>
      <c r="H135" s="9">
        <f t="shared" ref="H135:AB135" ca="1" si="90" xml:space="preserve"> -(D*(nu*H86+G85+nu*H84+I85+((-2*nu)-2)*H85))/delta^2</f>
        <v>0</v>
      </c>
      <c r="I135" s="8">
        <f t="shared" ca="1" si="90"/>
        <v>-46.996372518078665</v>
      </c>
      <c r="J135" s="8">
        <f t="shared" ca="1" si="90"/>
        <v>-95.036223397818333</v>
      </c>
      <c r="K135" s="8">
        <f t="shared" ca="1" si="90"/>
        <v>-145.20953427337724</v>
      </c>
      <c r="L135" s="8">
        <f t="shared" ca="1" si="90"/>
        <v>-198.70457217175132</v>
      </c>
      <c r="M135" s="8">
        <f t="shared" ca="1" si="90"/>
        <v>-256.87218309497439</v>
      </c>
      <c r="N135" s="8">
        <f t="shared" ca="1" si="90"/>
        <v>-321.3156946723945</v>
      </c>
      <c r="O135" s="8">
        <f t="shared" ca="1" si="90"/>
        <v>-394.03524819731359</v>
      </c>
      <c r="P135" s="8">
        <f t="shared" ca="1" si="90"/>
        <v>-477.69580811949464</v>
      </c>
      <c r="Q135" s="8">
        <f t="shared" ca="1" si="90"/>
        <v>-576.18044147722378</v>
      </c>
      <c r="R135" s="10">
        <f t="shared" ca="1" si="90"/>
        <v>-695.71760801559276</v>
      </c>
      <c r="S135" s="10">
        <f t="shared" ca="1" si="90"/>
        <v>-796.40722266288765</v>
      </c>
      <c r="T135" s="10">
        <f t="shared" ca="1" si="90"/>
        <v>-837.66989002438254</v>
      </c>
      <c r="U135" s="10">
        <f t="shared" ca="1" si="90"/>
        <v>-823.5593989291898</v>
      </c>
      <c r="V135" s="10">
        <f t="shared" ca="1" si="90"/>
        <v>-753.78449271416628</v>
      </c>
      <c r="W135" s="10">
        <f t="shared" ca="1" si="90"/>
        <v>-623.69832490476085</v>
      </c>
      <c r="X135" s="8">
        <f t="shared" ca="1" si="90"/>
        <v>-473.25469218876515</v>
      </c>
      <c r="Y135" s="8">
        <f t="shared" ca="1" si="90"/>
        <v>-341.67068332482194</v>
      </c>
      <c r="Z135" s="8">
        <f t="shared" ca="1" si="90"/>
        <v>-221.94730362228458</v>
      </c>
      <c r="AA135" s="8">
        <f t="shared" ca="1" si="90"/>
        <v>-109.30447567898945</v>
      </c>
      <c r="AB135" s="9">
        <f t="shared" ca="1" si="90"/>
        <v>0</v>
      </c>
    </row>
    <row r="136" spans="4:28" x14ac:dyDescent="0.25">
      <c r="D136" s="17"/>
      <c r="E136" s="2">
        <f t="shared" si="61"/>
        <v>1.0999999999999999</v>
      </c>
      <c r="H136" s="9">
        <f t="shared" ref="H136:AB136" ca="1" si="91" xml:space="preserve"> -(D*(nu*H87+G86+nu*H85+I86+((-2*nu)-2)*H86))/delta^2</f>
        <v>0</v>
      </c>
      <c r="I136" s="8">
        <f t="shared" ca="1" si="91"/>
        <v>-45.244285749144872</v>
      </c>
      <c r="J136" s="8">
        <f t="shared" ca="1" si="91"/>
        <v>-91.449610350461356</v>
      </c>
      <c r="K136" s="8">
        <f t="shared" ca="1" si="91"/>
        <v>-139.60633578661134</v>
      </c>
      <c r="L136" s="8">
        <f t="shared" ca="1" si="91"/>
        <v>-190.76516217795225</v>
      </c>
      <c r="M136" s="8">
        <f t="shared" ca="1" si="91"/>
        <v>-246.0725279023855</v>
      </c>
      <c r="N136" s="8">
        <f t="shared" ca="1" si="91"/>
        <v>-306.81676814777643</v>
      </c>
      <c r="O136" s="8">
        <f t="shared" ca="1" si="91"/>
        <v>-374.50409159865154</v>
      </c>
      <c r="P136" s="8">
        <f t="shared" ca="1" si="91"/>
        <v>-451.02874818975209</v>
      </c>
      <c r="Q136" s="8">
        <f t="shared" ca="1" si="91"/>
        <v>-539.17503097255246</v>
      </c>
      <c r="R136" s="10">
        <f t="shared" ca="1" si="91"/>
        <v>-644.40690915196456</v>
      </c>
      <c r="S136" s="10">
        <f t="shared" ca="1" si="91"/>
        <v>-732.11089592433973</v>
      </c>
      <c r="T136" s="10">
        <f t="shared" ca="1" si="91"/>
        <v>-767.19780253782017</v>
      </c>
      <c r="U136" s="10">
        <f t="shared" ca="1" si="91"/>
        <v>-753.60237944175447</v>
      </c>
      <c r="V136" s="10">
        <f t="shared" ca="1" si="91"/>
        <v>-691.04596400770049</v>
      </c>
      <c r="W136" s="10">
        <f t="shared" ca="1" si="91"/>
        <v>-575.02866083469269</v>
      </c>
      <c r="X136" s="8">
        <f t="shared" ca="1" si="91"/>
        <v>-440.05069291141535</v>
      </c>
      <c r="Y136" s="8">
        <f t="shared" ca="1" si="91"/>
        <v>-320.09565298202432</v>
      </c>
      <c r="Z136" s="8">
        <f t="shared" ca="1" si="91"/>
        <v>-209.00969405082313</v>
      </c>
      <c r="AA136" s="8">
        <f t="shared" ca="1" si="91"/>
        <v>-103.23648557445982</v>
      </c>
      <c r="AB136" s="9">
        <f t="shared" ca="1" si="91"/>
        <v>0</v>
      </c>
    </row>
    <row r="137" spans="4:28" x14ac:dyDescent="0.25">
      <c r="D137" s="17"/>
      <c r="E137" s="2">
        <f t="shared" si="61"/>
        <v>0.99999999999999989</v>
      </c>
      <c r="H137" s="9">
        <f t="shared" ref="H137:AB137" ca="1" si="92" xml:space="preserve"> -(D*(nu*H88+G87+nu*H86+I87+((-2*nu)-2)*H87))/delta^2</f>
        <v>0</v>
      </c>
      <c r="I137" s="8">
        <f t="shared" ca="1" si="92"/>
        <v>-43.095259517947234</v>
      </c>
      <c r="J137" s="8">
        <f t="shared" ca="1" si="92"/>
        <v>-87.054954401482817</v>
      </c>
      <c r="K137" s="8">
        <f t="shared" ca="1" si="92"/>
        <v>-132.75599238401801</v>
      </c>
      <c r="L137" s="8">
        <f t="shared" ca="1" si="92"/>
        <v>-181.09859841446482</v>
      </c>
      <c r="M137" s="8">
        <f t="shared" ca="1" si="92"/>
        <v>-233.01352917948526</v>
      </c>
      <c r="N137" s="8">
        <f t="shared" ca="1" si="92"/>
        <v>-289.46296473794592</v>
      </c>
      <c r="O137" s="8">
        <f t="shared" ca="1" si="92"/>
        <v>-351.43156378006529</v>
      </c>
      <c r="P137" s="8">
        <f t="shared" ca="1" si="92"/>
        <v>-419.90362918190209</v>
      </c>
      <c r="Q137" s="8">
        <f t="shared" ca="1" si="92"/>
        <v>-495.82279654507101</v>
      </c>
      <c r="R137" s="10">
        <f t="shared" ca="1" si="92"/>
        <v>-580.03305945870477</v>
      </c>
      <c r="S137" s="10">
        <f t="shared" ca="1" si="92"/>
        <v>-648.20486021974421</v>
      </c>
      <c r="T137" s="10">
        <f t="shared" ca="1" si="92"/>
        <v>-675.75656740764884</v>
      </c>
      <c r="U137" s="10">
        <f t="shared" ca="1" si="92"/>
        <v>-662.78689718011697</v>
      </c>
      <c r="V137" s="10">
        <f t="shared" ca="1" si="92"/>
        <v>-609.03386449075674</v>
      </c>
      <c r="W137" s="10">
        <f t="shared" ca="1" si="92"/>
        <v>-513.86982211707823</v>
      </c>
      <c r="X137" s="8">
        <f t="shared" ca="1" si="92"/>
        <v>-401.33272655164672</v>
      </c>
      <c r="Y137" s="8">
        <f t="shared" ca="1" si="92"/>
        <v>-295.18442787937232</v>
      </c>
      <c r="Z137" s="8">
        <f t="shared" ca="1" si="92"/>
        <v>-193.98099472251926</v>
      </c>
      <c r="AA137" s="8">
        <f t="shared" ca="1" si="92"/>
        <v>-96.140551576973493</v>
      </c>
      <c r="AB137" s="9">
        <f t="shared" ca="1" si="92"/>
        <v>0</v>
      </c>
    </row>
    <row r="138" spans="4:28" x14ac:dyDescent="0.25">
      <c r="D138" s="17"/>
      <c r="E138" s="2">
        <f t="shared" si="61"/>
        <v>0.89999999999999991</v>
      </c>
      <c r="H138" s="9">
        <f t="shared" ref="H138:AB138" ca="1" si="93" xml:space="preserve"> -(D*(nu*H89+G88+nu*H87+I88+((-2*nu)-2)*H88))/delta^2</f>
        <v>0</v>
      </c>
      <c r="I138" s="8">
        <f t="shared" ca="1" si="93"/>
        <v>-40.512171823768256</v>
      </c>
      <c r="J138" s="8">
        <f t="shared" ca="1" si="93"/>
        <v>-81.780892299667727</v>
      </c>
      <c r="K138" s="8">
        <f t="shared" ca="1" si="93"/>
        <v>-124.55922370586001</v>
      </c>
      <c r="L138" s="8">
        <f t="shared" ca="1" si="93"/>
        <v>-169.58862196784131</v>
      </c>
      <c r="M138" s="8">
        <f t="shared" ca="1" si="93"/>
        <v>-217.57976440142625</v>
      </c>
      <c r="N138" s="8">
        <f t="shared" ca="1" si="93"/>
        <v>-269.17072744329278</v>
      </c>
      <c r="O138" s="8">
        <f t="shared" ca="1" si="93"/>
        <v>-324.83628672091373</v>
      </c>
      <c r="P138" s="8">
        <f t="shared" ca="1" si="93"/>
        <v>-384.67514741634932</v>
      </c>
      <c r="Q138" s="8">
        <f t="shared" ca="1" si="93"/>
        <v>-447.82879359534712</v>
      </c>
      <c r="R138" s="8">
        <f t="shared" ca="1" si="93"/>
        <v>-510.57173551184519</v>
      </c>
      <c r="S138" s="8">
        <f t="shared" ca="1" si="93"/>
        <v>-558.91351544129134</v>
      </c>
      <c r="T138" s="8">
        <f t="shared" ca="1" si="93"/>
        <v>-578.82836096166159</v>
      </c>
      <c r="U138" s="8">
        <f t="shared" ca="1" si="93"/>
        <v>-566.60864031967367</v>
      </c>
      <c r="V138" s="8">
        <f t="shared" ca="1" si="93"/>
        <v>-522.01292637715028</v>
      </c>
      <c r="W138" s="8">
        <f t="shared" ca="1" si="93"/>
        <v>-448.26388267949244</v>
      </c>
      <c r="X138" s="8">
        <f t="shared" ca="1" si="93"/>
        <v>-358.89655767120365</v>
      </c>
      <c r="Y138" s="8">
        <f t="shared" ca="1" si="93"/>
        <v>-267.40320902803961</v>
      </c>
      <c r="Z138" s="8">
        <f t="shared" ca="1" si="93"/>
        <v>-177.00573756839313</v>
      </c>
      <c r="AA138" s="8">
        <f t="shared" ca="1" si="93"/>
        <v>-88.062630439190471</v>
      </c>
      <c r="AB138" s="9">
        <f t="shared" ca="1" si="93"/>
        <v>0</v>
      </c>
    </row>
    <row r="139" spans="4:28" x14ac:dyDescent="0.25">
      <c r="D139" s="17"/>
      <c r="E139" s="2">
        <f t="shared" si="61"/>
        <v>0.79999999999999993</v>
      </c>
      <c r="H139" s="9">
        <f t="shared" ref="H139:AB139" ca="1" si="94" xml:space="preserve"> -(D*(nu*H90+G89+nu*H88+I89+((-2*nu)-2)*H89))/delta^2</f>
        <v>0</v>
      </c>
      <c r="I139" s="8">
        <f t="shared" ca="1" si="94"/>
        <v>-37.467994751846113</v>
      </c>
      <c r="J139" s="8">
        <f t="shared" ca="1" si="94"/>
        <v>-75.576092444009049</v>
      </c>
      <c r="K139" s="8">
        <f t="shared" ca="1" si="94"/>
        <v>-114.94615422440113</v>
      </c>
      <c r="L139" s="8">
        <f t="shared" ca="1" si="94"/>
        <v>-156.15628248133908</v>
      </c>
      <c r="M139" s="8">
        <f t="shared" ca="1" si="94"/>
        <v>-199.69796132727524</v>
      </c>
      <c r="N139" s="8">
        <f t="shared" ca="1" si="94"/>
        <v>-245.89815013053621</v>
      </c>
      <c r="O139" s="8">
        <f t="shared" ca="1" si="94"/>
        <v>-294.77014599786139</v>
      </c>
      <c r="P139" s="8">
        <f t="shared" ca="1" si="94"/>
        <v>-345.71322572086353</v>
      </c>
      <c r="Q139" s="8">
        <f t="shared" ca="1" si="94"/>
        <v>-396.88622874964892</v>
      </c>
      <c r="R139" s="8">
        <f t="shared" ca="1" si="94"/>
        <v>-443.95494578278425</v>
      </c>
      <c r="S139" s="8">
        <f t="shared" ca="1" si="94"/>
        <v>-478.3885687462739</v>
      </c>
      <c r="T139" s="8">
        <f t="shared" ca="1" si="94"/>
        <v>-491.80434281394525</v>
      </c>
      <c r="U139" s="8">
        <f t="shared" ca="1" si="94"/>
        <v>-480.46948064159005</v>
      </c>
      <c r="V139" s="8">
        <f t="shared" ca="1" si="94"/>
        <v>-444.16667441657819</v>
      </c>
      <c r="W139" s="8">
        <f t="shared" ca="1" si="94"/>
        <v>-386.19470221206774</v>
      </c>
      <c r="X139" s="8">
        <f t="shared" ca="1" si="94"/>
        <v>-314.5051111490165</v>
      </c>
      <c r="Y139" s="8">
        <f t="shared" ca="1" si="94"/>
        <v>-237.20568726382339</v>
      </c>
      <c r="Z139" s="8">
        <f t="shared" ca="1" si="94"/>
        <v>-158.22740793278265</v>
      </c>
      <c r="AA139" s="8">
        <f t="shared" ca="1" si="94"/>
        <v>-79.050639130070635</v>
      </c>
      <c r="AB139" s="9">
        <f t="shared" ca="1" si="94"/>
        <v>0</v>
      </c>
    </row>
    <row r="140" spans="4:28" x14ac:dyDescent="0.25">
      <c r="D140" s="17"/>
      <c r="E140" s="2">
        <f t="shared" si="61"/>
        <v>0.7</v>
      </c>
      <c r="H140" s="9">
        <f t="shared" ref="H140:AB140" ca="1" si="95" xml:space="preserve"> -(D*(nu*H91+G90+nu*H89+I90+((-2*nu)-2)*H90))/delta^2</f>
        <v>0</v>
      </c>
      <c r="I140" s="8">
        <f t="shared" ca="1" si="95"/>
        <v>-33.956304758075397</v>
      </c>
      <c r="J140" s="8">
        <f t="shared" ca="1" si="95"/>
        <v>-68.432658932950488</v>
      </c>
      <c r="K140" s="8">
        <f t="shared" ca="1" si="95"/>
        <v>-103.91868539573133</v>
      </c>
      <c r="L140" s="8">
        <f t="shared" ca="1" si="95"/>
        <v>-140.83445651666833</v>
      </c>
      <c r="M140" s="8">
        <f t="shared" ca="1" si="95"/>
        <v>-179.47140145684804</v>
      </c>
      <c r="N140" s="8">
        <f t="shared" ca="1" si="95"/>
        <v>-219.89584095943977</v>
      </c>
      <c r="O140" s="8">
        <f t="shared" ca="1" si="95"/>
        <v>-261.78635354432851</v>
      </c>
      <c r="P140" s="8">
        <f t="shared" ca="1" si="95"/>
        <v>-304.15985213508719</v>
      </c>
      <c r="Q140" s="8">
        <f t="shared" ca="1" si="95"/>
        <v>-344.93684045305508</v>
      </c>
      <c r="R140" s="8">
        <f t="shared" ca="1" si="95"/>
        <v>-380.39247793676452</v>
      </c>
      <c r="S140" s="8">
        <f t="shared" ca="1" si="95"/>
        <v>-405.0317339247793</v>
      </c>
      <c r="T140" s="8">
        <f t="shared" ca="1" si="95"/>
        <v>-413.6152306249499</v>
      </c>
      <c r="U140" s="8">
        <f t="shared" ca="1" si="95"/>
        <v>-403.30583907030569</v>
      </c>
      <c r="V140" s="8">
        <f t="shared" ca="1" si="95"/>
        <v>-373.91328076679144</v>
      </c>
      <c r="W140" s="8">
        <f t="shared" ca="1" si="95"/>
        <v>-327.8971500315252</v>
      </c>
      <c r="X140" s="8">
        <f t="shared" ca="1" si="95"/>
        <v>-270.12964604005242</v>
      </c>
      <c r="Y140" s="8">
        <f t="shared" ca="1" si="95"/>
        <v>-205.760455688799</v>
      </c>
      <c r="Z140" s="8">
        <f t="shared" ca="1" si="95"/>
        <v>-138.21032218990359</v>
      </c>
      <c r="AA140" s="8">
        <f t="shared" ca="1" si="95"/>
        <v>-69.32894794580028</v>
      </c>
      <c r="AB140" s="9">
        <f t="shared" ca="1" si="95"/>
        <v>0</v>
      </c>
    </row>
    <row r="141" spans="4:28" x14ac:dyDescent="0.25">
      <c r="D141" s="17"/>
      <c r="E141" s="2">
        <f t="shared" si="61"/>
        <v>0.6</v>
      </c>
      <c r="H141" s="9">
        <f t="shared" ref="H141:AB141" ca="1" si="96" xml:space="preserve"> -(D*(nu*H92+G91+nu*H90+I91+((-2*nu)-2)*H91))/delta^2</f>
        <v>0</v>
      </c>
      <c r="I141" s="8">
        <f t="shared" ca="1" si="96"/>
        <v>-29.996135714176159</v>
      </c>
      <c r="J141" s="8">
        <f t="shared" ca="1" si="96"/>
        <v>-60.395744540990478</v>
      </c>
      <c r="K141" s="8">
        <f t="shared" ca="1" si="96"/>
        <v>-91.563979830166559</v>
      </c>
      <c r="L141" s="8">
        <f t="shared" ca="1" si="96"/>
        <v>-123.7809117539975</v>
      </c>
      <c r="M141" s="8">
        <f t="shared" ca="1" si="96"/>
        <v>-157.17643803943744</v>
      </c>
      <c r="N141" s="8">
        <f t="shared" ca="1" si="96"/>
        <v>-191.63431802503666</v>
      </c>
      <c r="O141" s="8">
        <f t="shared" ca="1" si="96"/>
        <v>-226.65031921050937</v>
      </c>
      <c r="P141" s="8">
        <f t="shared" ca="1" si="96"/>
        <v>-261.13320625184525</v>
      </c>
      <c r="Q141" s="8">
        <f t="shared" ca="1" si="96"/>
        <v>-293.1659321339788</v>
      </c>
      <c r="R141" s="8">
        <f t="shared" ca="1" si="96"/>
        <v>-319.84077707816164</v>
      </c>
      <c r="S141" s="8">
        <f t="shared" ca="1" si="96"/>
        <v>-337.48874909549835</v>
      </c>
      <c r="T141" s="8">
        <f t="shared" ca="1" si="96"/>
        <v>-342.72862639780647</v>
      </c>
      <c r="U141" s="8">
        <f t="shared" ca="1" si="96"/>
        <v>-333.58459453262373</v>
      </c>
      <c r="V141" s="8">
        <f t="shared" ca="1" si="96"/>
        <v>-309.89528899336665</v>
      </c>
      <c r="W141" s="8">
        <f t="shared" ca="1" si="96"/>
        <v>-273.31869023885184</v>
      </c>
      <c r="X141" s="8">
        <f t="shared" ca="1" si="96"/>
        <v>-226.9343187600482</v>
      </c>
      <c r="Y141" s="8">
        <f t="shared" ca="1" si="96"/>
        <v>-174.14142895201374</v>
      </c>
      <c r="Z141" s="8">
        <f t="shared" ca="1" si="96"/>
        <v>-117.63433848669915</v>
      </c>
      <c r="AA141" s="8">
        <f t="shared" ca="1" si="96"/>
        <v>-59.211388713416454</v>
      </c>
      <c r="AB141" s="9">
        <f t="shared" ca="1" si="96"/>
        <v>0</v>
      </c>
    </row>
    <row r="142" spans="4:28" x14ac:dyDescent="0.25">
      <c r="D142" s="17"/>
      <c r="E142" s="2">
        <f t="shared" si="61"/>
        <v>0.5</v>
      </c>
      <c r="H142" s="9">
        <f t="shared" ref="H142:AB142" ca="1" si="97" xml:space="preserve"> -(D*(nu*H93+G92+nu*H91+I92+((-2*nu)-2)*H92))/delta^2</f>
        <v>0</v>
      </c>
      <c r="I142" s="8">
        <f t="shared" ca="1" si="97"/>
        <v>-25.629993598861461</v>
      </c>
      <c r="J142" s="8">
        <f t="shared" ca="1" si="97"/>
        <v>-51.557560593939037</v>
      </c>
      <c r="K142" s="8">
        <f t="shared" ca="1" si="97"/>
        <v>-78.039295757379449</v>
      </c>
      <c r="L142" s="8">
        <f t="shared" ca="1" si="97"/>
        <v>-105.24292966708914</v>
      </c>
      <c r="M142" s="8">
        <f t="shared" ca="1" si="97"/>
        <v>-133.18541748235884</v>
      </c>
      <c r="N142" s="8">
        <f t="shared" ca="1" si="97"/>
        <v>-161.65020081995934</v>
      </c>
      <c r="O142" s="8">
        <f t="shared" ca="1" si="97"/>
        <v>-190.07986664918243</v>
      </c>
      <c r="P142" s="8">
        <f t="shared" ca="1" si="97"/>
        <v>-217.45124656265881</v>
      </c>
      <c r="Q142" s="8">
        <f t="shared" ca="1" si="97"/>
        <v>-242.16792785070291</v>
      </c>
      <c r="R142" s="8">
        <f t="shared" ca="1" si="97"/>
        <v>-262.05904345250724</v>
      </c>
      <c r="S142" s="8">
        <f t="shared" ca="1" si="97"/>
        <v>-274.63195362216834</v>
      </c>
      <c r="T142" s="8">
        <f t="shared" ca="1" si="97"/>
        <v>-277.66281945861766</v>
      </c>
      <c r="U142" s="8">
        <f t="shared" ca="1" si="97"/>
        <v>-269.81652160217823</v>
      </c>
      <c r="V142" s="8">
        <f t="shared" ca="1" si="97"/>
        <v>-250.9612664658431</v>
      </c>
      <c r="W142" s="8">
        <f t="shared" ca="1" si="97"/>
        <v>-222.1745893550696</v>
      </c>
      <c r="X142" s="8">
        <f t="shared" ca="1" si="97"/>
        <v>-185.44218627264652</v>
      </c>
      <c r="Y142" s="8">
        <f t="shared" ca="1" si="97"/>
        <v>-143.05590212791989</v>
      </c>
      <c r="Z142" s="8">
        <f t="shared" ca="1" si="97"/>
        <v>-97.049084907436011</v>
      </c>
      <c r="AA142" s="8">
        <f t="shared" ca="1" si="97"/>
        <v>-48.982210330001259</v>
      </c>
      <c r="AB142" s="9">
        <f t="shared" ca="1" si="97"/>
        <v>0</v>
      </c>
    </row>
    <row r="143" spans="4:28" x14ac:dyDescent="0.25">
      <c r="D143" s="17"/>
      <c r="E143" s="2">
        <f t="shared" si="61"/>
        <v>0.4</v>
      </c>
      <c r="H143" s="9">
        <f t="shared" ref="H143:AB143" ca="1" si="98" xml:space="preserve"> -(D*(nu*H94+G93+nu*H92+I93+((-2*nu)-2)*H93))/delta^2</f>
        <v>0</v>
      </c>
      <c r="I143" s="8">
        <f t="shared" ca="1" si="98"/>
        <v>-20.917350978284471</v>
      </c>
      <c r="J143" s="8">
        <f t="shared" ca="1" si="98"/>
        <v>-42.04222653190493</v>
      </c>
      <c r="K143" s="8">
        <f t="shared" ca="1" si="98"/>
        <v>-63.543563582204776</v>
      </c>
      <c r="L143" s="8">
        <f t="shared" ca="1" si="98"/>
        <v>-85.508252114958225</v>
      </c>
      <c r="M143" s="8">
        <f t="shared" ca="1" si="98"/>
        <v>-107.88851266292328</v>
      </c>
      <c r="N143" s="8">
        <f t="shared" ca="1" si="98"/>
        <v>-130.4376853322843</v>
      </c>
      <c r="O143" s="8">
        <f t="shared" ca="1" si="98"/>
        <v>-152.63677442737153</v>
      </c>
      <c r="P143" s="8">
        <f t="shared" ca="1" si="98"/>
        <v>-173.62437748224841</v>
      </c>
      <c r="Q143" s="8">
        <f t="shared" ca="1" si="98"/>
        <v>-192.16083316102024</v>
      </c>
      <c r="R143" s="8">
        <f t="shared" ca="1" si="98"/>
        <v>-206.6803892527517</v>
      </c>
      <c r="S143" s="8">
        <f t="shared" ca="1" si="98"/>
        <v>-215.49150791486232</v>
      </c>
      <c r="T143" s="8">
        <f t="shared" ca="1" si="98"/>
        <v>-217.12611641286887</v>
      </c>
      <c r="U143" s="8">
        <f t="shared" ca="1" si="98"/>
        <v>-210.69620324858653</v>
      </c>
      <c r="V143" s="8">
        <f t="shared" ca="1" si="98"/>
        <v>-196.09905647300423</v>
      </c>
      <c r="W143" s="8">
        <f t="shared" ca="1" si="98"/>
        <v>-174.02348755562238</v>
      </c>
      <c r="X143" s="8">
        <f t="shared" ca="1" si="98"/>
        <v>-145.75830379185766</v>
      </c>
      <c r="Y143" s="8">
        <f t="shared" ca="1" si="98"/>
        <v>-112.85329643126406</v>
      </c>
      <c r="Z143" s="8">
        <f t="shared" ca="1" si="98"/>
        <v>-76.794269490357465</v>
      </c>
      <c r="AA143" s="8">
        <f t="shared" ca="1" si="98"/>
        <v>-38.83670626830564</v>
      </c>
      <c r="AB143" s="9">
        <f t="shared" ca="1" si="98"/>
        <v>0</v>
      </c>
    </row>
    <row r="144" spans="4:28" x14ac:dyDescent="0.25">
      <c r="D144" s="17"/>
      <c r="E144" s="2">
        <f t="shared" si="61"/>
        <v>0.30000000000000004</v>
      </c>
      <c r="H144" s="9">
        <f t="shared" ref="H144:AB144" ca="1" si="99" xml:space="preserve"> -(D*(nu*H95+G94+nu*H93+I94+((-2*nu)-2)*H94))/delta^2</f>
        <v>0</v>
      </c>
      <c r="I144" s="8">
        <f t="shared" ca="1" si="99"/>
        <v>-15.926957251591119</v>
      </c>
      <c r="J144" s="8">
        <f t="shared" ca="1" si="99"/>
        <v>-31.989222744617027</v>
      </c>
      <c r="K144" s="8">
        <f t="shared" ca="1" si="99"/>
        <v>-48.28998787891085</v>
      </c>
      <c r="L144" s="8">
        <f t="shared" ca="1" si="99"/>
        <v>-64.865217367746482</v>
      </c>
      <c r="M144" s="8">
        <f t="shared" ca="1" si="99"/>
        <v>-81.64340155215605</v>
      </c>
      <c r="N144" s="8">
        <f t="shared" ca="1" si="99"/>
        <v>-98.400177641916969</v>
      </c>
      <c r="O144" s="8">
        <f t="shared" ca="1" si="99"/>
        <v>-114.71212212018588</v>
      </c>
      <c r="P144" s="8">
        <f t="shared" ca="1" si="99"/>
        <v>-129.92128034540391</v>
      </c>
      <c r="Q144" s="8">
        <f t="shared" ca="1" si="99"/>
        <v>-143.1317246127382</v>
      </c>
      <c r="R144" s="8">
        <f t="shared" ca="1" si="99"/>
        <v>-153.26692481150513</v>
      </c>
      <c r="S144" s="8">
        <f t="shared" ca="1" si="99"/>
        <v>-159.20988526761519</v>
      </c>
      <c r="T144" s="8">
        <f t="shared" ca="1" si="99"/>
        <v>-160.0117049815033</v>
      </c>
      <c r="U144" s="8">
        <f t="shared" ca="1" si="99"/>
        <v>-155.09807900006697</v>
      </c>
      <c r="V144" s="8">
        <f t="shared" ca="1" si="99"/>
        <v>-144.39408442266239</v>
      </c>
      <c r="W144" s="8">
        <f t="shared" ca="1" si="99"/>
        <v>-128.3297473641193</v>
      </c>
      <c r="X144" s="8">
        <f t="shared" ca="1" si="99"/>
        <v>-107.7273830574061</v>
      </c>
      <c r="Y144" s="8">
        <f t="shared" ca="1" si="99"/>
        <v>-83.610213516659243</v>
      </c>
      <c r="Z144" s="8">
        <f t="shared" ca="1" si="99"/>
        <v>-57.013916138578011</v>
      </c>
      <c r="AA144" s="8">
        <f t="shared" ca="1" si="99"/>
        <v>-28.873376815379871</v>
      </c>
      <c r="AB144" s="9">
        <f t="shared" ca="1" si="99"/>
        <v>0</v>
      </c>
    </row>
    <row r="145" spans="4:28" x14ac:dyDescent="0.25">
      <c r="D145" s="17"/>
      <c r="E145" s="2">
        <f t="shared" si="61"/>
        <v>0.2</v>
      </c>
      <c r="H145" s="9">
        <f t="shared" ref="H145:AB145" ca="1" si="100" xml:space="preserve"> -(D*(nu*H96+G95+nu*H94+I95+((-2*nu)-2)*H95))/delta^2</f>
        <v>0</v>
      </c>
      <c r="I145" s="8">
        <f t="shared" ca="1" si="100"/>
        <v>-10.730484497948728</v>
      </c>
      <c r="J145" s="8">
        <f t="shared" ca="1" si="100"/>
        <v>-21.540586924847592</v>
      </c>
      <c r="K145" s="8">
        <f t="shared" ca="1" si="100"/>
        <v>-32.487122402996093</v>
      </c>
      <c r="L145" s="8">
        <f t="shared" ca="1" si="100"/>
        <v>-43.579714980722677</v>
      </c>
      <c r="M145" s="8">
        <f t="shared" ca="1" si="100"/>
        <v>-54.753971553149739</v>
      </c>
      <c r="N145" s="8">
        <f t="shared" ca="1" si="100"/>
        <v>-65.843054541781996</v>
      </c>
      <c r="O145" s="8">
        <f t="shared" ca="1" si="100"/>
        <v>-76.551448349375008</v>
      </c>
      <c r="P145" s="8">
        <f t="shared" ca="1" si="100"/>
        <v>-86.438963024118905</v>
      </c>
      <c r="Q145" s="8">
        <f t="shared" ca="1" si="100"/>
        <v>-94.927485546856815</v>
      </c>
      <c r="R145" s="8">
        <f t="shared" ca="1" si="100"/>
        <v>-101.34443598432725</v>
      </c>
      <c r="S145" s="8">
        <f t="shared" ca="1" si="100"/>
        <v>-105.00982723256563</v>
      </c>
      <c r="T145" s="8">
        <f t="shared" ca="1" si="100"/>
        <v>-105.35460546365249</v>
      </c>
      <c r="U145" s="8">
        <f t="shared" ca="1" si="100"/>
        <v>-102.03478227273739</v>
      </c>
      <c r="V145" s="8">
        <f t="shared" ca="1" si="100"/>
        <v>-95.001620240703289</v>
      </c>
      <c r="W145" s="8">
        <f t="shared" ca="1" si="100"/>
        <v>-84.505794404164575</v>
      </c>
      <c r="X145" s="8">
        <f t="shared" ca="1" si="100"/>
        <v>-71.036201247415306</v>
      </c>
      <c r="Y145" s="8">
        <f t="shared" ca="1" si="100"/>
        <v>-55.216819261002001</v>
      </c>
      <c r="Z145" s="8">
        <f t="shared" ca="1" si="100"/>
        <v>-37.702592299030819</v>
      </c>
      <c r="AA145" s="8">
        <f t="shared" ca="1" si="100"/>
        <v>-19.110746751422159</v>
      </c>
      <c r="AB145" s="9">
        <f t="shared" ca="1" si="100"/>
        <v>0</v>
      </c>
    </row>
    <row r="146" spans="4:28" x14ac:dyDescent="0.25">
      <c r="D146" s="17"/>
      <c r="E146" s="2">
        <f t="shared" si="61"/>
        <v>0.1</v>
      </c>
      <c r="H146" s="9">
        <f t="shared" ref="H146:AB146" ca="1" si="101" xml:space="preserve"> -(D*(nu*H97+G96+nu*H95+I96+((-2*nu)-2)*H96))/delta^2</f>
        <v>0</v>
      </c>
      <c r="I146" s="8">
        <f t="shared" ca="1" si="101"/>
        <v>-5.3986695952920716</v>
      </c>
      <c r="J146" s="8">
        <f t="shared" ca="1" si="101"/>
        <v>-10.833792921153716</v>
      </c>
      <c r="K146" s="8">
        <f t="shared" ca="1" si="101"/>
        <v>-16.33003553627616</v>
      </c>
      <c r="L146" s="8">
        <f t="shared" ca="1" si="101"/>
        <v>-21.887834402899525</v>
      </c>
      <c r="M146" s="8">
        <f t="shared" ca="1" si="101"/>
        <v>-27.4700613418063</v>
      </c>
      <c r="N146" s="8">
        <f t="shared" ca="1" si="101"/>
        <v>-32.988443014155635</v>
      </c>
      <c r="O146" s="8">
        <f t="shared" ca="1" si="101"/>
        <v>-38.291850133881923</v>
      </c>
      <c r="P146" s="8">
        <f t="shared" ca="1" si="101"/>
        <v>-43.1604590209298</v>
      </c>
      <c r="Q146" s="8">
        <f t="shared" ca="1" si="101"/>
        <v>-47.311431938128109</v>
      </c>
      <c r="R146" s="8">
        <f t="shared" ca="1" si="101"/>
        <v>-50.421648219334024</v>
      </c>
      <c r="S146" s="8">
        <f t="shared" ca="1" si="101"/>
        <v>-52.169162709034055</v>
      </c>
      <c r="T146" s="8">
        <f t="shared" ca="1" si="101"/>
        <v>-52.286919493292274</v>
      </c>
      <c r="U146" s="8">
        <f t="shared" ca="1" si="101"/>
        <v>-50.613667988184794</v>
      </c>
      <c r="V146" s="8">
        <f t="shared" ca="1" si="101"/>
        <v>-47.125446702972454</v>
      </c>
      <c r="W146" s="8">
        <f t="shared" ca="1" si="101"/>
        <v>-41.937802858676292</v>
      </c>
      <c r="X146" s="8">
        <f t="shared" ca="1" si="101"/>
        <v>-35.279084074298133</v>
      </c>
      <c r="Y146" s="8">
        <f t="shared" ca="1" si="101"/>
        <v>-27.445288808082331</v>
      </c>
      <c r="Z146" s="8">
        <f t="shared" ca="1" si="101"/>
        <v>-18.753688811021735</v>
      </c>
      <c r="AA146" s="8">
        <f t="shared" ca="1" si="101"/>
        <v>-9.5106463487792983</v>
      </c>
      <c r="AB146" s="9">
        <f t="shared" ca="1" si="101"/>
        <v>0</v>
      </c>
    </row>
    <row r="147" spans="4:28" x14ac:dyDescent="0.25">
      <c r="D147" s="17"/>
      <c r="E147" s="2">
        <v>0</v>
      </c>
      <c r="H147" s="9">
        <f t="shared" ref="H147:AB147" si="102" xml:space="preserve"> -(D*(nu*H98+G97+nu*H96+I97+((-2*nu)-2)*H97))/delta^2</f>
        <v>0</v>
      </c>
      <c r="I147" s="9">
        <f t="shared" ca="1" si="102"/>
        <v>0</v>
      </c>
      <c r="J147" s="9">
        <f t="shared" ca="1" si="102"/>
        <v>0</v>
      </c>
      <c r="K147" s="9">
        <f t="shared" ca="1" si="102"/>
        <v>0</v>
      </c>
      <c r="L147" s="9">
        <f t="shared" ca="1" si="102"/>
        <v>0</v>
      </c>
      <c r="M147" s="9">
        <f t="shared" ca="1" si="102"/>
        <v>0</v>
      </c>
      <c r="N147" s="9">
        <f t="shared" ca="1" si="102"/>
        <v>0</v>
      </c>
      <c r="O147" s="9">
        <f t="shared" ca="1" si="102"/>
        <v>0</v>
      </c>
      <c r="P147" s="9">
        <f t="shared" ca="1" si="102"/>
        <v>0</v>
      </c>
      <c r="Q147" s="9">
        <f t="shared" ca="1" si="102"/>
        <v>0</v>
      </c>
      <c r="R147" s="9">
        <f t="shared" ca="1" si="102"/>
        <v>0</v>
      </c>
      <c r="S147" s="9">
        <f t="shared" ca="1" si="102"/>
        <v>0</v>
      </c>
      <c r="T147" s="9">
        <f t="shared" ca="1" si="102"/>
        <v>0</v>
      </c>
      <c r="U147" s="9">
        <f t="shared" ca="1" si="102"/>
        <v>0</v>
      </c>
      <c r="V147" s="9">
        <f t="shared" ca="1" si="102"/>
        <v>0</v>
      </c>
      <c r="W147" s="9">
        <f t="shared" ca="1" si="102"/>
        <v>0</v>
      </c>
      <c r="X147" s="9">
        <f t="shared" ca="1" si="102"/>
        <v>0</v>
      </c>
      <c r="Y147" s="9">
        <f t="shared" ca="1" si="102"/>
        <v>0</v>
      </c>
      <c r="Z147" s="9">
        <f t="shared" ca="1" si="102"/>
        <v>0</v>
      </c>
      <c r="AA147" s="9">
        <f t="shared" ca="1" si="102"/>
        <v>0</v>
      </c>
      <c r="AB147" s="9">
        <f t="shared" si="102"/>
        <v>0</v>
      </c>
    </row>
    <row r="152" spans="4:28" ht="18.75" x14ac:dyDescent="0.3">
      <c r="E152" s="1" t="s">
        <v>19</v>
      </c>
    </row>
    <row r="153" spans="4:28" x14ac:dyDescent="0.25">
      <c r="H153" s="18" t="s">
        <v>17</v>
      </c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</row>
    <row r="154" spans="4:28" x14ac:dyDescent="0.25">
      <c r="H154" s="2">
        <v>0</v>
      </c>
      <c r="I154" s="2">
        <f t="shared" ref="I154:AB154" si="103">+H154+delta</f>
        <v>0.1</v>
      </c>
      <c r="J154" s="2">
        <f t="shared" si="103"/>
        <v>0.2</v>
      </c>
      <c r="K154" s="2">
        <f t="shared" si="103"/>
        <v>0.30000000000000004</v>
      </c>
      <c r="L154" s="2">
        <f t="shared" si="103"/>
        <v>0.4</v>
      </c>
      <c r="M154" s="2">
        <f t="shared" si="103"/>
        <v>0.5</v>
      </c>
      <c r="N154" s="2">
        <f t="shared" si="103"/>
        <v>0.6</v>
      </c>
      <c r="O154" s="2">
        <f t="shared" si="103"/>
        <v>0.7</v>
      </c>
      <c r="P154" s="2">
        <f t="shared" si="103"/>
        <v>0.79999999999999993</v>
      </c>
      <c r="Q154" s="2">
        <f t="shared" si="103"/>
        <v>0.89999999999999991</v>
      </c>
      <c r="R154" s="2">
        <f t="shared" si="103"/>
        <v>0.99999999999999989</v>
      </c>
      <c r="S154" s="2">
        <f t="shared" si="103"/>
        <v>1.0999999999999999</v>
      </c>
      <c r="T154" s="2">
        <f t="shared" si="103"/>
        <v>1.2</v>
      </c>
      <c r="U154" s="2">
        <f t="shared" si="103"/>
        <v>1.3</v>
      </c>
      <c r="V154" s="2">
        <f t="shared" si="103"/>
        <v>1.4000000000000001</v>
      </c>
      <c r="W154" s="2">
        <f t="shared" si="103"/>
        <v>1.5000000000000002</v>
      </c>
      <c r="X154" s="2">
        <f t="shared" si="103"/>
        <v>1.6000000000000003</v>
      </c>
      <c r="Y154" s="2">
        <f t="shared" si="103"/>
        <v>1.7000000000000004</v>
      </c>
      <c r="Z154" s="2">
        <f t="shared" si="103"/>
        <v>1.8000000000000005</v>
      </c>
      <c r="AA154" s="2">
        <f t="shared" si="103"/>
        <v>1.9000000000000006</v>
      </c>
      <c r="AB154" s="2">
        <f t="shared" si="103"/>
        <v>2.0000000000000004</v>
      </c>
    </row>
    <row r="157" spans="4:28" x14ac:dyDescent="0.25">
      <c r="D157" s="17" t="s">
        <v>16</v>
      </c>
      <c r="E157" s="2">
        <f t="shared" ref="E157:E196" si="104">E158+delta</f>
        <v>4.0000000000000018</v>
      </c>
      <c r="H157" s="9">
        <f t="shared" ref="H157:AB157" si="105" xml:space="preserve"> -(D*(H58+nu*G57+H56+nu*I57+((-2*nu)-2)*H57))/delta^2</f>
        <v>0</v>
      </c>
      <c r="I157" s="9">
        <f t="shared" ca="1" si="105"/>
        <v>5.0903422310955551E-14</v>
      </c>
      <c r="J157" s="9">
        <f t="shared" ca="1" si="105"/>
        <v>7.6355133466433335E-14</v>
      </c>
      <c r="K157" s="9">
        <f t="shared" ca="1" si="105"/>
        <v>1.5271026693286667E-13</v>
      </c>
      <c r="L157" s="9">
        <f t="shared" ca="1" si="105"/>
        <v>1.018068446219111E-13</v>
      </c>
      <c r="M157" s="9">
        <f t="shared" ca="1" si="105"/>
        <v>0</v>
      </c>
      <c r="N157" s="9">
        <f t="shared" ca="1" si="105"/>
        <v>0</v>
      </c>
      <c r="O157" s="9">
        <f t="shared" ca="1" si="105"/>
        <v>-1.018068446219111E-13</v>
      </c>
      <c r="P157" s="9">
        <f t="shared" ca="1" si="105"/>
        <v>0</v>
      </c>
      <c r="Q157" s="9">
        <f t="shared" ca="1" si="105"/>
        <v>0</v>
      </c>
      <c r="R157" s="9">
        <f t="shared" ca="1" si="105"/>
        <v>0</v>
      </c>
      <c r="S157" s="9">
        <f t="shared" ca="1" si="105"/>
        <v>0</v>
      </c>
      <c r="T157" s="9">
        <f t="shared" ca="1" si="105"/>
        <v>3.0542053386573334E-13</v>
      </c>
      <c r="U157" s="9">
        <f t="shared" ca="1" si="105"/>
        <v>4.0722737848764441E-13</v>
      </c>
      <c r="V157" s="9">
        <f t="shared" ca="1" si="105"/>
        <v>1.018068446219111E-13</v>
      </c>
      <c r="W157" s="9">
        <f t="shared" ca="1" si="105"/>
        <v>0</v>
      </c>
      <c r="X157" s="9">
        <f t="shared" ca="1" si="105"/>
        <v>0</v>
      </c>
      <c r="Y157" s="9">
        <f t="shared" ca="1" si="105"/>
        <v>0</v>
      </c>
      <c r="Z157" s="9">
        <f t="shared" ca="1" si="105"/>
        <v>0</v>
      </c>
      <c r="AA157" s="9">
        <f t="shared" ca="1" si="105"/>
        <v>-2.5451711155477775E-14</v>
      </c>
      <c r="AB157" s="9">
        <f t="shared" si="105"/>
        <v>0</v>
      </c>
    </row>
    <row r="158" spans="4:28" x14ac:dyDescent="0.25">
      <c r="D158" s="17"/>
      <c r="E158" s="2">
        <f t="shared" si="104"/>
        <v>3.9000000000000021</v>
      </c>
      <c r="H158" s="9">
        <f t="shared" ref="H158:AB158" ca="1" si="106" xml:space="preserve"> -(D*(H59+nu*G58+H57+nu*I58+((-2*nu)-2)*H58))/delta^2</f>
        <v>1.2725855577738888E-14</v>
      </c>
      <c r="I158" s="8">
        <f t="shared" ca="1" si="106"/>
        <v>0.34542740136537264</v>
      </c>
      <c r="J158" s="8">
        <f t="shared" ca="1" si="106"/>
        <v>0.68915209861221005</v>
      </c>
      <c r="K158" s="8">
        <f t="shared" ca="1" si="106"/>
        <v>1.0288181851838198</v>
      </c>
      <c r="L158" s="8">
        <f t="shared" ca="1" si="106"/>
        <v>1.3608462749295644</v>
      </c>
      <c r="M158" s="8">
        <f t="shared" ca="1" si="106"/>
        <v>1.6800232749228452</v>
      </c>
      <c r="N158" s="8">
        <f t="shared" ca="1" si="106"/>
        <v>1.9793169082262074</v>
      </c>
      <c r="O158" s="8">
        <f t="shared" ca="1" si="106"/>
        <v>2.2499595267882904</v>
      </c>
      <c r="P158" s="8">
        <f t="shared" ca="1" si="106"/>
        <v>2.4818174150681882</v>
      </c>
      <c r="Q158" s="8">
        <f t="shared" ca="1" si="106"/>
        <v>2.6640265889829307</v>
      </c>
      <c r="R158" s="8">
        <f t="shared" ca="1" si="106"/>
        <v>2.7858379459184142</v>
      </c>
      <c r="S158" s="8">
        <f t="shared" ca="1" si="106"/>
        <v>2.8375799998526454</v>
      </c>
      <c r="T158" s="8">
        <f t="shared" ca="1" si="106"/>
        <v>2.8116241844599208</v>
      </c>
      <c r="U158" s="8">
        <f t="shared" ca="1" si="106"/>
        <v>2.7032326791981531</v>
      </c>
      <c r="V158" s="8">
        <f t="shared" ca="1" si="106"/>
        <v>2.5111850120733941</v>
      </c>
      <c r="W158" s="8">
        <f t="shared" ca="1" si="106"/>
        <v>2.2381147532792349</v>
      </c>
      <c r="X158" s="8">
        <f t="shared" ca="1" si="106"/>
        <v>1.8905332593597866</v>
      </c>
      <c r="Y158" s="8">
        <f t="shared" ca="1" si="106"/>
        <v>1.4785622122998499</v>
      </c>
      <c r="Z158" s="8">
        <f t="shared" ca="1" si="106"/>
        <v>1.0154297427097032</v>
      </c>
      <c r="AA158" s="8">
        <f t="shared" ca="1" si="106"/>
        <v>0.51679969281812355</v>
      </c>
      <c r="AB158" s="9">
        <f t="shared" ca="1" si="106"/>
        <v>0</v>
      </c>
    </row>
    <row r="159" spans="4:28" x14ac:dyDescent="0.25">
      <c r="D159" s="17"/>
      <c r="E159" s="2">
        <f t="shared" si="104"/>
        <v>3.800000000000002</v>
      </c>
      <c r="H159" s="9">
        <f t="shared" ref="H159:AB159" ca="1" si="107" xml:space="preserve"> -(D*(H60+nu*G59+H58+nu*I59+((-2*nu)-2)*H59))/delta^2</f>
        <v>2.5451711155477775E-14</v>
      </c>
      <c r="I159" s="8">
        <f t="shared" ca="1" si="107"/>
        <v>0.67037833214608999</v>
      </c>
      <c r="J159" s="8">
        <f t="shared" ca="1" si="107"/>
        <v>1.3382263662191942</v>
      </c>
      <c r="K159" s="8">
        <f t="shared" ca="1" si="107"/>
        <v>1.999651756475914</v>
      </c>
      <c r="L159" s="8">
        <f t="shared" ca="1" si="107"/>
        <v>2.6482061711235287</v>
      </c>
      <c r="M159" s="8">
        <f t="shared" ca="1" si="107"/>
        <v>3.2740169145149829</v>
      </c>
      <c r="N159" s="8">
        <f t="shared" ca="1" si="107"/>
        <v>3.8633781537861207</v>
      </c>
      <c r="O159" s="8">
        <f t="shared" ca="1" si="107"/>
        <v>4.3988966095785562</v>
      </c>
      <c r="P159" s="8">
        <f t="shared" ca="1" si="107"/>
        <v>4.8602297544669284</v>
      </c>
      <c r="Q159" s="8">
        <f t="shared" ca="1" si="107"/>
        <v>5.2253819830890755</v>
      </c>
      <c r="R159" s="8">
        <f t="shared" ca="1" si="107"/>
        <v>5.472443532656019</v>
      </c>
      <c r="S159" s="8">
        <f t="shared" ca="1" si="107"/>
        <v>5.581581936530343</v>
      </c>
      <c r="T159" s="8">
        <f t="shared" ca="1" si="107"/>
        <v>5.537043986148273</v>
      </c>
      <c r="U159" s="8">
        <f t="shared" ca="1" si="107"/>
        <v>5.3289134827897495</v>
      </c>
      <c r="V159" s="8">
        <f t="shared" ca="1" si="107"/>
        <v>4.9544043005775595</v>
      </c>
      <c r="W159" s="8">
        <f t="shared" ca="1" si="107"/>
        <v>4.4185443808732181</v>
      </c>
      <c r="X159" s="8">
        <f t="shared" ca="1" si="107"/>
        <v>3.7342060930209233</v>
      </c>
      <c r="Y159" s="8">
        <f t="shared" ca="1" si="107"/>
        <v>2.9215360272162409</v>
      </c>
      <c r="Z159" s="8">
        <f t="shared" ca="1" si="107"/>
        <v>2.0069079954290618</v>
      </c>
      <c r="AA159" s="8">
        <f t="shared" ca="1" si="107"/>
        <v>1.0215520606914807</v>
      </c>
      <c r="AB159" s="9">
        <f t="shared" ca="1" si="107"/>
        <v>0</v>
      </c>
    </row>
    <row r="160" spans="4:28" x14ac:dyDescent="0.25">
      <c r="D160" s="17"/>
      <c r="E160" s="2">
        <f t="shared" si="104"/>
        <v>3.700000000000002</v>
      </c>
      <c r="H160" s="9">
        <f t="shared" ref="H160:AB160" ca="1" si="108" xml:space="preserve"> -(D*(H61+nu*G60+H59+nu*I60+((-2*nu)-2)*H60))/delta^2</f>
        <v>0</v>
      </c>
      <c r="I160" s="8">
        <f t="shared" ca="1" si="108"/>
        <v>0.95327930387013127</v>
      </c>
      <c r="J160" s="8">
        <f t="shared" ca="1" si="108"/>
        <v>1.9049792963453995</v>
      </c>
      <c r="K160" s="8">
        <f t="shared" ca="1" si="108"/>
        <v>2.8513397706755712</v>
      </c>
      <c r="L160" s="8">
        <f t="shared" ca="1" si="108"/>
        <v>3.7844954773581905</v>
      </c>
      <c r="M160" s="8">
        <f t="shared" ca="1" si="108"/>
        <v>4.6910521960379246</v>
      </c>
      <c r="N160" s="8">
        <f t="shared" ca="1" si="108"/>
        <v>5.5513756494791897</v>
      </c>
      <c r="O160" s="8">
        <f t="shared" ca="1" si="108"/>
        <v>6.3397507735985004</v>
      </c>
      <c r="P160" s="8">
        <f t="shared" ca="1" si="108"/>
        <v>7.0254840361303446</v>
      </c>
      <c r="Q160" s="8">
        <f t="shared" ca="1" si="108"/>
        <v>7.5749074610414908</v>
      </c>
      <c r="R160" s="8">
        <f t="shared" ca="1" si="108"/>
        <v>7.9541105607006664</v>
      </c>
      <c r="S160" s="8">
        <f t="shared" ca="1" si="108"/>
        <v>8.132098232280109</v>
      </c>
      <c r="T160" s="8">
        <f t="shared" ca="1" si="108"/>
        <v>8.0839800202375525</v>
      </c>
      <c r="U160" s="8">
        <f t="shared" ca="1" si="108"/>
        <v>7.7937692032468568</v>
      </c>
      <c r="V160" s="8">
        <f t="shared" ca="1" si="108"/>
        <v>7.2564254639094274</v>
      </c>
      <c r="W160" s="8">
        <f t="shared" ca="1" si="108"/>
        <v>6.4789052274412926</v>
      </c>
      <c r="X160" s="8">
        <f t="shared" ca="1" si="108"/>
        <v>5.480156970004038</v>
      </c>
      <c r="Y160" s="8">
        <f t="shared" ca="1" si="108"/>
        <v>4.2901675775925909</v>
      </c>
      <c r="Z160" s="8">
        <f t="shared" ca="1" si="108"/>
        <v>2.9482846577214739</v>
      </c>
      <c r="AA160" s="8">
        <f t="shared" ca="1" si="108"/>
        <v>1.501081753323952</v>
      </c>
      <c r="AB160" s="9">
        <f t="shared" ca="1" si="108"/>
        <v>0</v>
      </c>
    </row>
    <row r="161" spans="4:28" x14ac:dyDescent="0.25">
      <c r="D161" s="17"/>
      <c r="E161" s="2">
        <f t="shared" si="104"/>
        <v>3.6000000000000019</v>
      </c>
      <c r="H161" s="9">
        <f t="shared" ref="H161:AB161" ca="1" si="109" xml:space="preserve"> -(D*(H62+nu*G61+H60+nu*I61+((-2*nu)-2)*H61))/delta^2</f>
        <v>0</v>
      </c>
      <c r="I161" s="8">
        <f t="shared" ca="1" si="109"/>
        <v>1.1703617144694176</v>
      </c>
      <c r="J161" s="8">
        <f t="shared" ca="1" si="109"/>
        <v>2.3428290509325782</v>
      </c>
      <c r="K161" s="8">
        <f t="shared" ca="1" si="109"/>
        <v>3.5163472749548772</v>
      </c>
      <c r="L161" s="8">
        <f t="shared" ca="1" si="109"/>
        <v>4.6838885901001737</v>
      </c>
      <c r="M161" s="8">
        <f t="shared" ca="1" si="109"/>
        <v>5.8303230906341224</v>
      </c>
      <c r="N161" s="8">
        <f t="shared" ca="1" si="109"/>
        <v>6.9312781103891981</v>
      </c>
      <c r="O161" s="8">
        <f t="shared" ca="1" si="109"/>
        <v>7.95322656214341</v>
      </c>
      <c r="P161" s="8">
        <f t="shared" ca="1" si="109"/>
        <v>8.8549348743221188</v>
      </c>
      <c r="Q161" s="8">
        <f t="shared" ca="1" si="109"/>
        <v>9.5902405736614504</v>
      </c>
      <c r="R161" s="8">
        <f t="shared" ca="1" si="109"/>
        <v>10.111930451867439</v>
      </c>
      <c r="S161" s="8">
        <f t="shared" ca="1" si="109"/>
        <v>10.376286388387346</v>
      </c>
      <c r="T161" s="8">
        <f t="shared" ca="1" si="109"/>
        <v>10.347709206763163</v>
      </c>
      <c r="U161" s="8">
        <f t="shared" ca="1" si="109"/>
        <v>10.002776018796188</v>
      </c>
      <c r="V161" s="8">
        <f t="shared" ca="1" si="109"/>
        <v>9.3331669001010091</v>
      </c>
      <c r="W161" s="8">
        <f t="shared" ca="1" si="109"/>
        <v>8.3471044564098111</v>
      </c>
      <c r="X161" s="8">
        <f t="shared" ca="1" si="109"/>
        <v>7.0692314019697502</v>
      </c>
      <c r="Y161" s="8">
        <f t="shared" ca="1" si="109"/>
        <v>5.539124781263447</v>
      </c>
      <c r="Z161" s="8">
        <f t="shared" ca="1" si="109"/>
        <v>3.8088314330277844</v>
      </c>
      <c r="AA161" s="8">
        <f t="shared" ca="1" si="109"/>
        <v>1.9398615513516571</v>
      </c>
      <c r="AB161" s="9">
        <f t="shared" ca="1" si="109"/>
        <v>0</v>
      </c>
    </row>
    <row r="162" spans="4:28" x14ac:dyDescent="0.25">
      <c r="D162" s="17"/>
      <c r="E162" s="2">
        <f t="shared" si="104"/>
        <v>3.5000000000000018</v>
      </c>
      <c r="H162" s="9">
        <f t="shared" ref="H162:AB162" ca="1" si="110" xml:space="preserve"> -(D*(H63+nu*G62+H61+nu*I62+((-2*nu)-2)*H62))/delta^2</f>
        <v>2.5451711155477775E-14</v>
      </c>
      <c r="I162" s="8">
        <f t="shared" ca="1" si="110"/>
        <v>1.2945699638113932</v>
      </c>
      <c r="J162" s="8">
        <f t="shared" ca="1" si="110"/>
        <v>2.5986842746161436</v>
      </c>
      <c r="K162" s="8">
        <f t="shared" ca="1" si="110"/>
        <v>3.9175449857049127</v>
      </c>
      <c r="L162" s="8">
        <f t="shared" ca="1" si="110"/>
        <v>5.2481049824412063</v>
      </c>
      <c r="M162" s="8">
        <f t="shared" ca="1" si="110"/>
        <v>6.5760292651201038</v>
      </c>
      <c r="N162" s="8">
        <f t="shared" ca="1" si="110"/>
        <v>7.8739381054667215</v>
      </c>
      <c r="O162" s="8">
        <f t="shared" ca="1" si="110"/>
        <v>9.1012864168649905</v>
      </c>
      <c r="P162" s="8">
        <f t="shared" ca="1" si="110"/>
        <v>10.206107102646442</v>
      </c>
      <c r="Q162" s="8">
        <f t="shared" ca="1" si="110"/>
        <v>11.128635186326553</v>
      </c>
      <c r="R162" s="8">
        <f t="shared" ca="1" si="110"/>
        <v>11.806542443113793</v>
      </c>
      <c r="S162" s="8">
        <f t="shared" ca="1" si="110"/>
        <v>12.181195582209872</v>
      </c>
      <c r="T162" s="8">
        <f t="shared" ca="1" si="110"/>
        <v>12.20408876069274</v>
      </c>
      <c r="U162" s="8">
        <f t="shared" ca="1" si="110"/>
        <v>11.842490894843946</v>
      </c>
      <c r="V162" s="8">
        <f t="shared" ca="1" si="110"/>
        <v>11.083457092680874</v>
      </c>
      <c r="W162" s="8">
        <f t="shared" ca="1" si="110"/>
        <v>9.9356766952881284</v>
      </c>
      <c r="X162" s="8">
        <f t="shared" ca="1" si="110"/>
        <v>8.4290803275965196</v>
      </c>
      <c r="Y162" s="8">
        <f t="shared" ca="1" si="110"/>
        <v>6.6125648978232325</v>
      </c>
      <c r="Z162" s="8">
        <f t="shared" ca="1" si="110"/>
        <v>4.5504813668046555</v>
      </c>
      <c r="AA162" s="8">
        <f t="shared" ca="1" si="110"/>
        <v>2.318586717644016</v>
      </c>
      <c r="AB162" s="9">
        <f t="shared" ca="1" si="110"/>
        <v>0</v>
      </c>
    </row>
    <row r="163" spans="4:28" x14ac:dyDescent="0.25">
      <c r="D163" s="17"/>
      <c r="E163" s="2">
        <f t="shared" si="104"/>
        <v>3.4000000000000017</v>
      </c>
      <c r="H163" s="9">
        <f t="shared" ref="H163:AB163" ca="1" si="111" xml:space="preserve"> -(D*(H64+nu*G63+H62+nu*I63+((-2*nu)-2)*H63))/delta^2</f>
        <v>0</v>
      </c>
      <c r="I163" s="8">
        <f t="shared" ca="1" si="111"/>
        <v>1.2945012249668832</v>
      </c>
      <c r="J163" s="8">
        <f t="shared" ca="1" si="111"/>
        <v>2.6108164599899188</v>
      </c>
      <c r="K163" s="8">
        <f t="shared" ca="1" si="111"/>
        <v>3.9650090571129177</v>
      </c>
      <c r="L163" s="8">
        <f t="shared" ca="1" si="111"/>
        <v>5.3621490335866682</v>
      </c>
      <c r="M163" s="8">
        <f t="shared" ca="1" si="111"/>
        <v>6.7921042993814655</v>
      </c>
      <c r="N163" s="8">
        <f t="shared" ca="1" si="111"/>
        <v>8.2269061325517097</v>
      </c>
      <c r="O163" s="8">
        <f t="shared" ca="1" si="111"/>
        <v>9.6202000972306969</v>
      </c>
      <c r="P163" s="8">
        <f t="shared" ca="1" si="111"/>
        <v>10.909170717796055</v>
      </c>
      <c r="Q163" s="8">
        <f t="shared" ca="1" si="111"/>
        <v>12.019069096427069</v>
      </c>
      <c r="R163" s="8">
        <f t="shared" ca="1" si="111"/>
        <v>12.87007015210725</v>
      </c>
      <c r="S163" s="8">
        <f t="shared" ca="1" si="111"/>
        <v>13.385697918818437</v>
      </c>
      <c r="T163" s="8">
        <f t="shared" ca="1" si="111"/>
        <v>13.501616206366633</v>
      </c>
      <c r="U163" s="8">
        <f t="shared" ca="1" si="111"/>
        <v>13.173362261081417</v>
      </c>
      <c r="V163" s="8">
        <f t="shared" ca="1" si="111"/>
        <v>12.38173730140543</v>
      </c>
      <c r="W163" s="8">
        <f t="shared" ca="1" si="111"/>
        <v>11.135067780886157</v>
      </c>
      <c r="X163" s="8">
        <f t="shared" ca="1" si="111"/>
        <v>9.4682710203492082</v>
      </c>
      <c r="Y163" s="8">
        <f t="shared" ca="1" si="111"/>
        <v>7.4393581788113252</v>
      </c>
      <c r="Z163" s="8">
        <f t="shared" ca="1" si="111"/>
        <v>5.1244489064146963</v>
      </c>
      <c r="AA163" s="8">
        <f t="shared" ca="1" si="111"/>
        <v>2.612420865265443</v>
      </c>
      <c r="AB163" s="9">
        <f t="shared" ca="1" si="111"/>
        <v>0</v>
      </c>
    </row>
    <row r="164" spans="4:28" x14ac:dyDescent="0.25">
      <c r="D164" s="17"/>
      <c r="E164" s="2">
        <f t="shared" si="104"/>
        <v>3.3000000000000016</v>
      </c>
      <c r="H164" s="9">
        <f t="shared" ref="H164:AB164" ca="1" si="112" xml:space="preserve"> -(D*(H65+nu*G64+H63+nu*I64+((-2*nu)-2)*H64))/delta^2</f>
        <v>0</v>
      </c>
      <c r="I164" s="8">
        <f t="shared" ca="1" si="112"/>
        <v>1.1334330885871189</v>
      </c>
      <c r="J164" s="8">
        <f t="shared" ca="1" si="112"/>
        <v>2.3068753693941817</v>
      </c>
      <c r="K164" s="8">
        <f t="shared" ca="1" si="112"/>
        <v>3.5529597300718576</v>
      </c>
      <c r="L164" s="8">
        <f t="shared" ca="1" si="112"/>
        <v>4.8901100456519186</v>
      </c>
      <c r="M164" s="8">
        <f t="shared" ca="1" si="112"/>
        <v>6.3168511891414658</v>
      </c>
      <c r="N164" s="8">
        <f t="shared" ca="1" si="112"/>
        <v>7.8079414567379519</v>
      </c>
      <c r="O164" s="8">
        <f t="shared" ca="1" si="112"/>
        <v>9.3130517074057035</v>
      </c>
      <c r="P164" s="8">
        <f t="shared" ca="1" si="112"/>
        <v>10.758638265934785</v>
      </c>
      <c r="Q164" s="8">
        <f t="shared" ca="1" si="112"/>
        <v>12.053368147989428</v>
      </c>
      <c r="R164" s="8">
        <f t="shared" ca="1" si="112"/>
        <v>13.096907739166708</v>
      </c>
      <c r="S164" s="8">
        <f t="shared" ca="1" si="112"/>
        <v>13.791136096135629</v>
      </c>
      <c r="T164" s="8">
        <f t="shared" ca="1" si="112"/>
        <v>14.052095177422427</v>
      </c>
      <c r="U164" s="8">
        <f t="shared" ca="1" si="112"/>
        <v>13.820554459093975</v>
      </c>
      <c r="V164" s="8">
        <f t="shared" ca="1" si="112"/>
        <v>13.069216892971649</v>
      </c>
      <c r="W164" s="8">
        <f t="shared" ca="1" si="112"/>
        <v>11.805369087074851</v>
      </c>
      <c r="X164" s="8">
        <f t="shared" ca="1" si="112"/>
        <v>10.06893974727255</v>
      </c>
      <c r="Y164" s="8">
        <f t="shared" ca="1" si="112"/>
        <v>7.9270627653311632</v>
      </c>
      <c r="Z164" s="8">
        <f t="shared" ca="1" si="112"/>
        <v>5.4669325644520432</v>
      </c>
      <c r="AA164" s="8">
        <f t="shared" ca="1" si="112"/>
        <v>2.7887553021255465</v>
      </c>
      <c r="AB164" s="9">
        <f t="shared" ca="1" si="112"/>
        <v>0</v>
      </c>
    </row>
    <row r="165" spans="4:28" x14ac:dyDescent="0.25">
      <c r="D165" s="17"/>
      <c r="E165" s="2">
        <f t="shared" si="104"/>
        <v>3.2000000000000015</v>
      </c>
      <c r="H165" s="9">
        <f t="shared" ref="H165:AB165" ca="1" si="113" xml:space="preserve"> -(D*(H66+nu*G65+H64+nu*I65+((-2*nu)-2)*H65))/delta^2</f>
        <v>0</v>
      </c>
      <c r="I165" s="8">
        <f t="shared" ca="1" si="113"/>
        <v>0.76854276512308839</v>
      </c>
      <c r="J165" s="8">
        <f t="shared" ca="1" si="113"/>
        <v>1.6022365880491594</v>
      </c>
      <c r="K165" s="8">
        <f t="shared" ca="1" si="113"/>
        <v>2.5570783890750799</v>
      </c>
      <c r="L165" s="8">
        <f t="shared" ca="1" si="113"/>
        <v>3.6712648822408931</v>
      </c>
      <c r="M165" s="8">
        <f t="shared" ca="1" si="113"/>
        <v>4.9576775500123977</v>
      </c>
      <c r="N165" s="8">
        <f t="shared" ca="1" si="113"/>
        <v>6.3983140006371819</v>
      </c>
      <c r="O165" s="8">
        <f t="shared" ca="1" si="113"/>
        <v>7.9416680327961497</v>
      </c>
      <c r="P165" s="8">
        <f t="shared" ca="1" si="113"/>
        <v>9.5041080658689907</v>
      </c>
      <c r="Q165" s="8">
        <f t="shared" ca="1" si="113"/>
        <v>10.976042013741422</v>
      </c>
      <c r="R165" s="8">
        <f t="shared" ca="1" si="113"/>
        <v>12.232947136724636</v>
      </c>
      <c r="S165" s="8">
        <f t="shared" ca="1" si="113"/>
        <v>13.150199931588713</v>
      </c>
      <c r="T165" s="8">
        <f t="shared" ca="1" si="113"/>
        <v>13.619358091915561</v>
      </c>
      <c r="U165" s="8">
        <f t="shared" ca="1" si="113"/>
        <v>13.562688106044641</v>
      </c>
      <c r="V165" s="8">
        <f t="shared" ca="1" si="113"/>
        <v>12.942849793367584</v>
      </c>
      <c r="W165" s="8">
        <f t="shared" ca="1" si="113"/>
        <v>11.76586419789893</v>
      </c>
      <c r="X165" s="8">
        <f t="shared" ca="1" si="113"/>
        <v>10.077383368740733</v>
      </c>
      <c r="Y165" s="8">
        <f t="shared" ca="1" si="113"/>
        <v>7.9541357034060596</v>
      </c>
      <c r="Z165" s="8">
        <f t="shared" ca="1" si="113"/>
        <v>5.4935238551798484</v>
      </c>
      <c r="AA165" s="8">
        <f t="shared" ca="1" si="113"/>
        <v>2.8042833767337072</v>
      </c>
      <c r="AB165" s="9">
        <f t="shared" ca="1" si="113"/>
        <v>0</v>
      </c>
    </row>
    <row r="166" spans="4:28" x14ac:dyDescent="0.25">
      <c r="D166" s="17"/>
      <c r="E166" s="2">
        <f t="shared" si="104"/>
        <v>3.1000000000000014</v>
      </c>
      <c r="H166" s="9">
        <f t="shared" ref="H166:AB166" ca="1" si="114" xml:space="preserve"> -(D*(H67+nu*G66+H65+nu*I66+((-2*nu)-2)*H66))/delta^2</f>
        <v>0</v>
      </c>
      <c r="I166" s="8">
        <f t="shared" ca="1" si="114"/>
        <v>0.15049040276267292</v>
      </c>
      <c r="J166" s="8">
        <f t="shared" ca="1" si="114"/>
        <v>0.39900235287273011</v>
      </c>
      <c r="K166" s="8">
        <f t="shared" ca="1" si="114"/>
        <v>0.83262509725581157</v>
      </c>
      <c r="L166" s="8">
        <f t="shared" ca="1" si="114"/>
        <v>1.5169373675744628</v>
      </c>
      <c r="M166" s="8">
        <f t="shared" ca="1" si="114"/>
        <v>2.4863342307879757</v>
      </c>
      <c r="N166" s="8">
        <f t="shared" ca="1" si="114"/>
        <v>3.7361687272329807</v>
      </c>
      <c r="O166" s="8">
        <f t="shared" ca="1" si="114"/>
        <v>5.2180450858048939</v>
      </c>
      <c r="P166" s="8">
        <f t="shared" ca="1" si="114"/>
        <v>6.839909014839046</v>
      </c>
      <c r="Q166" s="8">
        <f t="shared" ca="1" si="114"/>
        <v>8.4724788275046716</v>
      </c>
      <c r="R166" s="8">
        <f t="shared" ca="1" si="114"/>
        <v>9.9627236726599957</v>
      </c>
      <c r="S166" s="8">
        <f t="shared" ca="1" si="114"/>
        <v>11.153382849685775</v>
      </c>
      <c r="T166" s="8">
        <f t="shared" ca="1" si="114"/>
        <v>11.905305451784161</v>
      </c>
      <c r="U166" s="8">
        <f t="shared" ca="1" si="114"/>
        <v>12.117691454074409</v>
      </c>
      <c r="V166" s="8">
        <f t="shared" ca="1" si="114"/>
        <v>11.741290558965465</v>
      </c>
      <c r="W166" s="8">
        <f t="shared" ca="1" si="114"/>
        <v>10.781550323281822</v>
      </c>
      <c r="X166" s="8">
        <f t="shared" ca="1" si="114"/>
        <v>9.2918134794287646</v>
      </c>
      <c r="Y166" s="8">
        <f t="shared" ca="1" si="114"/>
        <v>7.359730656551319</v>
      </c>
      <c r="Z166" s="8">
        <f t="shared" ca="1" si="114"/>
        <v>5.0918579808438347</v>
      </c>
      <c r="AA166" s="8">
        <f t="shared" ca="1" si="114"/>
        <v>2.6011487050700728</v>
      </c>
      <c r="AB166" s="9">
        <f t="shared" ca="1" si="114"/>
        <v>0</v>
      </c>
    </row>
    <row r="167" spans="4:28" x14ac:dyDescent="0.25">
      <c r="D167" s="17"/>
      <c r="E167" s="2">
        <f t="shared" si="104"/>
        <v>3.0000000000000013</v>
      </c>
      <c r="H167" s="9">
        <f t="shared" ref="H167:AB167" ca="1" si="115" xml:space="preserve"> -(D*(H68+nu*G67+H66+nu*I67+((-2*nu)-2)*H67))/delta^2</f>
        <v>5.0903422310955551E-14</v>
      </c>
      <c r="I167" s="8">
        <f t="shared" ca="1" si="115"/>
        <v>-0.77636696072489442</v>
      </c>
      <c r="J167" s="8">
        <f t="shared" ca="1" si="115"/>
        <v>-1.413838728838509</v>
      </c>
      <c r="K167" s="8">
        <f t="shared" ca="1" si="115"/>
        <v>-1.7859570437931755</v>
      </c>
      <c r="L167" s="8">
        <f t="shared" ca="1" si="115"/>
        <v>-1.7911109431088899</v>
      </c>
      <c r="M167" s="8">
        <f t="shared" ca="1" si="115"/>
        <v>-1.364602493443287</v>
      </c>
      <c r="N167" s="8">
        <f t="shared" ca="1" si="115"/>
        <v>-0.4894773853875688</v>
      </c>
      <c r="O167" s="8">
        <f t="shared" ca="1" si="115"/>
        <v>0.79555563128988172</v>
      </c>
      <c r="P167" s="8">
        <f t="shared" ca="1" si="115"/>
        <v>2.3935779085474156</v>
      </c>
      <c r="Q167" s="8">
        <f t="shared" ca="1" si="115"/>
        <v>4.1550827038636164</v>
      </c>
      <c r="R167" s="8">
        <f t="shared" ca="1" si="115"/>
        <v>5.8937759703108465</v>
      </c>
      <c r="S167" s="8">
        <f t="shared" ca="1" si="115"/>
        <v>7.4121026432866026</v>
      </c>
      <c r="T167" s="8">
        <f t="shared" ca="1" si="115"/>
        <v>8.532204641942128</v>
      </c>
      <c r="U167" s="8">
        <f t="shared" ca="1" si="115"/>
        <v>9.124625713934627</v>
      </c>
      <c r="V167" s="8">
        <f t="shared" ca="1" si="115"/>
        <v>9.1266727705217114</v>
      </c>
      <c r="W167" s="8">
        <f t="shared" ca="1" si="115"/>
        <v>8.5455236741357421</v>
      </c>
      <c r="X167" s="8">
        <f t="shared" ca="1" si="115"/>
        <v>7.4462873159047902</v>
      </c>
      <c r="Y167" s="8">
        <f t="shared" ca="1" si="115"/>
        <v>5.930297800889015</v>
      </c>
      <c r="Z167" s="8">
        <f t="shared" ca="1" si="115"/>
        <v>4.111972766588762</v>
      </c>
      <c r="AA167" s="8">
        <f t="shared" ca="1" si="115"/>
        <v>2.1019010818008637</v>
      </c>
      <c r="AB167" s="9">
        <f t="shared" ca="1" si="115"/>
        <v>0</v>
      </c>
    </row>
    <row r="168" spans="4:28" x14ac:dyDescent="0.25">
      <c r="D168" s="17"/>
      <c r="E168" s="2">
        <f t="shared" si="104"/>
        <v>2.9000000000000012</v>
      </c>
      <c r="H168" s="9">
        <f t="shared" ref="H168:AB168" ca="1" si="116" xml:space="preserve"> -(D*(H69+nu*G68+H67+nu*I68+((-2*nu)-2)*H68))/delta^2</f>
        <v>0</v>
      </c>
      <c r="I168" s="8">
        <f t="shared" ca="1" si="116"/>
        <v>-2.0727462985843652</v>
      </c>
      <c r="J168" s="8">
        <f t="shared" ca="1" si="116"/>
        <v>-3.958347219966655</v>
      </c>
      <c r="K168" s="8">
        <f t="shared" ca="1" si="116"/>
        <v>-5.4829013795440291</v>
      </c>
      <c r="L168" s="8">
        <f t="shared" ca="1" si="116"/>
        <v>-6.4995151435898322</v>
      </c>
      <c r="M168" s="8">
        <f t="shared" ca="1" si="116"/>
        <v>-6.9027378856831563</v>
      </c>
      <c r="N168" s="8">
        <f t="shared" ca="1" si="116"/>
        <v>-6.6430323704629464</v>
      </c>
      <c r="O168" s="8">
        <f t="shared" ca="1" si="116"/>
        <v>-5.7394004117823547</v>
      </c>
      <c r="P168" s="8">
        <f t="shared" ca="1" si="116"/>
        <v>-4.2867286241895775</v>
      </c>
      <c r="Q168" s="8">
        <f t="shared" ca="1" si="116"/>
        <v>-2.4531315556283584</v>
      </c>
      <c r="R168" s="8">
        <f t="shared" ca="1" si="116"/>
        <v>-0.46277197021152633</v>
      </c>
      <c r="S168" s="8">
        <f t="shared" ca="1" si="116"/>
        <v>1.4371185413180276</v>
      </c>
      <c r="T168" s="8">
        <f t="shared" ca="1" si="116"/>
        <v>3.0196450664832279</v>
      </c>
      <c r="U168" s="8">
        <f t="shared" ca="1" si="116"/>
        <v>4.1197913367645933</v>
      </c>
      <c r="V168" s="8">
        <f t="shared" ca="1" si="116"/>
        <v>4.6605643424897014</v>
      </c>
      <c r="W168" s="8">
        <f t="shared" ca="1" si="116"/>
        <v>4.6557511230017461</v>
      </c>
      <c r="X168" s="8">
        <f t="shared" ca="1" si="116"/>
        <v>4.1896126874947806</v>
      </c>
      <c r="Y168" s="8">
        <f t="shared" ca="1" si="116"/>
        <v>3.3821301789780152</v>
      </c>
      <c r="Z168" s="8">
        <f t="shared" ca="1" si="116"/>
        <v>2.3538662806747315</v>
      </c>
      <c r="AA168" s="8">
        <f t="shared" ca="1" si="116"/>
        <v>1.2030349164785104</v>
      </c>
      <c r="AB168" s="9">
        <f t="shared" ca="1" si="116"/>
        <v>0</v>
      </c>
    </row>
    <row r="169" spans="4:28" x14ac:dyDescent="0.25">
      <c r="D169" s="17"/>
      <c r="E169" s="2">
        <f t="shared" si="104"/>
        <v>2.8000000000000012</v>
      </c>
      <c r="H169" s="9">
        <f t="shared" ref="H169:AB169" ca="1" si="117" xml:space="preserve"> -(D*(H70+nu*G69+H68+nu*I69+((-2*nu)-2)*H69))/delta^2</f>
        <v>0</v>
      </c>
      <c r="I169" s="8">
        <f t="shared" ca="1" si="117"/>
        <v>-3.8016807306588247</v>
      </c>
      <c r="J169" s="8">
        <f t="shared" ca="1" si="117"/>
        <v>-7.3626376848185338</v>
      </c>
      <c r="K169" s="8">
        <f t="shared" ca="1" si="117"/>
        <v>-10.454930406775707</v>
      </c>
      <c r="L169" s="8">
        <f t="shared" ca="1" si="117"/>
        <v>-12.877468537427042</v>
      </c>
      <c r="M169" s="8">
        <f t="shared" ca="1" si="117"/>
        <v>-14.472279297295584</v>
      </c>
      <c r="N169" s="8">
        <f t="shared" ca="1" si="117"/>
        <v>-15.14299933963299</v>
      </c>
      <c r="O169" s="8">
        <f t="shared" ca="1" si="117"/>
        <v>-14.873932786508053</v>
      </c>
      <c r="P169" s="8">
        <f t="shared" ca="1" si="117"/>
        <v>-13.745398907078707</v>
      </c>
      <c r="Q169" s="8">
        <f t="shared" ca="1" si="117"/>
        <v>-11.938009345938841</v>
      </c>
      <c r="R169" s="8">
        <f t="shared" ca="1" si="117"/>
        <v>-9.7168500222682557</v>
      </c>
      <c r="S169" s="8">
        <f t="shared" ca="1" si="117"/>
        <v>-7.3899096306333361</v>
      </c>
      <c r="T169" s="8">
        <f t="shared" ca="1" si="117"/>
        <v>-5.2464370312370567</v>
      </c>
      <c r="U169" s="8">
        <f t="shared" ca="1" si="117"/>
        <v>-3.4955579152340079</v>
      </c>
      <c r="V169" s="8">
        <f t="shared" ca="1" si="117"/>
        <v>-2.2283313197579968</v>
      </c>
      <c r="W169" s="8">
        <f t="shared" ca="1" si="117"/>
        <v>-1.4157310704751964</v>
      </c>
      <c r="X169" s="8">
        <f t="shared" ca="1" si="117"/>
        <v>-0.942118651987218</v>
      </c>
      <c r="Y169" s="8">
        <f t="shared" ca="1" si="117"/>
        <v>-0.6608499898428164</v>
      </c>
      <c r="Z169" s="8">
        <f t="shared" ca="1" si="117"/>
        <v>-0.44797026331152079</v>
      </c>
      <c r="AA169" s="8">
        <f t="shared" ca="1" si="117"/>
        <v>-0.23289914978441728</v>
      </c>
      <c r="AB169" s="9">
        <f t="shared" ca="1" si="117"/>
        <v>0</v>
      </c>
    </row>
    <row r="170" spans="4:28" x14ac:dyDescent="0.25">
      <c r="D170" s="17"/>
      <c r="E170" s="2">
        <f t="shared" si="104"/>
        <v>2.7000000000000011</v>
      </c>
      <c r="H170" s="9">
        <f t="shared" ref="H170:AB170" ca="1" si="118" xml:space="preserve"> -(D*(H71+nu*G70+H69+nu*I70+((-2*nu)-2)*H70))/delta^2</f>
        <v>0</v>
      </c>
      <c r="I170" s="8">
        <f t="shared" ca="1" si="118"/>
        <v>-6.0236158136225333</v>
      </c>
      <c r="J170" s="8">
        <f t="shared" ca="1" si="118"/>
        <v>-11.751665260315052</v>
      </c>
      <c r="K170" s="8">
        <f t="shared" ca="1" si="118"/>
        <v>-16.89900004671739</v>
      </c>
      <c r="L170" s="8">
        <f t="shared" ca="1" si="118"/>
        <v>-21.203466388884891</v>
      </c>
      <c r="M170" s="8">
        <f t="shared" ca="1" si="118"/>
        <v>-24.442596753005652</v>
      </c>
      <c r="N170" s="8">
        <f t="shared" ca="1" si="118"/>
        <v>-26.45567983803716</v>
      </c>
      <c r="O170" s="8">
        <f t="shared" ca="1" si="118"/>
        <v>-27.170677160708163</v>
      </c>
      <c r="P170" s="8">
        <f t="shared" ca="1" si="118"/>
        <v>-26.631748323361361</v>
      </c>
      <c r="Q170" s="8">
        <f t="shared" ca="1" si="118"/>
        <v>-25.017193635286855</v>
      </c>
      <c r="R170" s="8">
        <f t="shared" ca="1" si="118"/>
        <v>-22.631429982167717</v>
      </c>
      <c r="S170" s="8">
        <f t="shared" ca="1" si="118"/>
        <v>-19.855271703111988</v>
      </c>
      <c r="T170" s="8">
        <f t="shared" ca="1" si="118"/>
        <v>-17.057100866221084</v>
      </c>
      <c r="U170" s="8">
        <f t="shared" ca="1" si="118"/>
        <v>-14.500388315166827</v>
      </c>
      <c r="V170" s="8">
        <f t="shared" ca="1" si="118"/>
        <v>-12.288484683232433</v>
      </c>
      <c r="W170" s="8">
        <f t="shared" ca="1" si="118"/>
        <v>-10.363757459152557</v>
      </c>
      <c r="X170" s="8">
        <f t="shared" ca="1" si="118"/>
        <v>-8.5605789547513265</v>
      </c>
      <c r="Y170" s="8">
        <f t="shared" ca="1" si="118"/>
        <v>-6.6940483761776335</v>
      </c>
      <c r="Z170" s="8">
        <f t="shared" ca="1" si="118"/>
        <v>-4.6423549781682141</v>
      </c>
      <c r="AA170" s="8">
        <f t="shared" ca="1" si="118"/>
        <v>-2.3860016021294164</v>
      </c>
      <c r="AB170" s="9">
        <f t="shared" ca="1" si="118"/>
        <v>0</v>
      </c>
    </row>
    <row r="171" spans="4:28" x14ac:dyDescent="0.25">
      <c r="D171" s="17"/>
      <c r="E171" s="2">
        <f t="shared" si="104"/>
        <v>2.600000000000001</v>
      </c>
      <c r="H171" s="9">
        <f t="shared" ref="H171:AB171" ca="1" si="119" xml:space="preserve"> -(D*(H72+nu*G71+H70+nu*I71+((-2*nu)-2)*H71))/delta^2</f>
        <v>0</v>
      </c>
      <c r="I171" s="8">
        <f t="shared" ca="1" si="119"/>
        <v>-8.788742165604658</v>
      </c>
      <c r="J171" s="8">
        <f t="shared" ca="1" si="119"/>
        <v>-17.232400902177442</v>
      </c>
      <c r="K171" s="8">
        <f t="shared" ca="1" si="119"/>
        <v>-24.991547955257719</v>
      </c>
      <c r="L171" s="8">
        <f t="shared" ca="1" si="119"/>
        <v>-31.740939046350142</v>
      </c>
      <c r="M171" s="8">
        <f t="shared" ca="1" si="119"/>
        <v>-37.183981011412108</v>
      </c>
      <c r="N171" s="8">
        <f t="shared" ca="1" si="119"/>
        <v>-41.076238293606153</v>
      </c>
      <c r="O171" s="8">
        <f t="shared" ca="1" si="119"/>
        <v>-43.26003949938395</v>
      </c>
      <c r="P171" s="8">
        <f t="shared" ca="1" si="119"/>
        <v>-43.708297518269262</v>
      </c>
      <c r="Q171" s="8">
        <f t="shared" ca="1" si="119"/>
        <v>-42.566288530094511</v>
      </c>
      <c r="R171" s="8">
        <f t="shared" ca="1" si="119"/>
        <v>-40.164950312793685</v>
      </c>
      <c r="S171" s="8">
        <f t="shared" ca="1" si="119"/>
        <v>-36.968548987734088</v>
      </c>
      <c r="T171" s="8">
        <f t="shared" ca="1" si="119"/>
        <v>-33.44416915955879</v>
      </c>
      <c r="U171" s="8">
        <f t="shared" ca="1" si="119"/>
        <v>-29.919997062382603</v>
      </c>
      <c r="V171" s="8">
        <f t="shared" ca="1" si="119"/>
        <v>-26.507958674643639</v>
      </c>
      <c r="W171" s="8">
        <f t="shared" ca="1" si="119"/>
        <v>-23.104371606915226</v>
      </c>
      <c r="X171" s="8">
        <f t="shared" ca="1" si="119"/>
        <v>-19.468142246953946</v>
      </c>
      <c r="Y171" s="8">
        <f t="shared" ca="1" si="119"/>
        <v>-15.361814754328289</v>
      </c>
      <c r="Z171" s="8">
        <f t="shared" ca="1" si="119"/>
        <v>-10.678581779547029</v>
      </c>
      <c r="AA171" s="8">
        <f t="shared" ca="1" si="119"/>
        <v>-5.4864854428072931</v>
      </c>
      <c r="AB171" s="9">
        <f t="shared" ca="1" si="119"/>
        <v>0</v>
      </c>
    </row>
    <row r="172" spans="4:28" x14ac:dyDescent="0.25">
      <c r="D172" s="17"/>
      <c r="E172" s="2">
        <f t="shared" si="104"/>
        <v>2.5000000000000009</v>
      </c>
      <c r="H172" s="9">
        <f t="shared" ref="H172:AB172" ca="1" si="120" xml:space="preserve"> -(D*(H73+nu*G72+H71+nu*I72+((-2*nu)-2)*H72))/delta^2</f>
        <v>0</v>
      </c>
      <c r="I172" s="8">
        <f t="shared" ca="1" si="120"/>
        <v>-12.126181274524367</v>
      </c>
      <c r="J172" s="8">
        <f t="shared" ca="1" si="120"/>
        <v>-23.872314246955433</v>
      </c>
      <c r="K172" s="8">
        <f t="shared" ca="1" si="120"/>
        <v>-34.856872867814474</v>
      </c>
      <c r="L172" s="8">
        <f t="shared" ca="1" si="120"/>
        <v>-44.698369706900884</v>
      </c>
      <c r="M172" s="8">
        <f t="shared" ca="1" si="120"/>
        <v>-53.02361169773139</v>
      </c>
      <c r="N172" s="8">
        <f t="shared" ca="1" si="120"/>
        <v>-59.487783342988166</v>
      </c>
      <c r="O172" s="8">
        <f t="shared" ca="1" si="120"/>
        <v>-63.812601446915075</v>
      </c>
      <c r="P172" s="8">
        <f t="shared" ca="1" si="120"/>
        <v>-65.847192535134738</v>
      </c>
      <c r="Q172" s="8">
        <f t="shared" ca="1" si="120"/>
        <v>-65.645862806679659</v>
      </c>
      <c r="R172" s="8">
        <f t="shared" ca="1" si="120"/>
        <v>-63.528391595680986</v>
      </c>
      <c r="S172" s="8">
        <f t="shared" ca="1" si="120"/>
        <v>-60.045205210763321</v>
      </c>
      <c r="T172" s="8">
        <f t="shared" ca="1" si="120"/>
        <v>-55.779815557479573</v>
      </c>
      <c r="U172" s="8">
        <f t="shared" ca="1" si="120"/>
        <v>-51.128327717228593</v>
      </c>
      <c r="V172" s="8">
        <f t="shared" ca="1" si="120"/>
        <v>-46.205361696652034</v>
      </c>
      <c r="W172" s="8">
        <f t="shared" ca="1" si="120"/>
        <v>-40.846393984708762</v>
      </c>
      <c r="X172" s="8">
        <f t="shared" ca="1" si="120"/>
        <v>-34.706192962146325</v>
      </c>
      <c r="Y172" s="8">
        <f t="shared" ca="1" si="120"/>
        <v>-27.482567127233278</v>
      </c>
      <c r="Z172" s="8">
        <f t="shared" ca="1" si="120"/>
        <v>-19.114905258408804</v>
      </c>
      <c r="AA172" s="8">
        <f t="shared" ca="1" si="120"/>
        <v>-9.8157685801887808</v>
      </c>
      <c r="AB172" s="9">
        <f t="shared" ca="1" si="120"/>
        <v>0</v>
      </c>
    </row>
    <row r="173" spans="4:28" x14ac:dyDescent="0.25">
      <c r="D173" s="17"/>
      <c r="E173" s="2">
        <f t="shared" si="104"/>
        <v>2.4000000000000008</v>
      </c>
      <c r="H173" s="9">
        <f t="shared" ref="H173:AB173" ca="1" si="121" xml:space="preserve"> -(D*(H74+nu*G73+H72+nu*I73+((-2*nu)-2)*H73))/delta^2</f>
        <v>0</v>
      </c>
      <c r="I173" s="8">
        <f t="shared" ca="1" si="121"/>
        <v>-16.03029507561207</v>
      </c>
      <c r="J173" s="8">
        <f t="shared" ca="1" si="121"/>
        <v>-31.671222244982964</v>
      </c>
      <c r="K173" s="8">
        <f t="shared" ca="1" si="121"/>
        <v>-46.523459009335582</v>
      </c>
      <c r="L173" s="8">
        <f t="shared" ca="1" si="121"/>
        <v>-60.16986910892934</v>
      </c>
      <c r="M173" s="8">
        <f t="shared" ca="1" si="121"/>
        <v>-72.173000791715808</v>
      </c>
      <c r="N173" s="8">
        <f t="shared" ca="1" si="121"/>
        <v>-82.083893641533678</v>
      </c>
      <c r="O173" s="8">
        <f t="shared" ca="1" si="121"/>
        <v>-89.472714961246197</v>
      </c>
      <c r="P173" s="8">
        <f t="shared" ca="1" si="121"/>
        <v>-93.996943125877067</v>
      </c>
      <c r="Q173" s="8">
        <f t="shared" ca="1" si="121"/>
        <v>-95.520540876540323</v>
      </c>
      <c r="R173" s="8">
        <f t="shared" ca="1" si="121"/>
        <v>-94.261883097794183</v>
      </c>
      <c r="S173" s="8">
        <f t="shared" ca="1" si="121"/>
        <v>-90.836120109074628</v>
      </c>
      <c r="T173" s="8">
        <f t="shared" ca="1" si="121"/>
        <v>-85.942584687951737</v>
      </c>
      <c r="U173" s="8">
        <f t="shared" ca="1" si="121"/>
        <v>-80.016805568207445</v>
      </c>
      <c r="V173" s="8">
        <f t="shared" ca="1" si="121"/>
        <v>-73.168169221710173</v>
      </c>
      <c r="W173" s="8">
        <f t="shared" ca="1" si="121"/>
        <v>-65.183807304749934</v>
      </c>
      <c r="X173" s="8">
        <f t="shared" ca="1" si="121"/>
        <v>-55.598628285280846</v>
      </c>
      <c r="Y173" s="8">
        <f t="shared" ca="1" si="121"/>
        <v>-44.050649806272446</v>
      </c>
      <c r="Z173" s="8">
        <f t="shared" ca="1" si="121"/>
        <v>-30.599963997003936</v>
      </c>
      <c r="AA173" s="8">
        <f t="shared" ca="1" si="121"/>
        <v>-15.690357904320578</v>
      </c>
      <c r="AB173" s="9">
        <f t="shared" ca="1" si="121"/>
        <v>0</v>
      </c>
    </row>
    <row r="174" spans="4:28" x14ac:dyDescent="0.25">
      <c r="D174" s="17"/>
      <c r="E174" s="2">
        <f t="shared" si="104"/>
        <v>2.3000000000000007</v>
      </c>
      <c r="H174" s="9">
        <f t="shared" ref="H174:AB174" ca="1" si="122" xml:space="preserve"> -(D*(H75+nu*G74+H73+nu*I74+((-2*nu)-2)*H74))/delta^2</f>
        <v>0</v>
      </c>
      <c r="I174" s="8">
        <f t="shared" ca="1" si="122"/>
        <v>-20.445632713689896</v>
      </c>
      <c r="J174" s="8">
        <f t="shared" ca="1" si="122"/>
        <v>-40.529009998050967</v>
      </c>
      <c r="K174" s="8">
        <f t="shared" ca="1" si="122"/>
        <v>-59.870414367519707</v>
      </c>
      <c r="L174" s="8">
        <f t="shared" ca="1" si="122"/>
        <v>-78.055406114343441</v>
      </c>
      <c r="M174" s="8">
        <f t="shared" ca="1" si="122"/>
        <v>-94.618893620976451</v>
      </c>
      <c r="N174" s="8">
        <f t="shared" ca="1" si="122"/>
        <v>-109.0343791708567</v>
      </c>
      <c r="O174" s="8">
        <f t="shared" ca="1" si="122"/>
        <v>-120.71891694796948</v>
      </c>
      <c r="P174" s="8">
        <f t="shared" ca="1" si="122"/>
        <v>-129.07869748271224</v>
      </c>
      <c r="Q174" s="8">
        <f t="shared" ca="1" si="122"/>
        <v>-133.64290376351241</v>
      </c>
      <c r="R174" s="8">
        <f t="shared" ca="1" si="122"/>
        <v>-134.33394442896449</v>
      </c>
      <c r="S174" s="8">
        <f t="shared" ca="1" si="122"/>
        <v>-131.74226904133593</v>
      </c>
      <c r="T174" s="8">
        <f t="shared" ca="1" si="122"/>
        <v>-126.61218544121976</v>
      </c>
      <c r="U174" s="8">
        <f t="shared" ca="1" si="122"/>
        <v>-119.29153373488259</v>
      </c>
      <c r="V174" s="8">
        <f t="shared" ca="1" si="122"/>
        <v>-109.87510656594274</v>
      </c>
      <c r="W174" s="8">
        <f t="shared" ca="1" si="122"/>
        <v>-98.209539708812969</v>
      </c>
      <c r="X174" s="8">
        <f t="shared" ca="1" si="122"/>
        <v>-83.759861056147457</v>
      </c>
      <c r="Y174" s="8">
        <f t="shared" ca="1" si="122"/>
        <v>-66.170316145790522</v>
      </c>
      <c r="Z174" s="8">
        <f t="shared" ca="1" si="122"/>
        <v>-45.789782947924323</v>
      </c>
      <c r="AA174" s="8">
        <f t="shared" ca="1" si="122"/>
        <v>-23.408725538224843</v>
      </c>
      <c r="AB174" s="9">
        <f t="shared" ca="1" si="122"/>
        <v>0</v>
      </c>
    </row>
    <row r="175" spans="4:28" x14ac:dyDescent="0.25">
      <c r="D175" s="17"/>
      <c r="E175" s="2">
        <f t="shared" si="104"/>
        <v>2.2000000000000006</v>
      </c>
      <c r="H175" s="9">
        <f t="shared" ref="H175:AB175" ca="1" si="123" xml:space="preserve"> -(D*(H76+nu*G75+H74+nu*I75+((-2*nu)-2)*H75))/delta^2</f>
        <v>0</v>
      </c>
      <c r="I175" s="8">
        <f t="shared" ca="1" si="123"/>
        <v>-25.253833763962046</v>
      </c>
      <c r="J175" s="8">
        <f t="shared" ca="1" si="123"/>
        <v>-50.215709281801956</v>
      </c>
      <c r="K175" s="8">
        <f t="shared" ca="1" si="123"/>
        <v>-74.572804572110542</v>
      </c>
      <c r="L175" s="8">
        <f t="shared" ca="1" si="123"/>
        <v>-97.968862758761347</v>
      </c>
      <c r="M175" s="8">
        <f t="shared" ca="1" si="123"/>
        <v>-119.97809706682634</v>
      </c>
      <c r="N175" s="8">
        <f t="shared" ca="1" si="123"/>
        <v>-140.07405534829817</v>
      </c>
      <c r="O175" s="8">
        <f t="shared" ca="1" si="123"/>
        <v>-157.59485584249933</v>
      </c>
      <c r="P175" s="8">
        <f t="shared" ca="1" si="123"/>
        <v>-171.71966013952868</v>
      </c>
      <c r="Q175" s="8">
        <f t="shared" ca="1" si="123"/>
        <v>-181.5183491348175</v>
      </c>
      <c r="R175" s="8">
        <f t="shared" ca="1" si="123"/>
        <v>-186.25735435502045</v>
      </c>
      <c r="S175" s="8">
        <f t="shared" ca="1" si="123"/>
        <v>-186.19856464175842</v>
      </c>
      <c r="T175" s="8">
        <f t="shared" ca="1" si="123"/>
        <v>-181.81882676131968</v>
      </c>
      <c r="U175" s="8">
        <f t="shared" ca="1" si="123"/>
        <v>-173.02394853092116</v>
      </c>
      <c r="V175" s="8">
        <f t="shared" ca="1" si="123"/>
        <v>-159.88450271118904</v>
      </c>
      <c r="W175" s="8">
        <f t="shared" ca="1" si="123"/>
        <v>-142.64083196571605</v>
      </c>
      <c r="X175" s="8">
        <f t="shared" ca="1" si="123"/>
        <v>-120.97761393023643</v>
      </c>
      <c r="Y175" s="8">
        <f t="shared" ca="1" si="123"/>
        <v>-94.821343904518457</v>
      </c>
      <c r="Z175" s="8">
        <f t="shared" ca="1" si="123"/>
        <v>-65.134322547572495</v>
      </c>
      <c r="AA175" s="8">
        <f t="shared" ca="1" si="123"/>
        <v>-33.1323530794945</v>
      </c>
      <c r="AB175" s="9">
        <f t="shared" ca="1" si="123"/>
        <v>0</v>
      </c>
    </row>
    <row r="176" spans="4:28" x14ac:dyDescent="0.25">
      <c r="D176" s="17"/>
      <c r="E176" s="2">
        <f t="shared" si="104"/>
        <v>2.1000000000000005</v>
      </c>
      <c r="H176" s="9">
        <f t="shared" ref="H176:AB176" ca="1" si="124" xml:space="preserve"> -(D*(H77+nu*G76+H75+nu*I76+((-2*nu)-2)*H76))/delta^2</f>
        <v>0</v>
      </c>
      <c r="I176" s="8">
        <f t="shared" ca="1" si="124"/>
        <v>-30.267630445317849</v>
      </c>
      <c r="J176" s="8">
        <f t="shared" ca="1" si="124"/>
        <v>-60.355123699587764</v>
      </c>
      <c r="K176" s="8">
        <f t="shared" ca="1" si="124"/>
        <v>-90.064424208929054</v>
      </c>
      <c r="L176" s="8">
        <f t="shared" ca="1" si="124"/>
        <v>-119.15971480686198</v>
      </c>
      <c r="M176" s="8">
        <f t="shared" ca="1" si="124"/>
        <v>-147.34288800225102</v>
      </c>
      <c r="N176" s="8">
        <f t="shared" ca="1" si="124"/>
        <v>-174.2192687883288</v>
      </c>
      <c r="O176" s="8">
        <f t="shared" ca="1" si="124"/>
        <v>-199.24333735724073</v>
      </c>
      <c r="P176" s="8">
        <f t="shared" ca="1" si="124"/>
        <v>-221.62500439592824</v>
      </c>
      <c r="Q176" s="8">
        <f t="shared" ca="1" si="124"/>
        <v>-240.17544988145212</v>
      </c>
      <c r="R176" s="8">
        <f t="shared" ca="1" si="124"/>
        <v>-253.18996943796719</v>
      </c>
      <c r="S176" s="8">
        <f t="shared" ca="1" si="124"/>
        <v>-259.46019562844162</v>
      </c>
      <c r="T176" s="8">
        <f t="shared" ca="1" si="124"/>
        <v>-257.97826072720056</v>
      </c>
      <c r="U176" s="8">
        <f t="shared" ca="1" si="124"/>
        <v>-247.6853909212322</v>
      </c>
      <c r="V176" s="8">
        <f t="shared" ca="1" si="124"/>
        <v>-228.61963676065903</v>
      </c>
      <c r="W176" s="8">
        <f t="shared" ca="1" si="124"/>
        <v>-201.91998880208266</v>
      </c>
      <c r="X176" s="8">
        <f t="shared" ca="1" si="124"/>
        <v>-168.68721499937232</v>
      </c>
      <c r="Y176" s="8">
        <f t="shared" ca="1" si="124"/>
        <v>-130.2448889085953</v>
      </c>
      <c r="Z176" s="8">
        <f t="shared" ca="1" si="124"/>
        <v>-88.446791166528385</v>
      </c>
      <c r="AA176" s="8">
        <f t="shared" ca="1" si="124"/>
        <v>-44.679508412490705</v>
      </c>
      <c r="AB176" s="9">
        <f t="shared" ca="1" si="124"/>
        <v>0</v>
      </c>
    </row>
    <row r="177" spans="4:28" x14ac:dyDescent="0.25">
      <c r="D177" s="17"/>
      <c r="E177" s="2">
        <f t="shared" si="104"/>
        <v>2.0000000000000004</v>
      </c>
      <c r="H177" s="9">
        <f t="shared" ref="H177:AB177" ca="1" si="125" xml:space="preserve"> -(D*(H78+nu*G77+H76+nu*I77+((-2*nu)-2)*H77))/delta^2</f>
        <v>0</v>
      </c>
      <c r="I177" s="8">
        <f t="shared" ca="1" si="125"/>
        <v>-35.237570968167653</v>
      </c>
      <c r="J177" s="8">
        <f t="shared" ca="1" si="125"/>
        <v>-70.435702158989258</v>
      </c>
      <c r="K177" s="8">
        <f t="shared" ca="1" si="125"/>
        <v>-105.54529441604477</v>
      </c>
      <c r="L177" s="8">
        <f t="shared" ca="1" si="125"/>
        <v>-140.49805116751983</v>
      </c>
      <c r="M177" s="8">
        <f t="shared" ca="1" si="125"/>
        <v>-175.19745753859002</v>
      </c>
      <c r="N177" s="8">
        <f t="shared" ca="1" si="125"/>
        <v>-209.51121158555731</v>
      </c>
      <c r="O177" s="8">
        <f t="shared" ca="1" si="125"/>
        <v>-243.26678065570925</v>
      </c>
      <c r="P177" s="8">
        <f t="shared" ca="1" si="125"/>
        <v>-276.2524833274025</v>
      </c>
      <c r="Q177" s="8">
        <f t="shared" ca="1" si="125"/>
        <v>-308.22676956796721</v>
      </c>
      <c r="R177" s="10">
        <f t="shared" ca="1" si="125"/>
        <v>-338.93752741960986</v>
      </c>
      <c r="S177" s="10">
        <f t="shared" ca="1" si="125"/>
        <v>-360.650735608047</v>
      </c>
      <c r="T177" s="10">
        <f t="shared" ca="1" si="125"/>
        <v>-365.6839190965058</v>
      </c>
      <c r="U177" s="10">
        <f t="shared" ca="1" si="125"/>
        <v>-353.93648124470167</v>
      </c>
      <c r="V177" s="10">
        <f t="shared" ca="1" si="125"/>
        <v>-325.40862011489611</v>
      </c>
      <c r="W177" s="10">
        <f t="shared" ca="1" si="125"/>
        <v>-280.20378339968505</v>
      </c>
      <c r="X177" s="8">
        <f t="shared" ca="1" si="125"/>
        <v>-226.01481612681792</v>
      </c>
      <c r="Y177" s="8">
        <f t="shared" ca="1" si="125"/>
        <v>-170.59911897568739</v>
      </c>
      <c r="Z177" s="8">
        <f t="shared" ca="1" si="125"/>
        <v>-114.25126189874931</v>
      </c>
      <c r="AA177" s="8">
        <f t="shared" ca="1" si="125"/>
        <v>-57.280893438210022</v>
      </c>
      <c r="AB177" s="9">
        <f t="shared" ca="1" si="125"/>
        <v>0</v>
      </c>
    </row>
    <row r="178" spans="4:28" x14ac:dyDescent="0.25">
      <c r="D178" s="17"/>
      <c r="E178" s="2">
        <f t="shared" si="104"/>
        <v>1.9000000000000006</v>
      </c>
      <c r="H178" s="9">
        <f t="shared" ref="H178:AB178" ca="1" si="126" xml:space="preserve"> -(D*(H79+nu*G78+H77+nu*I78+((-2*nu)-2)*H78))/delta^2</f>
        <v>0</v>
      </c>
      <c r="I178" s="8">
        <f t="shared" ca="1" si="126"/>
        <v>-39.874369188474716</v>
      </c>
      <c r="J178" s="8">
        <f t="shared" ca="1" si="126"/>
        <v>-79.857522523164548</v>
      </c>
      <c r="K178" s="8">
        <f t="shared" ca="1" si="126"/>
        <v>-120.0574322289885</v>
      </c>
      <c r="L178" s="8">
        <f t="shared" ca="1" si="126"/>
        <v>-160.58240717309261</v>
      </c>
      <c r="M178" s="8">
        <f t="shared" ca="1" si="126"/>
        <v>-201.54752865238467</v>
      </c>
      <c r="N178" s="8">
        <f t="shared" ca="1" si="126"/>
        <v>-243.0930819991714</v>
      </c>
      <c r="O178" s="8">
        <f t="shared" ca="1" si="126"/>
        <v>-285.42845468181423</v>
      </c>
      <c r="P178" s="8">
        <f t="shared" ca="1" si="126"/>
        <v>-328.92591161540645</v>
      </c>
      <c r="Q178" s="8">
        <f t="shared" ca="1" si="126"/>
        <v>-374.29125543200308</v>
      </c>
      <c r="R178" s="10">
        <f t="shared" ca="1" si="126"/>
        <v>-422.71878205954573</v>
      </c>
      <c r="S178" s="10">
        <f t="shared" ca="1" si="126"/>
        <v>-459.93796564195753</v>
      </c>
      <c r="T178" s="10">
        <f t="shared" ca="1" si="126"/>
        <v>-471.58019302528754</v>
      </c>
      <c r="U178" s="10">
        <f t="shared" ca="1" si="126"/>
        <v>-458.49534415010658</v>
      </c>
      <c r="V178" s="10">
        <f t="shared" ca="1" si="126"/>
        <v>-420.64461260728052</v>
      </c>
      <c r="W178" s="10">
        <f t="shared" ca="1" si="126"/>
        <v>-357.10103565709591</v>
      </c>
      <c r="X178" s="8">
        <f t="shared" ca="1" si="126"/>
        <v>-282.15771667984694</v>
      </c>
      <c r="Y178" s="8">
        <f t="shared" ca="1" si="126"/>
        <v>-210.01213182986459</v>
      </c>
      <c r="Z178" s="8">
        <f t="shared" ca="1" si="126"/>
        <v>-139.39961406562617</v>
      </c>
      <c r="AA178" s="8">
        <f t="shared" ca="1" si="126"/>
        <v>-69.544858297056493</v>
      </c>
      <c r="AB178" s="9">
        <f t="shared" ca="1" si="126"/>
        <v>0</v>
      </c>
    </row>
    <row r="179" spans="4:28" x14ac:dyDescent="0.25">
      <c r="D179" s="17"/>
      <c r="E179" s="2">
        <f t="shared" si="104"/>
        <v>1.8000000000000005</v>
      </c>
      <c r="H179" s="9">
        <f t="shared" ref="H179:AB179" ca="1" si="127" xml:space="preserve"> -(D*(H80+nu*G79+H78+nu*I79+((-2*nu)-2)*H79))/delta^2</f>
        <v>0</v>
      </c>
      <c r="I179" s="8">
        <f t="shared" ca="1" si="127"/>
        <v>-43.88334532161079</v>
      </c>
      <c r="J179" s="8">
        <f t="shared" ca="1" si="127"/>
        <v>-88.00857708301443</v>
      </c>
      <c r="K179" s="8">
        <f t="shared" ca="1" si="127"/>
        <v>-132.62162031034035</v>
      </c>
      <c r="L179" s="8">
        <f t="shared" ca="1" si="127"/>
        <v>-177.97764543784211</v>
      </c>
      <c r="M179" s="8">
        <f t="shared" ca="1" si="127"/>
        <v>-224.3491668165519</v>
      </c>
      <c r="N179" s="8">
        <f t="shared" ca="1" si="127"/>
        <v>-272.03947291254417</v>
      </c>
      <c r="O179" s="8">
        <f t="shared" ca="1" si="127"/>
        <v>-321.40266595523246</v>
      </c>
      <c r="P179" s="8">
        <f t="shared" ca="1" si="127"/>
        <v>-372.8606694824083</v>
      </c>
      <c r="Q179" s="8">
        <f t="shared" ca="1" si="127"/>
        <v>-426.86313670803895</v>
      </c>
      <c r="R179" s="10">
        <f t="shared" ca="1" si="127"/>
        <v>-483.61601504934316</v>
      </c>
      <c r="S179" s="10">
        <f t="shared" ca="1" si="127"/>
        <v>-527.3459241770006</v>
      </c>
      <c r="T179" s="10">
        <f t="shared" ca="1" si="127"/>
        <v>-542.16421593237283</v>
      </c>
      <c r="U179" s="10">
        <f t="shared" ca="1" si="127"/>
        <v>-527.93269558825193</v>
      </c>
      <c r="V179" s="10">
        <f t="shared" ca="1" si="127"/>
        <v>-484.57695280547739</v>
      </c>
      <c r="W179" s="10">
        <f t="shared" ca="1" si="127"/>
        <v>-412.08522333286732</v>
      </c>
      <c r="X179" s="8">
        <f t="shared" ca="1" si="127"/>
        <v>-326.19276356110163</v>
      </c>
      <c r="Y179" s="8">
        <f t="shared" ca="1" si="127"/>
        <v>-242.51371603342221</v>
      </c>
      <c r="Z179" s="8">
        <f t="shared" ca="1" si="127"/>
        <v>-160.67418962304464</v>
      </c>
      <c r="AA179" s="8">
        <f t="shared" ca="1" si="127"/>
        <v>-80.043771020900323</v>
      </c>
      <c r="AB179" s="9">
        <f t="shared" ca="1" si="127"/>
        <v>0</v>
      </c>
    </row>
    <row r="180" spans="4:28" x14ac:dyDescent="0.25">
      <c r="D180" s="17"/>
      <c r="E180" s="2">
        <f t="shared" si="104"/>
        <v>1.7000000000000004</v>
      </c>
      <c r="H180" s="9">
        <f t="shared" ref="H180:AB180" ca="1" si="128" xml:space="preserve"> -(D*(H81+nu*G80+H79+nu*I80+((-2*nu)-2)*H80))/delta^2</f>
        <v>0</v>
      </c>
      <c r="I180" s="8">
        <f t="shared" ca="1" si="128"/>
        <v>-47.000874764155149</v>
      </c>
      <c r="J180" s="8">
        <f t="shared" ca="1" si="128"/>
        <v>-94.345001907577227</v>
      </c>
      <c r="K180" s="8">
        <f t="shared" ca="1" si="128"/>
        <v>-142.37983705676157</v>
      </c>
      <c r="L180" s="8">
        <f t="shared" ca="1" si="128"/>
        <v>-191.45971893983253</v>
      </c>
      <c r="M180" s="8">
        <f t="shared" ca="1" si="128"/>
        <v>-241.94479805144965</v>
      </c>
      <c r="N180" s="8">
        <f t="shared" ca="1" si="128"/>
        <v>-294.1919731661294</v>
      </c>
      <c r="O180" s="8">
        <f t="shared" ca="1" si="128"/>
        <v>-348.5286321103535</v>
      </c>
      <c r="P180" s="8">
        <f t="shared" ca="1" si="128"/>
        <v>-405.18909685225094</v>
      </c>
      <c r="Q180" s="8">
        <f t="shared" ca="1" si="128"/>
        <v>-464.17643020506102</v>
      </c>
      <c r="R180" s="10">
        <f t="shared" ca="1" si="128"/>
        <v>-525.01726095160973</v>
      </c>
      <c r="S180" s="10">
        <f t="shared" ca="1" si="128"/>
        <v>-571.55561591362095</v>
      </c>
      <c r="T180" s="10">
        <f t="shared" ca="1" si="128"/>
        <v>-587.57436943175458</v>
      </c>
      <c r="U180" s="10">
        <f t="shared" ca="1" si="128"/>
        <v>-572.45316860327159</v>
      </c>
      <c r="V180" s="10">
        <f t="shared" ca="1" si="128"/>
        <v>-526.08945607776695</v>
      </c>
      <c r="W180" s="10">
        <f t="shared" ca="1" si="128"/>
        <v>-448.8962050169153</v>
      </c>
      <c r="X180" s="8">
        <f t="shared" ca="1" si="128"/>
        <v>-356.87651864663258</v>
      </c>
      <c r="Y180" s="8">
        <f t="shared" ca="1" si="128"/>
        <v>-265.96184415693784</v>
      </c>
      <c r="Z180" s="8">
        <f t="shared" ca="1" si="128"/>
        <v>-176.3877450943456</v>
      </c>
      <c r="AA180" s="8">
        <f t="shared" ca="1" si="128"/>
        <v>-87.899377267859535</v>
      </c>
      <c r="AB180" s="9">
        <f t="shared" ca="1" si="128"/>
        <v>0</v>
      </c>
    </row>
    <row r="181" spans="4:28" x14ac:dyDescent="0.25">
      <c r="D181" s="17"/>
      <c r="E181" s="2">
        <f t="shared" si="104"/>
        <v>1.6000000000000003</v>
      </c>
      <c r="H181" s="9">
        <f t="shared" ref="H181:AB181" ca="1" si="129" xml:space="preserve"> -(D*(H82+nu*G81+H80+nu*I81+((-2*nu)-2)*H81))/delta^2</f>
        <v>0</v>
      </c>
      <c r="I181" s="8">
        <f t="shared" ca="1" si="129"/>
        <v>-49.022767034605124</v>
      </c>
      <c r="J181" s="8">
        <f t="shared" ca="1" si="129"/>
        <v>-98.45000476764686</v>
      </c>
      <c r="K181" s="8">
        <f t="shared" ca="1" si="129"/>
        <v>-148.6884206044854</v>
      </c>
      <c r="L181" s="8">
        <f t="shared" ca="1" si="129"/>
        <v>-200.14510401950827</v>
      </c>
      <c r="M181" s="8">
        <f t="shared" ca="1" si="129"/>
        <v>-253.21611774209893</v>
      </c>
      <c r="N181" s="8">
        <f t="shared" ca="1" si="129"/>
        <v>-308.25729174803223</v>
      </c>
      <c r="O181" s="8">
        <f t="shared" ca="1" si="129"/>
        <v>-365.52530294604355</v>
      </c>
      <c r="P181" s="8">
        <f t="shared" ca="1" si="129"/>
        <v>-425.07558325154332</v>
      </c>
      <c r="Q181" s="8">
        <f t="shared" ca="1" si="129"/>
        <v>-486.61476453184889</v>
      </c>
      <c r="R181" s="10">
        <f t="shared" ca="1" si="129"/>
        <v>-549.35558296310398</v>
      </c>
      <c r="S181" s="10">
        <f t="shared" ca="1" si="129"/>
        <v>-597.04423791743682</v>
      </c>
      <c r="T181" s="10">
        <f t="shared" ca="1" si="129"/>
        <v>-613.42006356181059</v>
      </c>
      <c r="U181" s="10">
        <f t="shared" ca="1" si="129"/>
        <v>-597.71864912609658</v>
      </c>
      <c r="V181" s="10">
        <f t="shared" ca="1" si="129"/>
        <v>-549.81973827696334</v>
      </c>
      <c r="W181" s="10">
        <f t="shared" ca="1" si="129"/>
        <v>-470.24438662302856</v>
      </c>
      <c r="X181" s="8">
        <f t="shared" ca="1" si="129"/>
        <v>-375.00173444318102</v>
      </c>
      <c r="Y181" s="8">
        <f t="shared" ca="1" si="129"/>
        <v>-280.0818103969093</v>
      </c>
      <c r="Z181" s="8">
        <f t="shared" ca="1" si="129"/>
        <v>-185.99452869027522</v>
      </c>
      <c r="AA181" s="8">
        <f t="shared" ca="1" si="129"/>
        <v>-92.746424314950971</v>
      </c>
      <c r="AB181" s="9">
        <f t="shared" ca="1" si="129"/>
        <v>0</v>
      </c>
    </row>
    <row r="182" spans="4:28" x14ac:dyDescent="0.25">
      <c r="D182" s="17"/>
      <c r="E182" s="2">
        <f t="shared" si="104"/>
        <v>1.5000000000000002</v>
      </c>
      <c r="H182" s="9">
        <f t="shared" ref="H182:AB182" ca="1" si="130" xml:space="preserve"> -(D*(H83+nu*G82+H81+nu*I82+((-2*nu)-2)*H82))/delta^2</f>
        <v>0</v>
      </c>
      <c r="I182" s="8">
        <f t="shared" ca="1" si="130"/>
        <v>-49.82092364479923</v>
      </c>
      <c r="J182" s="8">
        <f t="shared" ca="1" si="130"/>
        <v>-100.06476321595707</v>
      </c>
      <c r="K182" s="8">
        <f t="shared" ca="1" si="130"/>
        <v>-151.15558530202267</v>
      </c>
      <c r="L182" s="8">
        <f t="shared" ca="1" si="130"/>
        <v>-203.51466453406394</v>
      </c>
      <c r="M182" s="8">
        <f t="shared" ca="1" si="130"/>
        <v>-257.54482623254262</v>
      </c>
      <c r="N182" s="8">
        <f t="shared" ca="1" si="130"/>
        <v>-313.59369054532669</v>
      </c>
      <c r="O182" s="8">
        <f t="shared" ca="1" si="130"/>
        <v>-371.88395142281951</v>
      </c>
      <c r="P182" s="8">
        <f t="shared" ca="1" si="130"/>
        <v>-432.40169733448306</v>
      </c>
      <c r="Q182" s="8">
        <f t="shared" ca="1" si="130"/>
        <v>-494.75426329997748</v>
      </c>
      <c r="R182" s="10">
        <f t="shared" ca="1" si="130"/>
        <v>-558.065559004345</v>
      </c>
      <c r="S182" s="10">
        <f t="shared" ca="1" si="130"/>
        <v>-606.06270208693195</v>
      </c>
      <c r="T182" s="10">
        <f t="shared" ca="1" si="130"/>
        <v>-622.48719978093368</v>
      </c>
      <c r="U182" s="10">
        <f t="shared" ca="1" si="130"/>
        <v>-606.54888349175008</v>
      </c>
      <c r="V182" s="10">
        <f t="shared" ca="1" si="130"/>
        <v>-558.12198603934894</v>
      </c>
      <c r="W182" s="10">
        <f t="shared" ca="1" si="130"/>
        <v>-477.7421505131673</v>
      </c>
      <c r="X182" s="8">
        <f t="shared" ca="1" si="130"/>
        <v>-381.40481386800127</v>
      </c>
      <c r="Y182" s="8">
        <f t="shared" ca="1" si="130"/>
        <v>-285.10729148190779</v>
      </c>
      <c r="Z182" s="8">
        <f t="shared" ca="1" si="130"/>
        <v>-189.43703977336216</v>
      </c>
      <c r="AA182" s="8">
        <f t="shared" ca="1" si="130"/>
        <v>-94.49121627167527</v>
      </c>
      <c r="AB182" s="9">
        <f t="shared" ca="1" si="130"/>
        <v>0</v>
      </c>
    </row>
    <row r="183" spans="4:28" x14ac:dyDescent="0.25">
      <c r="D183" s="17"/>
      <c r="E183" s="2">
        <f t="shared" si="104"/>
        <v>1.4000000000000001</v>
      </c>
      <c r="H183" s="9">
        <f t="shared" ref="H183:AB183" ca="1" si="131" xml:space="preserve"> -(D*(H84+nu*G83+H82+nu*I83+((-2*nu)-2)*H83))/delta^2</f>
        <v>0</v>
      </c>
      <c r="I183" s="8">
        <f t="shared" ca="1" si="131"/>
        <v>-49.350555582139769</v>
      </c>
      <c r="J183" s="8">
        <f t="shared" ca="1" si="131"/>
        <v>-99.099404110116652</v>
      </c>
      <c r="K183" s="8">
        <f t="shared" ca="1" si="131"/>
        <v>-149.64703479596494</v>
      </c>
      <c r="L183" s="8">
        <f t="shared" ca="1" si="131"/>
        <v>-201.39425893457013</v>
      </c>
      <c r="M183" s="8">
        <f t="shared" ca="1" si="131"/>
        <v>-254.73082083251111</v>
      </c>
      <c r="N183" s="8">
        <f t="shared" ca="1" si="131"/>
        <v>-310.00626441837397</v>
      </c>
      <c r="O183" s="8">
        <f t="shared" ca="1" si="131"/>
        <v>-367.47114531539421</v>
      </c>
      <c r="P183" s="8">
        <f t="shared" ca="1" si="131"/>
        <v>-427.17513001619</v>
      </c>
      <c r="Q183" s="8">
        <f t="shared" ca="1" si="131"/>
        <v>-488.81968126359317</v>
      </c>
      <c r="R183" s="10">
        <f t="shared" ca="1" si="131"/>
        <v>-551.6132351063668</v>
      </c>
      <c r="S183" s="10">
        <f t="shared" ca="1" si="131"/>
        <v>-599.29884168208764</v>
      </c>
      <c r="T183" s="10">
        <f t="shared" ca="1" si="131"/>
        <v>-615.6141014504999</v>
      </c>
      <c r="U183" s="10">
        <f t="shared" ca="1" si="131"/>
        <v>-599.79450615984115</v>
      </c>
      <c r="V183" s="10">
        <f t="shared" ca="1" si="131"/>
        <v>-551.72149132998993</v>
      </c>
      <c r="W183" s="10">
        <f t="shared" ca="1" si="131"/>
        <v>-471.91966142189949</v>
      </c>
      <c r="X183" s="8">
        <f t="shared" ca="1" si="131"/>
        <v>-376.4035345467679</v>
      </c>
      <c r="Y183" s="8">
        <f t="shared" ca="1" si="131"/>
        <v>-281.17022050402863</v>
      </c>
      <c r="Z183" s="8">
        <f t="shared" ca="1" si="131"/>
        <v>-186.7382004080531</v>
      </c>
      <c r="AA183" s="8">
        <f t="shared" ca="1" si="131"/>
        <v>-93.123764701184996</v>
      </c>
      <c r="AB183" s="9">
        <f t="shared" ca="1" si="131"/>
        <v>0</v>
      </c>
    </row>
    <row r="184" spans="4:28" x14ac:dyDescent="0.25">
      <c r="D184" s="17"/>
      <c r="E184" s="2">
        <f t="shared" si="104"/>
        <v>1.3</v>
      </c>
      <c r="H184" s="9">
        <f t="shared" ref="H184:AB184" ca="1" si="132" xml:space="preserve"> -(D*(H85+nu*G84+H83+nu*I84+((-2*nu)-2)*H84))/delta^2</f>
        <v>0</v>
      </c>
      <c r="I184" s="8">
        <f t="shared" ca="1" si="132"/>
        <v>-47.651859588762939</v>
      </c>
      <c r="J184" s="8">
        <f t="shared" ca="1" si="132"/>
        <v>-95.634855801493856</v>
      </c>
      <c r="K184" s="8">
        <f t="shared" ca="1" si="132"/>
        <v>-144.28422856551526</v>
      </c>
      <c r="L184" s="8">
        <f t="shared" ca="1" si="132"/>
        <v>-193.94194457667371</v>
      </c>
      <c r="M184" s="8">
        <f t="shared" ca="1" si="132"/>
        <v>-244.95565156378376</v>
      </c>
      <c r="N184" s="8">
        <f t="shared" ca="1" si="132"/>
        <v>-297.66975096076953</v>
      </c>
      <c r="O184" s="8">
        <f t="shared" ca="1" si="132"/>
        <v>-352.39940016250898</v>
      </c>
      <c r="P184" s="8">
        <f t="shared" ca="1" si="132"/>
        <v>-409.36734271898348</v>
      </c>
      <c r="Q184" s="8">
        <f t="shared" ca="1" si="132"/>
        <v>-468.56620468521407</v>
      </c>
      <c r="R184" s="10">
        <f t="shared" ca="1" si="132"/>
        <v>-529.51387870731423</v>
      </c>
      <c r="S184" s="10">
        <f t="shared" ca="1" si="132"/>
        <v>-576.04793647097154</v>
      </c>
      <c r="T184" s="10">
        <f t="shared" ca="1" si="132"/>
        <v>-591.9476248628041</v>
      </c>
      <c r="U184" s="10">
        <f t="shared" ca="1" si="132"/>
        <v>-576.59224857284175</v>
      </c>
      <c r="V184" s="10">
        <f t="shared" ca="1" si="132"/>
        <v>-529.8825117198204</v>
      </c>
      <c r="W184" s="10">
        <f t="shared" ca="1" si="132"/>
        <v>-452.23839617053568</v>
      </c>
      <c r="X184" s="8">
        <f t="shared" ca="1" si="132"/>
        <v>-359.67370816895101</v>
      </c>
      <c r="Y184" s="8">
        <f t="shared" ca="1" si="132"/>
        <v>-268.13403958202878</v>
      </c>
      <c r="Z184" s="8">
        <f t="shared" ca="1" si="132"/>
        <v>-177.87210055152121</v>
      </c>
      <c r="AA184" s="8">
        <f t="shared" ca="1" si="132"/>
        <v>-88.652594207740407</v>
      </c>
      <c r="AB184" s="9">
        <f t="shared" ca="1" si="132"/>
        <v>0</v>
      </c>
    </row>
    <row r="185" spans="4:28" x14ac:dyDescent="0.25">
      <c r="D185" s="17"/>
      <c r="E185" s="2">
        <f t="shared" si="104"/>
        <v>1.2</v>
      </c>
      <c r="H185" s="9">
        <f t="shared" ref="H185:AB185" ca="1" si="133" xml:space="preserve"> -(D*(H86+nu*G85+H84+nu*I85+((-2*nu)-2)*H85))/delta^2</f>
        <v>0</v>
      </c>
      <c r="I185" s="8">
        <f t="shared" ca="1" si="133"/>
        <v>-44.847902823259133</v>
      </c>
      <c r="J185" s="8">
        <f t="shared" ca="1" si="133"/>
        <v>-89.920135057720785</v>
      </c>
      <c r="K185" s="8">
        <f t="shared" ca="1" si="133"/>
        <v>-135.44486610286538</v>
      </c>
      <c r="L185" s="8">
        <f t="shared" ca="1" si="133"/>
        <v>-181.65918334666972</v>
      </c>
      <c r="M185" s="8">
        <f t="shared" ca="1" si="133"/>
        <v>-228.81719345677732</v>
      </c>
      <c r="N185" s="8">
        <f t="shared" ca="1" si="133"/>
        <v>-277.20363340239811</v>
      </c>
      <c r="O185" s="8">
        <f t="shared" ca="1" si="133"/>
        <v>-327.15429369004028</v>
      </c>
      <c r="P185" s="8">
        <f t="shared" ca="1" si="133"/>
        <v>-379.07361081850109</v>
      </c>
      <c r="Q185" s="8">
        <f t="shared" ca="1" si="133"/>
        <v>-433.39533253046244</v>
      </c>
      <c r="R185" s="10">
        <f t="shared" ca="1" si="133"/>
        <v>-490.31195561520383</v>
      </c>
      <c r="S185" s="10">
        <f t="shared" ca="1" si="133"/>
        <v>-534.04001722490739</v>
      </c>
      <c r="T185" s="10">
        <f t="shared" ca="1" si="133"/>
        <v>-548.68501963205233</v>
      </c>
      <c r="U185" s="10">
        <f t="shared" ca="1" si="133"/>
        <v>-534.10787852810256</v>
      </c>
      <c r="V185" s="10">
        <f t="shared" ca="1" si="133"/>
        <v>-490.23876435636714</v>
      </c>
      <c r="W185" s="10">
        <f t="shared" ca="1" si="133"/>
        <v>-417.07619916645643</v>
      </c>
      <c r="X185" s="8">
        <f t="shared" ca="1" si="133"/>
        <v>-330.37135909144644</v>
      </c>
      <c r="Y185" s="8">
        <f t="shared" ca="1" si="133"/>
        <v>-245.75955682566763</v>
      </c>
      <c r="Z185" s="8">
        <f t="shared" ca="1" si="133"/>
        <v>-162.89264975600875</v>
      </c>
      <c r="AA185" s="8">
        <f t="shared" ca="1" si="133"/>
        <v>-81.169632308503665</v>
      </c>
      <c r="AB185" s="9">
        <f t="shared" ca="1" si="133"/>
        <v>0</v>
      </c>
    </row>
    <row r="186" spans="4:28" x14ac:dyDescent="0.25">
      <c r="D186" s="17"/>
      <c r="E186" s="2">
        <f t="shared" si="104"/>
        <v>1.0999999999999999</v>
      </c>
      <c r="H186" s="9">
        <f t="shared" ref="H186:AB186" ca="1" si="134" xml:space="preserve"> -(D*(H87+nu*G86+H85+nu*I86+((-2*nu)-2)*H86))/delta^2</f>
        <v>0</v>
      </c>
      <c r="I186" s="8">
        <f t="shared" ca="1" si="134"/>
        <v>-41.136950922697459</v>
      </c>
      <c r="J186" s="8">
        <f t="shared" ca="1" si="134"/>
        <v>-82.360476145913353</v>
      </c>
      <c r="K186" s="8">
        <f t="shared" ca="1" si="134"/>
        <v>-123.7559795530937</v>
      </c>
      <c r="L186" s="8">
        <f t="shared" ca="1" si="134"/>
        <v>-165.40858607817796</v>
      </c>
      <c r="M186" s="8">
        <f t="shared" ca="1" si="134"/>
        <v>-207.40951217362641</v>
      </c>
      <c r="N186" s="8">
        <f t="shared" ca="1" si="134"/>
        <v>-249.87469273073066</v>
      </c>
      <c r="O186" s="8">
        <f t="shared" ca="1" si="134"/>
        <v>-292.98917324855779</v>
      </c>
      <c r="P186" s="8">
        <f t="shared" ca="1" si="134"/>
        <v>-337.10167847812886</v>
      </c>
      <c r="Q186" s="8">
        <f t="shared" ca="1" si="134"/>
        <v>-382.8963250126418</v>
      </c>
      <c r="R186" s="10">
        <f t="shared" ca="1" si="134"/>
        <v>-431.54880888761687</v>
      </c>
      <c r="S186" s="10">
        <f t="shared" ca="1" si="134"/>
        <v>-468.77439144437972</v>
      </c>
      <c r="T186" s="10">
        <f t="shared" ca="1" si="134"/>
        <v>-480.19587435657741</v>
      </c>
      <c r="U186" s="10">
        <f t="shared" ca="1" si="134"/>
        <v>-466.66122903673795</v>
      </c>
      <c r="V186" s="10">
        <f t="shared" ca="1" si="134"/>
        <v>-428.13715941792907</v>
      </c>
      <c r="W186" s="10">
        <f t="shared" ca="1" si="134"/>
        <v>-363.70998308910544</v>
      </c>
      <c r="X186" s="8">
        <f t="shared" ca="1" si="134"/>
        <v>-287.69376977172931</v>
      </c>
      <c r="Y186" s="8">
        <f t="shared" ca="1" si="134"/>
        <v>-214.31412729607237</v>
      </c>
      <c r="Z186" s="8">
        <f t="shared" ca="1" si="134"/>
        <v>-142.34076397914089</v>
      </c>
      <c r="AA186" s="8">
        <f t="shared" ca="1" si="134"/>
        <v>-71.037734360791688</v>
      </c>
      <c r="AB186" s="9">
        <f t="shared" ca="1" si="134"/>
        <v>0</v>
      </c>
    </row>
    <row r="187" spans="4:28" x14ac:dyDescent="0.25">
      <c r="D187" s="17"/>
      <c r="E187" s="2">
        <f t="shared" si="104"/>
        <v>0.99999999999999989</v>
      </c>
      <c r="H187" s="9">
        <f t="shared" ref="H187:AB187" ca="1" si="135" xml:space="preserve"> -(D*(H88+nu*G87+H86+nu*I87+((-2*nu)-2)*H87))/delta^2</f>
        <v>0</v>
      </c>
      <c r="I187" s="8">
        <f t="shared" ca="1" si="135"/>
        <v>-36.775325331704686</v>
      </c>
      <c r="J187" s="8">
        <f t="shared" ca="1" si="135"/>
        <v>-73.485481116955654</v>
      </c>
      <c r="K187" s="8">
        <f t="shared" ca="1" si="135"/>
        <v>-110.05503384607734</v>
      </c>
      <c r="L187" s="8">
        <f t="shared" ca="1" si="135"/>
        <v>-146.38828367594743</v>
      </c>
      <c r="M187" s="8">
        <f t="shared" ca="1" si="135"/>
        <v>-182.36004543819942</v>
      </c>
      <c r="N187" s="8">
        <f t="shared" ca="1" si="135"/>
        <v>-217.80824577810759</v>
      </c>
      <c r="O187" s="8">
        <f t="shared" ca="1" si="135"/>
        <v>-252.53006617506915</v>
      </c>
      <c r="P187" s="8">
        <f t="shared" ca="1" si="135"/>
        <v>-286.28403771933341</v>
      </c>
      <c r="Q187" s="8">
        <f t="shared" ca="1" si="135"/>
        <v>-318.80070868045306</v>
      </c>
      <c r="R187" s="10">
        <f t="shared" ca="1" si="135"/>
        <v>-349.80360571493094</v>
      </c>
      <c r="S187" s="10">
        <f t="shared" ca="1" si="135"/>
        <v>-371.53965443338114</v>
      </c>
      <c r="T187" s="10">
        <f t="shared" ca="1" si="135"/>
        <v>-376.31433466625714</v>
      </c>
      <c r="U187" s="10">
        <f t="shared" ca="1" si="135"/>
        <v>-364.02345895658073</v>
      </c>
      <c r="V187" s="10">
        <f t="shared" ca="1" si="135"/>
        <v>-334.67311973897802</v>
      </c>
      <c r="W187" s="10">
        <f t="shared" ca="1" si="135"/>
        <v>-288.3826433981493</v>
      </c>
      <c r="X187" s="8">
        <f t="shared" ca="1" si="135"/>
        <v>-232.87064869876707</v>
      </c>
      <c r="Y187" s="8">
        <f t="shared" ca="1" si="135"/>
        <v>-175.9295323694032</v>
      </c>
      <c r="Z187" s="8">
        <f t="shared" ca="1" si="135"/>
        <v>-117.89688380569689</v>
      </c>
      <c r="AA187" s="8">
        <f t="shared" ca="1" si="135"/>
        <v>-59.13176214659169</v>
      </c>
      <c r="AB187" s="9">
        <f t="shared" ca="1" si="135"/>
        <v>0</v>
      </c>
    </row>
    <row r="188" spans="4:28" x14ac:dyDescent="0.25">
      <c r="D188" s="17"/>
      <c r="E188" s="2">
        <f t="shared" si="104"/>
        <v>0.89999999999999991</v>
      </c>
      <c r="H188" s="9">
        <f t="shared" ref="H188:AB188" ca="1" si="136" xml:space="preserve"> -(D*(H89+nu*G88+H87+nu*I88+((-2*nu)-2)*H88))/delta^2</f>
        <v>0</v>
      </c>
      <c r="I188" s="8">
        <f t="shared" ca="1" si="136"/>
        <v>-32.048495384548879</v>
      </c>
      <c r="J188" s="8">
        <f t="shared" ca="1" si="136"/>
        <v>-63.889152197970596</v>
      </c>
      <c r="K188" s="8">
        <f t="shared" ca="1" si="136"/>
        <v>-95.295248265942988</v>
      </c>
      <c r="L188" s="8">
        <f t="shared" ca="1" si="136"/>
        <v>-126.0005572898778</v>
      </c>
      <c r="M188" s="8">
        <f t="shared" ca="1" si="136"/>
        <v>-155.6744013868381</v>
      </c>
      <c r="N188" s="8">
        <f t="shared" ca="1" si="136"/>
        <v>-183.88744916957575</v>
      </c>
      <c r="O188" s="8">
        <f t="shared" ca="1" si="136"/>
        <v>-210.05809083506048</v>
      </c>
      <c r="P188" s="8">
        <f t="shared" ca="1" si="136"/>
        <v>-233.35995834001392</v>
      </c>
      <c r="Q188" s="8">
        <f t="shared" ca="1" si="136"/>
        <v>-252.56953924670995</v>
      </c>
      <c r="R188" s="8">
        <f t="shared" ca="1" si="136"/>
        <v>-265.95118726446708</v>
      </c>
      <c r="S188" s="8">
        <f t="shared" ca="1" si="136"/>
        <v>-272.27168855494932</v>
      </c>
      <c r="T188" s="8">
        <f t="shared" ca="1" si="136"/>
        <v>-270.50669964973616</v>
      </c>
      <c r="U188" s="8">
        <f t="shared" ca="1" si="136"/>
        <v>-259.59128944499759</v>
      </c>
      <c r="V188" s="8">
        <f t="shared" ca="1" si="136"/>
        <v>-239.56906546418949</v>
      </c>
      <c r="W188" s="8">
        <f t="shared" ca="1" si="136"/>
        <v>-211.59697597746492</v>
      </c>
      <c r="X188" s="8">
        <f t="shared" ca="1" si="136"/>
        <v>-176.80605488331648</v>
      </c>
      <c r="Y188" s="8">
        <f t="shared" ca="1" si="136"/>
        <v>-136.56159791034582</v>
      </c>
      <c r="Z188" s="8">
        <f t="shared" ca="1" si="136"/>
        <v>-92.769044542160188</v>
      </c>
      <c r="AA188" s="8">
        <f t="shared" ca="1" si="136"/>
        <v>-46.874525991600976</v>
      </c>
      <c r="AB188" s="9">
        <f t="shared" ca="1" si="136"/>
        <v>0</v>
      </c>
    </row>
    <row r="189" spans="4:28" x14ac:dyDescent="0.25">
      <c r="D189" s="17"/>
      <c r="E189" s="2">
        <f t="shared" si="104"/>
        <v>0.79999999999999993</v>
      </c>
      <c r="H189" s="9">
        <f t="shared" ref="H189:AB189" ca="1" si="137" xml:space="preserve"> -(D*(H90+nu*G89+H88+nu*I89+((-2*nu)-2)*H89))/delta^2</f>
        <v>0</v>
      </c>
      <c r="I189" s="8">
        <f t="shared" ca="1" si="137"/>
        <v>-27.234044734135459</v>
      </c>
      <c r="J189" s="8">
        <f t="shared" ca="1" si="137"/>
        <v>-54.148510847967721</v>
      </c>
      <c r="K189" s="8">
        <f t="shared" ca="1" si="137"/>
        <v>-80.40148367738567</v>
      </c>
      <c r="L189" s="8">
        <f t="shared" ca="1" si="137"/>
        <v>-105.60491469903499</v>
      </c>
      <c r="M189" s="8">
        <f t="shared" ca="1" si="137"/>
        <v>-129.2977713375229</v>
      </c>
      <c r="N189" s="8">
        <f t="shared" ca="1" si="137"/>
        <v>-150.91480246061954</v>
      </c>
      <c r="O189" s="8">
        <f t="shared" ca="1" si="137"/>
        <v>-169.75245190170187</v>
      </c>
      <c r="P189" s="8">
        <f t="shared" ca="1" si="137"/>
        <v>-184.94682000529022</v>
      </c>
      <c r="Q189" s="8">
        <f t="shared" ca="1" si="137"/>
        <v>-195.52556886043814</v>
      </c>
      <c r="R189" s="8">
        <f t="shared" ca="1" si="137"/>
        <v>-200.71654331045991</v>
      </c>
      <c r="S189" s="8">
        <f t="shared" ca="1" si="137"/>
        <v>-200.74974919786652</v>
      </c>
      <c r="T189" s="8">
        <f t="shared" ca="1" si="137"/>
        <v>-196.07986379682779</v>
      </c>
      <c r="U189" s="8">
        <f t="shared" ca="1" si="137"/>
        <v>-186.60282982767947</v>
      </c>
      <c r="V189" s="8">
        <f t="shared" ca="1" si="137"/>
        <v>-172.3935202974302</v>
      </c>
      <c r="W189" s="8">
        <f t="shared" ca="1" si="137"/>
        <v>-153.71166250473976</v>
      </c>
      <c r="X189" s="8">
        <f t="shared" ca="1" si="137"/>
        <v>-130.27629822325198</v>
      </c>
      <c r="Y189" s="8">
        <f t="shared" ca="1" si="137"/>
        <v>-102.06218557590856</v>
      </c>
      <c r="Z189" s="8">
        <f t="shared" ca="1" si="137"/>
        <v>-70.09187861204569</v>
      </c>
      <c r="AA189" s="8">
        <f t="shared" ca="1" si="137"/>
        <v>-35.650890758963612</v>
      </c>
      <c r="AB189" s="9">
        <f t="shared" ca="1" si="137"/>
        <v>0</v>
      </c>
    </row>
    <row r="190" spans="4:28" x14ac:dyDescent="0.25">
      <c r="D190" s="17"/>
      <c r="E190" s="2">
        <f t="shared" si="104"/>
        <v>0.7</v>
      </c>
      <c r="H190" s="9">
        <f t="shared" ref="H190:AB190" ca="1" si="138" xml:space="preserve"> -(D*(H91+nu*G90+H89+nu*I90+((-2*nu)-2)*H90))/delta^2</f>
        <v>0</v>
      </c>
      <c r="I190" s="8">
        <f t="shared" ca="1" si="138"/>
        <v>-22.566582685558615</v>
      </c>
      <c r="J190" s="8">
        <f t="shared" ca="1" si="138"/>
        <v>-44.746032349567834</v>
      </c>
      <c r="K190" s="8">
        <f t="shared" ca="1" si="138"/>
        <v>-66.131593767247352</v>
      </c>
      <c r="L190" s="8">
        <f t="shared" ca="1" si="138"/>
        <v>-86.277782380527256</v>
      </c>
      <c r="M190" s="8">
        <f t="shared" ca="1" si="138"/>
        <v>-104.68321364256653</v>
      </c>
      <c r="N190" s="8">
        <f t="shared" ca="1" si="138"/>
        <v>-120.77946222798603</v>
      </c>
      <c r="O190" s="8">
        <f t="shared" ca="1" si="138"/>
        <v>-133.93666218066031</v>
      </c>
      <c r="P190" s="8">
        <f t="shared" ca="1" si="138"/>
        <v>-143.51082950354672</v>
      </c>
      <c r="Q190" s="8">
        <f t="shared" ca="1" si="138"/>
        <v>-148.98048232590997</v>
      </c>
      <c r="R190" s="8">
        <f t="shared" ca="1" si="138"/>
        <v>-150.22044010568533</v>
      </c>
      <c r="S190" s="8">
        <f t="shared" ca="1" si="138"/>
        <v>-147.78063815153746</v>
      </c>
      <c r="T190" s="8">
        <f t="shared" ca="1" si="138"/>
        <v>-142.37590679334753</v>
      </c>
      <c r="U190" s="8">
        <f t="shared" ca="1" si="138"/>
        <v>-134.33907171735234</v>
      </c>
      <c r="V190" s="8">
        <f t="shared" ca="1" si="138"/>
        <v>-123.76683106188402</v>
      </c>
      <c r="W190" s="8">
        <f t="shared" ca="1" si="138"/>
        <v>-110.52584609241853</v>
      </c>
      <c r="X190" s="8">
        <f t="shared" ca="1" si="138"/>
        <v>-94.119141337981318</v>
      </c>
      <c r="Y190" s="8">
        <f t="shared" ca="1" si="138"/>
        <v>-74.24553281466109</v>
      </c>
      <c r="Z190" s="8">
        <f t="shared" ca="1" si="138"/>
        <v>-51.322639150091952</v>
      </c>
      <c r="AA190" s="8">
        <f t="shared" ca="1" si="138"/>
        <v>-26.220728634734058</v>
      </c>
      <c r="AB190" s="9">
        <f t="shared" ca="1" si="138"/>
        <v>0</v>
      </c>
    </row>
    <row r="191" spans="4:28" x14ac:dyDescent="0.25">
      <c r="D191" s="17"/>
      <c r="E191" s="2">
        <f t="shared" si="104"/>
        <v>0.6</v>
      </c>
      <c r="H191" s="9">
        <f t="shared" ref="H191:AB191" ca="1" si="139" xml:space="preserve"> -(D*(H92+nu*G91+H90+nu*I91+((-2*nu)-2)*H91))/delta^2</f>
        <v>0</v>
      </c>
      <c r="I191" s="8">
        <f t="shared" ca="1" si="139"/>
        <v>-18.214683291861625</v>
      </c>
      <c r="J191" s="8">
        <f t="shared" ca="1" si="139"/>
        <v>-36.021250690496593</v>
      </c>
      <c r="K191" s="8">
        <f t="shared" ca="1" si="139"/>
        <v>-52.998568740267046</v>
      </c>
      <c r="L191" s="8">
        <f t="shared" ca="1" si="139"/>
        <v>-68.701952392050018</v>
      </c>
      <c r="M191" s="8">
        <f t="shared" ca="1" si="139"/>
        <v>-82.658747608784992</v>
      </c>
      <c r="N191" s="8">
        <f t="shared" ca="1" si="139"/>
        <v>-94.376311309136682</v>
      </c>
      <c r="O191" s="8">
        <f t="shared" ca="1" si="139"/>
        <v>-103.37316096386202</v>
      </c>
      <c r="P191" s="8">
        <f t="shared" ca="1" si="139"/>
        <v>-109.24913607251779</v>
      </c>
      <c r="Q191" s="8">
        <f t="shared" ca="1" si="139"/>
        <v>-111.80796169079521</v>
      </c>
      <c r="R191" s="8">
        <f t="shared" ca="1" si="139"/>
        <v>-111.20971114304668</v>
      </c>
      <c r="S191" s="8">
        <f t="shared" ca="1" si="139"/>
        <v>-108.01836580486805</v>
      </c>
      <c r="T191" s="8">
        <f t="shared" ca="1" si="139"/>
        <v>-102.8944338005831</v>
      </c>
      <c r="U191" s="8">
        <f t="shared" ca="1" si="139"/>
        <v>-96.251488901753106</v>
      </c>
      <c r="V191" s="8">
        <f t="shared" ca="1" si="139"/>
        <v>-88.197056695754455</v>
      </c>
      <c r="W191" s="8">
        <f t="shared" ca="1" si="139"/>
        <v>-78.538030333376881</v>
      </c>
      <c r="X191" s="8">
        <f t="shared" ca="1" si="139"/>
        <v>-66.85043675240162</v>
      </c>
      <c r="Y191" s="8">
        <f t="shared" ca="1" si="139"/>
        <v>-52.832903504060504</v>
      </c>
      <c r="Z191" s="8">
        <f t="shared" ca="1" si="139"/>
        <v>-36.622555244478932</v>
      </c>
      <c r="AA191" s="8">
        <f t="shared" ca="1" si="139"/>
        <v>-18.752826379683761</v>
      </c>
      <c r="AB191" s="9">
        <f t="shared" ca="1" si="139"/>
        <v>0</v>
      </c>
    </row>
    <row r="192" spans="4:28" x14ac:dyDescent="0.25">
      <c r="D192" s="17"/>
      <c r="E192" s="2">
        <f t="shared" si="104"/>
        <v>0.5</v>
      </c>
      <c r="H192" s="9">
        <f t="shared" ref="H192:AB192" ca="1" si="140" xml:space="preserve"> -(D*(H93+nu*G92+H91+nu*I92+((-2*nu)-2)*H92))/delta^2</f>
        <v>0</v>
      </c>
      <c r="I192" s="8">
        <f t="shared" ca="1" si="140"/>
        <v>-14.273399750166972</v>
      </c>
      <c r="J192" s="8">
        <f t="shared" ca="1" si="140"/>
        <v>-28.158361473034198</v>
      </c>
      <c r="K192" s="8">
        <f t="shared" ca="1" si="140"/>
        <v>-41.260759983817252</v>
      </c>
      <c r="L192" s="8">
        <f t="shared" ca="1" si="140"/>
        <v>-53.178553801242813</v>
      </c>
      <c r="M192" s="8">
        <f t="shared" ca="1" si="140"/>
        <v>-63.507216530879248</v>
      </c>
      <c r="N192" s="8">
        <f t="shared" ca="1" si="140"/>
        <v>-71.858347506698124</v>
      </c>
      <c r="O192" s="8">
        <f t="shared" ca="1" si="140"/>
        <v>-77.89806666478114</v>
      </c>
      <c r="P192" s="8">
        <f t="shared" ca="1" si="140"/>
        <v>-81.410067097043296</v>
      </c>
      <c r="Q192" s="8">
        <f t="shared" ca="1" si="140"/>
        <v>-82.377494123814415</v>
      </c>
      <c r="R192" s="8">
        <f t="shared" ca="1" si="140"/>
        <v>-81.04898266476502</v>
      </c>
      <c r="S192" s="8">
        <f t="shared" ca="1" si="140"/>
        <v>-77.910585483418572</v>
      </c>
      <c r="T192" s="8">
        <f t="shared" ca="1" si="140"/>
        <v>-73.495085581935697</v>
      </c>
      <c r="U192" s="8">
        <f t="shared" ca="1" si="140"/>
        <v>-68.167495460098635</v>
      </c>
      <c r="V192" s="8">
        <f t="shared" ca="1" si="140"/>
        <v>-62.035200455347074</v>
      </c>
      <c r="W192" s="8">
        <f t="shared" ca="1" si="140"/>
        <v>-54.952195608330598</v>
      </c>
      <c r="X192" s="8">
        <f t="shared" ca="1" si="140"/>
        <v>-46.616995370806201</v>
      </c>
      <c r="Y192" s="8">
        <f t="shared" ca="1" si="140"/>
        <v>-36.793789949295693</v>
      </c>
      <c r="Z192" s="8">
        <f t="shared" ca="1" si="140"/>
        <v>-25.506981128084295</v>
      </c>
      <c r="AA192" s="8">
        <f t="shared" ca="1" si="140"/>
        <v>-13.068079730691268</v>
      </c>
      <c r="AB192" s="9">
        <f t="shared" ca="1" si="140"/>
        <v>0</v>
      </c>
    </row>
    <row r="193" spans="4:28" x14ac:dyDescent="0.25">
      <c r="D193" s="17"/>
      <c r="E193" s="2">
        <f t="shared" si="104"/>
        <v>0.4</v>
      </c>
      <c r="H193" s="9">
        <f t="shared" ref="H193:AB193" ca="1" si="141" xml:space="preserve"> -(D*(H94+nu*G93+H92+nu*I93+((-2*nu)-2)*H93))/delta^2</f>
        <v>0</v>
      </c>
      <c r="I193" s="8">
        <f t="shared" ca="1" si="141"/>
        <v>-10.769481344817436</v>
      </c>
      <c r="J193" s="8">
        <f t="shared" ca="1" si="141"/>
        <v>-21.201017414277395</v>
      </c>
      <c r="K193" s="8">
        <f t="shared" ca="1" si="141"/>
        <v>-30.956705276853029</v>
      </c>
      <c r="L193" s="8">
        <f t="shared" ca="1" si="141"/>
        <v>-39.702127857887326</v>
      </c>
      <c r="M193" s="8">
        <f t="shared" ca="1" si="141"/>
        <v>-47.116805946805876</v>
      </c>
      <c r="N193" s="8">
        <f t="shared" ca="1" si="141"/>
        <v>-52.915311313022571</v>
      </c>
      <c r="O193" s="8">
        <f t="shared" ca="1" si="141"/>
        <v>-56.881616667742094</v>
      </c>
      <c r="P193" s="8">
        <f t="shared" ca="1" si="141"/>
        <v>-58.915179543706344</v>
      </c>
      <c r="Q193" s="8">
        <f t="shared" ca="1" si="141"/>
        <v>-59.077621135339797</v>
      </c>
      <c r="R193" s="8">
        <f t="shared" ca="1" si="141"/>
        <v>-57.613265914979181</v>
      </c>
      <c r="S193" s="8">
        <f t="shared" ca="1" si="141"/>
        <v>-54.905602449302968</v>
      </c>
      <c r="T193" s="8">
        <f t="shared" ca="1" si="141"/>
        <v>-51.355887383061983</v>
      </c>
      <c r="U193" s="8">
        <f t="shared" ca="1" si="141"/>
        <v>-47.249409604442853</v>
      </c>
      <c r="V193" s="8">
        <f t="shared" ca="1" si="141"/>
        <v>-42.683663496955177</v>
      </c>
      <c r="W193" s="8">
        <f t="shared" ca="1" si="141"/>
        <v>-37.57128316113937</v>
      </c>
      <c r="X193" s="8">
        <f t="shared" ca="1" si="141"/>
        <v>-31.717190228892612</v>
      </c>
      <c r="Y193" s="8">
        <f t="shared" ca="1" si="141"/>
        <v>-24.955891742565655</v>
      </c>
      <c r="Z193" s="8">
        <f t="shared" ca="1" si="141"/>
        <v>-17.273118782636772</v>
      </c>
      <c r="AA193" s="8">
        <f t="shared" ca="1" si="141"/>
        <v>-8.8441728458520767</v>
      </c>
      <c r="AB193" s="9">
        <f t="shared" ca="1" si="141"/>
        <v>0</v>
      </c>
    </row>
    <row r="194" spans="4:28" x14ac:dyDescent="0.25">
      <c r="D194" s="17"/>
      <c r="E194" s="2">
        <f t="shared" si="104"/>
        <v>0.30000000000000004</v>
      </c>
      <c r="H194" s="9">
        <f t="shared" ref="H194:AB194" ca="1" si="142" xml:space="preserve"> -(D*(H95+nu*G94+H93+nu*I94+((-2*nu)-2)*H94))/delta^2</f>
        <v>0</v>
      </c>
      <c r="I194" s="8">
        <f t="shared" ca="1" si="142"/>
        <v>-7.6737347456077769</v>
      </c>
      <c r="J194" s="8">
        <f t="shared" ca="1" si="142"/>
        <v>-15.080729790968759</v>
      </c>
      <c r="K194" s="8">
        <f t="shared" ca="1" si="142"/>
        <v>-21.957407897095766</v>
      </c>
      <c r="L194" s="8">
        <f t="shared" ca="1" si="142"/>
        <v>-28.049231586526552</v>
      </c>
      <c r="M194" s="8">
        <f t="shared" ca="1" si="142"/>
        <v>-33.121862255370033</v>
      </c>
      <c r="N194" s="8">
        <f t="shared" ca="1" si="142"/>
        <v>-36.979550907782667</v>
      </c>
      <c r="O194" s="8">
        <f t="shared" ca="1" si="142"/>
        <v>-39.490955275053189</v>
      </c>
      <c r="P194" s="8">
        <f t="shared" ca="1" si="142"/>
        <v>-40.618788707262077</v>
      </c>
      <c r="Q194" s="8">
        <f t="shared" ca="1" si="142"/>
        <v>-40.443458404466369</v>
      </c>
      <c r="R194" s="8">
        <f t="shared" ca="1" si="142"/>
        <v>-39.164105081650114</v>
      </c>
      <c r="S194" s="8">
        <f t="shared" ca="1" si="142"/>
        <v>-37.060358119823412</v>
      </c>
      <c r="T194" s="8">
        <f t="shared" ca="1" si="142"/>
        <v>-34.4156819444623</v>
      </c>
      <c r="U194" s="8">
        <f t="shared" ca="1" si="142"/>
        <v>-31.435631583928981</v>
      </c>
      <c r="V194" s="8">
        <f t="shared" ca="1" si="142"/>
        <v>-28.199944966210282</v>
      </c>
      <c r="W194" s="8">
        <f t="shared" ca="1" si="142"/>
        <v>-24.664336548803117</v>
      </c>
      <c r="X194" s="8">
        <f t="shared" ca="1" si="142"/>
        <v>-20.711452491552354</v>
      </c>
      <c r="Y194" s="8">
        <f t="shared" ca="1" si="142"/>
        <v>-16.233964807698666</v>
      </c>
      <c r="Z194" s="8">
        <f t="shared" ca="1" si="142"/>
        <v>-11.209503629889575</v>
      </c>
      <c r="AA194" s="8">
        <f t="shared" ca="1" si="142"/>
        <v>-5.7324613075544653</v>
      </c>
      <c r="AB194" s="9">
        <f t="shared" ca="1" si="142"/>
        <v>0</v>
      </c>
    </row>
    <row r="195" spans="4:28" x14ac:dyDescent="0.25">
      <c r="D195" s="17"/>
      <c r="E195" s="2">
        <f t="shared" si="104"/>
        <v>0.2</v>
      </c>
      <c r="H195" s="9">
        <f t="shared" ref="H195:AB195" ca="1" si="143" xml:space="preserve"> -(D*(H96+nu*G95+H94+nu*I95+((-2*nu)-2)*H95))/delta^2</f>
        <v>0</v>
      </c>
      <c r="I195" s="8">
        <f t="shared" ca="1" si="143"/>
        <v>-4.9154986321589558</v>
      </c>
      <c r="J195" s="8">
        <f t="shared" ca="1" si="143"/>
        <v>-9.6478914981056878</v>
      </c>
      <c r="K195" s="8">
        <f t="shared" ca="1" si="143"/>
        <v>-14.017790352119436</v>
      </c>
      <c r="L195" s="8">
        <f t="shared" ca="1" si="143"/>
        <v>-17.855041279990438</v>
      </c>
      <c r="M195" s="8">
        <f t="shared" ca="1" si="143"/>
        <v>-21.007587563264124</v>
      </c>
      <c r="N195" s="8">
        <f t="shared" ca="1" si="143"/>
        <v>-23.354521808944508</v>
      </c>
      <c r="O195" s="8">
        <f t="shared" ca="1" si="143"/>
        <v>-24.822672534116684</v>
      </c>
      <c r="P195" s="8">
        <f t="shared" ca="1" si="143"/>
        <v>-25.403495748145012</v>
      </c>
      <c r="Q195" s="8">
        <f t="shared" ca="1" si="143"/>
        <v>-25.163693279788347</v>
      </c>
      <c r="R195" s="8">
        <f t="shared" ca="1" si="143"/>
        <v>-24.24060201590504</v>
      </c>
      <c r="S195" s="8">
        <f t="shared" ca="1" si="143"/>
        <v>-22.81561913387991</v>
      </c>
      <c r="T195" s="8">
        <f t="shared" ca="1" si="143"/>
        <v>-21.068984472831406</v>
      </c>
      <c r="U195" s="8">
        <f t="shared" ca="1" si="143"/>
        <v>-19.133030895399958</v>
      </c>
      <c r="V195" s="8">
        <f t="shared" ca="1" si="143"/>
        <v>-17.063982847891676</v>
      </c>
      <c r="W195" s="8">
        <f t="shared" ca="1" si="143"/>
        <v>-14.842905592935484</v>
      </c>
      <c r="X195" s="8">
        <f t="shared" ca="1" si="143"/>
        <v>-12.405384690380625</v>
      </c>
      <c r="Y195" s="8">
        <f t="shared" ca="1" si="143"/>
        <v>-9.6884505451681715</v>
      </c>
      <c r="Z195" s="8">
        <f t="shared" ca="1" si="143"/>
        <v>-6.6736820545612048</v>
      </c>
      <c r="AA195" s="8">
        <f t="shared" ca="1" si="143"/>
        <v>-3.4083068576931326</v>
      </c>
      <c r="AB195" s="9">
        <f t="shared" ca="1" si="143"/>
        <v>0</v>
      </c>
    </row>
    <row r="196" spans="4:28" x14ac:dyDescent="0.25">
      <c r="D196" s="17"/>
      <c r="E196" s="2">
        <f t="shared" si="104"/>
        <v>0.1</v>
      </c>
      <c r="H196" s="9">
        <f t="shared" ref="H196:AB196" ca="1" si="144" xml:space="preserve"> -(D*(H97+nu*G96+H95+nu*I96+((-2*nu)-2)*H96))/delta^2</f>
        <v>0</v>
      </c>
      <c r="I196" s="8">
        <f t="shared" ca="1" si="144"/>
        <v>-2.3960925049863877</v>
      </c>
      <c r="J196" s="8">
        <f t="shared" ca="1" si="144"/>
        <v>-4.6992723498524382</v>
      </c>
      <c r="K196" s="8">
        <f t="shared" ca="1" si="144"/>
        <v>-6.818985024516615</v>
      </c>
      <c r="L196" s="8">
        <f t="shared" ca="1" si="144"/>
        <v>-8.6702698141488757</v>
      </c>
      <c r="M196" s="8">
        <f t="shared" ca="1" si="144"/>
        <v>-10.178578704882225</v>
      </c>
      <c r="N196" s="8">
        <f t="shared" ca="1" si="144"/>
        <v>-11.286453839135405</v>
      </c>
      <c r="O196" s="8">
        <f t="shared" ca="1" si="144"/>
        <v>-11.961520881869232</v>
      </c>
      <c r="P196" s="8">
        <f t="shared" ca="1" si="144"/>
        <v>-12.204007305296985</v>
      </c>
      <c r="Q196" s="8">
        <f t="shared" ca="1" si="144"/>
        <v>-12.050603578763944</v>
      </c>
      <c r="R196" s="8">
        <f t="shared" ca="1" si="144"/>
        <v>-11.570848695356542</v>
      </c>
      <c r="S196" s="8">
        <f t="shared" ca="1" si="144"/>
        <v>-10.853751432597358</v>
      </c>
      <c r="T196" s="8">
        <f t="shared" ca="1" si="144"/>
        <v>-9.98679379209808</v>
      </c>
      <c r="U196" s="8">
        <f t="shared" ca="1" si="144"/>
        <v>-9.0346810752670272</v>
      </c>
      <c r="V196" s="8">
        <f t="shared" ca="1" si="144"/>
        <v>-8.0264230973103654</v>
      </c>
      <c r="W196" s="8">
        <f t="shared" ca="1" si="144"/>
        <v>-6.9557241904081897</v>
      </c>
      <c r="X196" s="8">
        <f t="shared" ca="1" si="144"/>
        <v>-5.7944543246565008</v>
      </c>
      <c r="Y196" s="8">
        <f t="shared" ca="1" si="144"/>
        <v>-4.5137518008521171</v>
      </c>
      <c r="Z196" s="8">
        <f t="shared" ca="1" si="144"/>
        <v>-3.1036654195926663</v>
      </c>
      <c r="AA196" s="8">
        <f t="shared" ca="1" si="144"/>
        <v>-1.5834556111530758</v>
      </c>
      <c r="AB196" s="9">
        <f t="shared" ca="1" si="144"/>
        <v>0</v>
      </c>
    </row>
    <row r="197" spans="4:28" x14ac:dyDescent="0.25">
      <c r="D197" s="17"/>
      <c r="E197" s="2">
        <v>0</v>
      </c>
      <c r="H197" s="9">
        <f t="shared" ref="H197:AB197" si="145" xml:space="preserve"> -(D*(H98+nu*G97+H96+nu*I97+((-2*nu)-2)*H97))/delta^2</f>
        <v>0</v>
      </c>
      <c r="I197" s="9">
        <f t="shared" ca="1" si="145"/>
        <v>0</v>
      </c>
      <c r="J197" s="9">
        <f t="shared" ca="1" si="145"/>
        <v>0</v>
      </c>
      <c r="K197" s="9">
        <f t="shared" ca="1" si="145"/>
        <v>0</v>
      </c>
      <c r="L197" s="9">
        <f t="shared" ca="1" si="145"/>
        <v>0</v>
      </c>
      <c r="M197" s="9">
        <f t="shared" ca="1" si="145"/>
        <v>0</v>
      </c>
      <c r="N197" s="9">
        <f t="shared" ca="1" si="145"/>
        <v>0</v>
      </c>
      <c r="O197" s="9">
        <f t="shared" ca="1" si="145"/>
        <v>0</v>
      </c>
      <c r="P197" s="9">
        <f t="shared" ca="1" si="145"/>
        <v>0</v>
      </c>
      <c r="Q197" s="9">
        <f t="shared" ca="1" si="145"/>
        <v>0</v>
      </c>
      <c r="R197" s="9">
        <f t="shared" ca="1" si="145"/>
        <v>0</v>
      </c>
      <c r="S197" s="9">
        <f t="shared" ca="1" si="145"/>
        <v>0</v>
      </c>
      <c r="T197" s="9">
        <f t="shared" ca="1" si="145"/>
        <v>0</v>
      </c>
      <c r="U197" s="9">
        <f t="shared" ca="1" si="145"/>
        <v>0</v>
      </c>
      <c r="V197" s="9">
        <f t="shared" ca="1" si="145"/>
        <v>0</v>
      </c>
      <c r="W197" s="9">
        <f t="shared" ca="1" si="145"/>
        <v>0</v>
      </c>
      <c r="X197" s="9">
        <f t="shared" ca="1" si="145"/>
        <v>0</v>
      </c>
      <c r="Y197" s="9">
        <f t="shared" ca="1" si="145"/>
        <v>0</v>
      </c>
      <c r="Z197" s="9">
        <f t="shared" ca="1" si="145"/>
        <v>0</v>
      </c>
      <c r="AA197" s="9">
        <f t="shared" ca="1" si="145"/>
        <v>0</v>
      </c>
      <c r="AB197" s="9">
        <f t="shared" si="145"/>
        <v>0</v>
      </c>
    </row>
    <row r="202" spans="4:28" ht="18.75" x14ac:dyDescent="0.3">
      <c r="E202" s="1" t="s">
        <v>20</v>
      </c>
    </row>
    <row r="203" spans="4:28" x14ac:dyDescent="0.25">
      <c r="H203" s="18" t="s">
        <v>17</v>
      </c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</row>
    <row r="204" spans="4:28" x14ac:dyDescent="0.25">
      <c r="H204" s="2">
        <v>0</v>
      </c>
      <c r="I204" s="2">
        <f t="shared" ref="I204:AB204" si="146">+H204+delta</f>
        <v>0.1</v>
      </c>
      <c r="J204" s="2">
        <f t="shared" si="146"/>
        <v>0.2</v>
      </c>
      <c r="K204" s="2">
        <f t="shared" si="146"/>
        <v>0.30000000000000004</v>
      </c>
      <c r="L204" s="2">
        <f t="shared" si="146"/>
        <v>0.4</v>
      </c>
      <c r="M204" s="2">
        <f t="shared" si="146"/>
        <v>0.5</v>
      </c>
      <c r="N204" s="2">
        <f t="shared" si="146"/>
        <v>0.6</v>
      </c>
      <c r="O204" s="2">
        <f t="shared" si="146"/>
        <v>0.7</v>
      </c>
      <c r="P204" s="2">
        <f t="shared" si="146"/>
        <v>0.79999999999999993</v>
      </c>
      <c r="Q204" s="2">
        <f t="shared" si="146"/>
        <v>0.89999999999999991</v>
      </c>
      <c r="R204" s="2">
        <f t="shared" si="146"/>
        <v>0.99999999999999989</v>
      </c>
      <c r="S204" s="2">
        <f t="shared" si="146"/>
        <v>1.0999999999999999</v>
      </c>
      <c r="T204" s="2">
        <f t="shared" si="146"/>
        <v>1.2</v>
      </c>
      <c r="U204" s="2">
        <f t="shared" si="146"/>
        <v>1.3</v>
      </c>
      <c r="V204" s="2">
        <f t="shared" si="146"/>
        <v>1.4000000000000001</v>
      </c>
      <c r="W204" s="2">
        <f t="shared" si="146"/>
        <v>1.5000000000000002</v>
      </c>
      <c r="X204" s="2">
        <f t="shared" si="146"/>
        <v>1.6000000000000003</v>
      </c>
      <c r="Y204" s="2">
        <f t="shared" si="146"/>
        <v>1.7000000000000004</v>
      </c>
      <c r="Z204" s="2">
        <f t="shared" si="146"/>
        <v>1.8000000000000005</v>
      </c>
      <c r="AA204" s="2">
        <f t="shared" si="146"/>
        <v>1.9000000000000006</v>
      </c>
      <c r="AB204" s="2">
        <f t="shared" si="146"/>
        <v>2.0000000000000004</v>
      </c>
    </row>
    <row r="207" spans="4:28" x14ac:dyDescent="0.25">
      <c r="D207" s="17" t="s">
        <v>16</v>
      </c>
      <c r="E207" s="2">
        <f t="shared" ref="E207:E246" si="147">E208+delta</f>
        <v>4.0000000000000018</v>
      </c>
      <c r="H207" s="9">
        <f t="shared" ref="H207:AB207" ca="1" si="148" xml:space="preserve"> (D*(1-nu)*(G56-I56+I58-G58))/(4*delta^2)</f>
        <v>-58.780383696196218</v>
      </c>
      <c r="I207" s="9">
        <f t="shared" ca="1" si="148"/>
        <v>-77.46522109990606</v>
      </c>
      <c r="J207" s="9">
        <f t="shared" ca="1" si="148"/>
        <v>-74.756043234543014</v>
      </c>
      <c r="K207" s="9">
        <f t="shared" ca="1" si="148"/>
        <v>-70.296560286984601</v>
      </c>
      <c r="L207" s="9">
        <f t="shared" ca="1" si="148"/>
        <v>-64.171019884121435</v>
      </c>
      <c r="M207" s="9">
        <f t="shared" ca="1" si="148"/>
        <v>-56.498209482961336</v>
      </c>
      <c r="N207" s="9">
        <f t="shared" ca="1" si="148"/>
        <v>-47.431818076376125</v>
      </c>
      <c r="O207" s="9">
        <f t="shared" ca="1" si="148"/>
        <v>-37.16026976896255</v>
      </c>
      <c r="P207" s="9">
        <f t="shared" ca="1" si="148"/>
        <v>-25.905649470154064</v>
      </c>
      <c r="Q207" s="9">
        <f t="shared" ca="1" si="148"/>
        <v>-13.921360305354355</v>
      </c>
      <c r="R207" s="9">
        <f t="shared" ca="1" si="148"/>
        <v>-1.4882275415854123</v>
      </c>
      <c r="S207" s="9">
        <f t="shared" ca="1" si="148"/>
        <v>11.091107636846303</v>
      </c>
      <c r="T207" s="9">
        <f t="shared" ca="1" si="148"/>
        <v>23.499491933285956</v>
      </c>
      <c r="U207" s="9">
        <f t="shared" ca="1" si="148"/>
        <v>35.414061421610064</v>
      </c>
      <c r="V207" s="9">
        <f t="shared" ca="1" si="148"/>
        <v>46.516164383023607</v>
      </c>
      <c r="W207" s="9">
        <f t="shared" ca="1" si="148"/>
        <v>56.501892617402447</v>
      </c>
      <c r="X207" s="9">
        <f t="shared" ca="1" si="148"/>
        <v>65.09263301417279</v>
      </c>
      <c r="Y207" s="9">
        <f t="shared" ca="1" si="148"/>
        <v>72.045044936594763</v>
      </c>
      <c r="Z207" s="9">
        <f t="shared" ca="1" si="148"/>
        <v>77.159924469153282</v>
      </c>
      <c r="AA207" s="9">
        <f t="shared" ca="1" si="148"/>
        <v>80.289514331715338</v>
      </c>
      <c r="AB207" s="9">
        <f t="shared" ca="1" si="148"/>
        <v>61.0072003069128</v>
      </c>
    </row>
    <row r="208" spans="4:28" x14ac:dyDescent="0.25">
      <c r="D208" s="17"/>
      <c r="E208" s="2">
        <f t="shared" si="147"/>
        <v>3.9000000000000021</v>
      </c>
      <c r="H208" s="9">
        <f t="shared" ref="H208:AB208" ca="1" si="149" xml:space="preserve"> (D*(1-nu)*(G57-I57+I59-G59))/(4*delta^2)</f>
        <v>-78.767331667246168</v>
      </c>
      <c r="I208" s="8">
        <f t="shared" ca="1" si="149"/>
        <v>-77.855905822714348</v>
      </c>
      <c r="J208" s="8">
        <f t="shared" ca="1" si="149"/>
        <v>-75.138182384040547</v>
      </c>
      <c r="K208" s="8">
        <f t="shared" ca="1" si="149"/>
        <v>-70.664015386135873</v>
      </c>
      <c r="L208" s="8">
        <f t="shared" ca="1" si="149"/>
        <v>-64.517071274570284</v>
      </c>
      <c r="M208" s="8">
        <f t="shared" ca="1" si="149"/>
        <v>-56.815478994601996</v>
      </c>
      <c r="N208" s="8">
        <f t="shared" ca="1" si="149"/>
        <v>-47.712330455576783</v>
      </c>
      <c r="O208" s="8">
        <f t="shared" ca="1" si="149"/>
        <v>-37.395668156369112</v>
      </c>
      <c r="P208" s="8">
        <f t="shared" ca="1" si="149"/>
        <v>-26.087561535936867</v>
      </c>
      <c r="Q208" s="8">
        <f t="shared" ca="1" si="149"/>
        <v>-14.041890438098575</v>
      </c>
      <c r="R208" s="8">
        <f t="shared" ca="1" si="149"/>
        <v>-1.5405297506869526</v>
      </c>
      <c r="S208" s="8">
        <f t="shared" ca="1" si="149"/>
        <v>11.112237677400332</v>
      </c>
      <c r="T208" s="8">
        <f t="shared" ca="1" si="149"/>
        <v>23.597074935617698</v>
      </c>
      <c r="U208" s="8">
        <f t="shared" ca="1" si="149"/>
        <v>35.588508255814304</v>
      </c>
      <c r="V208" s="8">
        <f t="shared" ca="1" si="149"/>
        <v>46.765016229114714</v>
      </c>
      <c r="W208" s="8">
        <f t="shared" ca="1" si="149"/>
        <v>56.819754849768621</v>
      </c>
      <c r="X208" s="8">
        <f t="shared" ca="1" si="149"/>
        <v>65.471303979996421</v>
      </c>
      <c r="Y208" s="8">
        <f t="shared" ca="1" si="149"/>
        <v>72.473817910488052</v>
      </c>
      <c r="Z208" s="8">
        <f t="shared" ca="1" si="149"/>
        <v>77.626026360562079</v>
      </c>
      <c r="AA208" s="8">
        <f t="shared" ca="1" si="149"/>
        <v>80.778640104448584</v>
      </c>
      <c r="AB208" s="9">
        <f t="shared" ca="1" si="149"/>
        <v>81.839839458287273</v>
      </c>
    </row>
    <row r="209" spans="4:28" x14ac:dyDescent="0.25">
      <c r="D209" s="17"/>
      <c r="E209" s="2">
        <f t="shared" si="147"/>
        <v>3.800000000000002</v>
      </c>
      <c r="H209" s="9">
        <f t="shared" ref="H209:AB209" ca="1" si="150" xml:space="preserve"> (D*(1-nu)*(G58-I58+I60-G60))/(4*delta^2)</f>
        <v>-79.942306329201003</v>
      </c>
      <c r="I209" s="8">
        <f t="shared" ca="1" si="150"/>
        <v>-79.022669437853551</v>
      </c>
      <c r="J209" s="8">
        <f t="shared" ca="1" si="150"/>
        <v>-76.279877450565053</v>
      </c>
      <c r="K209" s="8">
        <f t="shared" ca="1" si="150"/>
        <v>-71.762550085243618</v>
      </c>
      <c r="L209" s="8">
        <f t="shared" ca="1" si="150"/>
        <v>-65.552531018196817</v>
      </c>
      <c r="M209" s="8">
        <f t="shared" ca="1" si="150"/>
        <v>-57.765870480925742</v>
      </c>
      <c r="N209" s="8">
        <f t="shared" ca="1" si="150"/>
        <v>-48.553750909468356</v>
      </c>
      <c r="O209" s="8">
        <f t="shared" ca="1" si="150"/>
        <v>-38.102948870262246</v>
      </c>
      <c r="P209" s="8">
        <f t="shared" ca="1" si="150"/>
        <v>-26.635377885305751</v>
      </c>
      <c r="Q209" s="8">
        <f t="shared" ca="1" si="150"/>
        <v>-14.406264858897741</v>
      </c>
      <c r="R209" s="8">
        <f t="shared" ca="1" si="150"/>
        <v>-1.7005889738434741</v>
      </c>
      <c r="S209" s="8">
        <f t="shared" ca="1" si="150"/>
        <v>11.172441689554185</v>
      </c>
      <c r="T209" s="8">
        <f t="shared" ca="1" si="150"/>
        <v>23.886896098760353</v>
      </c>
      <c r="U209" s="8">
        <f t="shared" ca="1" si="150"/>
        <v>36.109394639062216</v>
      </c>
      <c r="V209" s="8">
        <f t="shared" ca="1" si="150"/>
        <v>47.509713473835106</v>
      </c>
      <c r="W209" s="8">
        <f t="shared" ca="1" si="150"/>
        <v>57.77210861558499</v>
      </c>
      <c r="X209" s="8">
        <f t="shared" ca="1" si="150"/>
        <v>66.606661967630842</v>
      </c>
      <c r="Y209" s="8">
        <f t="shared" ca="1" si="150"/>
        <v>73.759959695585238</v>
      </c>
      <c r="Z209" s="8">
        <f t="shared" ca="1" si="150"/>
        <v>79.024503857968952</v>
      </c>
      <c r="AA209" s="8">
        <f t="shared" ca="1" si="150"/>
        <v>82.246399093396306</v>
      </c>
      <c r="AB209" s="9">
        <f t="shared" ca="1" si="150"/>
        <v>83.331008007569409</v>
      </c>
    </row>
    <row r="210" spans="4:28" x14ac:dyDescent="0.25">
      <c r="D210" s="17"/>
      <c r="E210" s="2">
        <f t="shared" si="147"/>
        <v>3.700000000000002</v>
      </c>
      <c r="H210" s="9">
        <f t="shared" ref="H210:AB210" ca="1" si="151" xml:space="preserve"> (D*(1-nu)*(G59-I59+I61-G61))/(4*delta^2)</f>
        <v>-81.881811291840947</v>
      </c>
      <c r="I210" s="8">
        <f t="shared" ca="1" si="151"/>
        <v>-80.949149341378387</v>
      </c>
      <c r="J210" s="8">
        <f t="shared" ca="1" si="151"/>
        <v>-78.166500325022227</v>
      </c>
      <c r="K210" s="8">
        <f t="shared" ca="1" si="151"/>
        <v>-73.58026114569067</v>
      </c>
      <c r="L210" s="8">
        <f t="shared" ca="1" si="151"/>
        <v>-67.268971986624791</v>
      </c>
      <c r="M210" s="8">
        <f t="shared" ca="1" si="151"/>
        <v>-59.344871346799678</v>
      </c>
      <c r="N210" s="8">
        <f t="shared" ca="1" si="151"/>
        <v>-49.955559510681091</v>
      </c>
      <c r="O210" s="8">
        <f t="shared" ca="1" si="151"/>
        <v>-39.28529164684722</v>
      </c>
      <c r="P210" s="8">
        <f t="shared" ca="1" si="151"/>
        <v>-27.555347531528628</v>
      </c>
      <c r="Q210" s="8">
        <f t="shared" ca="1" si="151"/>
        <v>-15.022914186191722</v>
      </c>
      <c r="R210" s="8">
        <f t="shared" ca="1" si="151"/>
        <v>-1.9779911685675433</v>
      </c>
      <c r="S210" s="8">
        <f t="shared" ca="1" si="151"/>
        <v>11.262004014291241</v>
      </c>
      <c r="T210" s="8">
        <f t="shared" ca="1" si="151"/>
        <v>24.360000821540627</v>
      </c>
      <c r="U210" s="8">
        <f t="shared" ca="1" si="151"/>
        <v>36.969180126158491</v>
      </c>
      <c r="V210" s="8">
        <f t="shared" ca="1" si="151"/>
        <v>48.744493385192619</v>
      </c>
      <c r="W210" s="8">
        <f t="shared" ca="1" si="151"/>
        <v>59.355047848021215</v>
      </c>
      <c r="X210" s="8">
        <f t="shared" ca="1" si="151"/>
        <v>68.496504036544806</v>
      </c>
      <c r="Y210" s="8">
        <f t="shared" ca="1" si="151"/>
        <v>75.902662089589299</v>
      </c>
      <c r="Z210" s="8">
        <f t="shared" ca="1" si="151"/>
        <v>81.355557611800435</v>
      </c>
      <c r="AA210" s="8">
        <f t="shared" ca="1" si="151"/>
        <v>84.693593588847349</v>
      </c>
      <c r="AB210" s="9">
        <f t="shared" ca="1" si="151"/>
        <v>85.817440626532402</v>
      </c>
    </row>
    <row r="211" spans="4:28" x14ac:dyDescent="0.25">
      <c r="D211" s="17"/>
      <c r="E211" s="2">
        <f t="shared" si="147"/>
        <v>3.6000000000000019</v>
      </c>
      <c r="H211" s="9">
        <f t="shared" ref="H211:AB211" ca="1" si="152" xml:space="preserve"> (D*(1-nu)*(G60-I60+I62-G62))/(4*delta^2)</f>
        <v>-84.555907608571502</v>
      </c>
      <c r="I211" s="8">
        <f t="shared" ca="1" si="152"/>
        <v>-83.606430834496138</v>
      </c>
      <c r="J211" s="8">
        <f t="shared" ca="1" si="152"/>
        <v>-80.772124872199214</v>
      </c>
      <c r="K211" s="8">
        <f t="shared" ca="1" si="152"/>
        <v>-76.095926153554174</v>
      </c>
      <c r="L211" s="8">
        <f t="shared" ca="1" si="152"/>
        <v>-69.651188264367619</v>
      </c>
      <c r="M211" s="8">
        <f t="shared" ca="1" si="152"/>
        <v>-61.544073640646388</v>
      </c>
      <c r="N211" s="8">
        <f t="shared" ca="1" si="152"/>
        <v>-51.916309081086474</v>
      </c>
      <c r="O211" s="8">
        <f t="shared" ca="1" si="152"/>
        <v>-40.947728202446221</v>
      </c>
      <c r="P211" s="8">
        <f t="shared" ca="1" si="152"/>
        <v>-28.857906458408038</v>
      </c>
      <c r="Q211" s="8">
        <f t="shared" ca="1" si="152"/>
        <v>-15.906147230059766</v>
      </c>
      <c r="R211" s="8">
        <f t="shared" ca="1" si="152"/>
        <v>-2.389138038586804</v>
      </c>
      <c r="S211" s="8">
        <f t="shared" ca="1" si="152"/>
        <v>11.364209648965758</v>
      </c>
      <c r="T211" s="8">
        <f t="shared" ca="1" si="152"/>
        <v>25.000898130384186</v>
      </c>
      <c r="U211" s="8">
        <f t="shared" ca="1" si="152"/>
        <v>38.154708385620786</v>
      </c>
      <c r="V211" s="8">
        <f t="shared" ca="1" si="152"/>
        <v>50.459128865993918</v>
      </c>
      <c r="W211" s="8">
        <f t="shared" ca="1" si="152"/>
        <v>61.561370588599736</v>
      </c>
      <c r="X211" s="8">
        <f t="shared" ca="1" si="152"/>
        <v>71.136355527363207</v>
      </c>
      <c r="Y211" s="8">
        <f t="shared" ca="1" si="152"/>
        <v>78.899636070329549</v>
      </c>
      <c r="Z211" s="8">
        <f t="shared" ca="1" si="152"/>
        <v>84.618443100273865</v>
      </c>
      <c r="AA211" s="8">
        <f t="shared" ca="1" si="152"/>
        <v>88.120381367686733</v>
      </c>
      <c r="AB211" s="9">
        <f t="shared" ca="1" si="152"/>
        <v>89.299589789837526</v>
      </c>
    </row>
    <row r="212" spans="4:28" x14ac:dyDescent="0.25">
      <c r="D212" s="17"/>
      <c r="E212" s="2">
        <f t="shared" si="147"/>
        <v>3.5000000000000018</v>
      </c>
      <c r="H212" s="9">
        <f t="shared" ref="H212:AB212" ca="1" si="153" xml:space="preserve"> (D*(1-nu)*(G61-I61+I63-G63))/(4*delta^2)</f>
        <v>-87.919141720726827</v>
      </c>
      <c r="I212" s="8">
        <f t="shared" ca="1" si="153"/>
        <v>-86.950559455277684</v>
      </c>
      <c r="J212" s="8">
        <f t="shared" ca="1" si="153"/>
        <v>-84.057177293421105</v>
      </c>
      <c r="K212" s="8">
        <f t="shared" ca="1" si="153"/>
        <v>-79.276886204772424</v>
      </c>
      <c r="L212" s="8">
        <f t="shared" ca="1" si="153"/>
        <v>-72.675402636929746</v>
      </c>
      <c r="M212" s="8">
        <f t="shared" ca="1" si="153"/>
        <v>-64.349787681652913</v>
      </c>
      <c r="N212" s="8">
        <f t="shared" ca="1" si="153"/>
        <v>-54.43270129769877</v>
      </c>
      <c r="O212" s="8">
        <f t="shared" ca="1" si="153"/>
        <v>-43.096697624506675</v>
      </c>
      <c r="P212" s="8">
        <f t="shared" ca="1" si="153"/>
        <v>-30.557680244933575</v>
      </c>
      <c r="Q212" s="8">
        <f t="shared" ca="1" si="153"/>
        <v>-17.076521805647403</v>
      </c>
      <c r="R212" s="8">
        <f t="shared" ca="1" si="153"/>
        <v>-2.9578761417432027</v>
      </c>
      <c r="S212" s="8">
        <f t="shared" ca="1" si="153"/>
        <v>11.454569595323388</v>
      </c>
      <c r="T212" s="8">
        <f t="shared" ca="1" si="153"/>
        <v>25.786724647290686</v>
      </c>
      <c r="U212" s="8">
        <f t="shared" ca="1" si="153"/>
        <v>39.646342072086966</v>
      </c>
      <c r="V212" s="8">
        <f t="shared" ca="1" si="153"/>
        <v>52.638009263282015</v>
      </c>
      <c r="W212" s="8">
        <f t="shared" ca="1" si="153"/>
        <v>64.379539311786942</v>
      </c>
      <c r="X212" s="8">
        <f t="shared" ca="1" si="153"/>
        <v>74.518233812753607</v>
      </c>
      <c r="Y212" s="8">
        <f t="shared" ca="1" si="153"/>
        <v>82.745629268465549</v>
      </c>
      <c r="Z212" s="8">
        <f t="shared" ca="1" si="153"/>
        <v>88.80974537979094</v>
      </c>
      <c r="AA212" s="8">
        <f t="shared" ca="1" si="153"/>
        <v>92.524372524194362</v>
      </c>
      <c r="AB212" s="9">
        <f t="shared" ca="1" si="153"/>
        <v>93.775390743945167</v>
      </c>
    </row>
    <row r="213" spans="4:28" x14ac:dyDescent="0.25">
      <c r="D213" s="17"/>
      <c r="E213" s="2">
        <f t="shared" si="147"/>
        <v>3.4000000000000017</v>
      </c>
      <c r="H213" s="9">
        <f t="shared" ref="H213:AB213" ca="1" si="154" xml:space="preserve"> (D*(1-nu)*(G62-I62+I64-G64))/(4*delta^2)</f>
        <v>-91.906974020825871</v>
      </c>
      <c r="I213" s="8">
        <f t="shared" ca="1" si="154"/>
        <v>-90.91902584156648</v>
      </c>
      <c r="J213" s="8">
        <f t="shared" ca="1" si="154"/>
        <v>-87.965093790221204</v>
      </c>
      <c r="K213" s="8">
        <f t="shared" ca="1" si="154"/>
        <v>-83.07600178077368</v>
      </c>
      <c r="L213" s="8">
        <f t="shared" ca="1" si="154"/>
        <v>-76.306652325375453</v>
      </c>
      <c r="M213" s="8">
        <f t="shared" ca="1" si="154"/>
        <v>-67.740982477531233</v>
      </c>
      <c r="N213" s="8">
        <f t="shared" ca="1" si="154"/>
        <v>-57.498177358191896</v>
      </c>
      <c r="O213" s="8">
        <f t="shared" ca="1" si="154"/>
        <v>-45.73932752721111</v>
      </c>
      <c r="P213" s="8">
        <f t="shared" ca="1" si="154"/>
        <v>-32.673420972216569</v>
      </c>
      <c r="Q213" s="8">
        <f t="shared" ca="1" si="154"/>
        <v>-18.561325723554472</v>
      </c>
      <c r="R213" s="8">
        <f t="shared" ca="1" si="154"/>
        <v>-3.716356293189548</v>
      </c>
      <c r="S213" s="8">
        <f t="shared" ca="1" si="154"/>
        <v>11.499757469821951</v>
      </c>
      <c r="T213" s="8">
        <f t="shared" ca="1" si="154"/>
        <v>26.686106877773685</v>
      </c>
      <c r="U213" s="8">
        <f t="shared" ca="1" si="154"/>
        <v>41.416794733335713</v>
      </c>
      <c r="V213" s="8">
        <f t="shared" ca="1" si="154"/>
        <v>55.258889813993498</v>
      </c>
      <c r="W213" s="8">
        <f t="shared" ca="1" si="154"/>
        <v>67.792226586247494</v>
      </c>
      <c r="X213" s="8">
        <f t="shared" ca="1" si="154"/>
        <v>78.62885454893285</v>
      </c>
      <c r="Y213" s="8">
        <f t="shared" ca="1" si="154"/>
        <v>87.430205145291254</v>
      </c>
      <c r="Z213" s="8">
        <f t="shared" ca="1" si="154"/>
        <v>93.920737314020812</v>
      </c>
      <c r="AA213" s="8">
        <f t="shared" ca="1" si="154"/>
        <v>97.897679415940431</v>
      </c>
      <c r="AB213" s="9">
        <f t="shared" ca="1" si="154"/>
        <v>99.237198389773113</v>
      </c>
    </row>
    <row r="214" spans="4:28" x14ac:dyDescent="0.25">
      <c r="D214" s="17"/>
      <c r="E214" s="2">
        <f t="shared" si="147"/>
        <v>3.3000000000000016</v>
      </c>
      <c r="H214" s="9">
        <f t="shared" ref="H214:AB214" ca="1" si="155" xml:space="preserve"> (D*(1-nu)*(G63-I63+I65-G65))/(4*delta^2)</f>
        <v>-96.431177322151953</v>
      </c>
      <c r="I214" s="8">
        <f t="shared" ca="1" si="155"/>
        <v>-95.426220831067297</v>
      </c>
      <c r="J214" s="8">
        <f t="shared" ca="1" si="155"/>
        <v>-92.417954807880506</v>
      </c>
      <c r="K214" s="8">
        <f t="shared" ca="1" si="155"/>
        <v>-87.427612035035736</v>
      </c>
      <c r="L214" s="8">
        <f t="shared" ca="1" si="155"/>
        <v>-80.495244387994589</v>
      </c>
      <c r="M214" s="8">
        <f t="shared" ca="1" si="155"/>
        <v>-71.686417555268903</v>
      </c>
      <c r="N214" s="8">
        <f t="shared" ca="1" si="155"/>
        <v>-61.100881921318226</v>
      </c>
      <c r="O214" s="8">
        <f t="shared" ca="1" si="155"/>
        <v>-48.882316814222456</v>
      </c>
      <c r="P214" s="8">
        <f t="shared" ca="1" si="155"/>
        <v>-35.227787650046523</v>
      </c>
      <c r="Q214" s="8">
        <f t="shared" ca="1" si="155"/>
        <v>-20.395112869206091</v>
      </c>
      <c r="R214" s="8">
        <f t="shared" ca="1" si="155"/>
        <v>-4.7060910660755999</v>
      </c>
      <c r="S214" s="8">
        <f t="shared" ca="1" si="155"/>
        <v>11.456287454719895</v>
      </c>
      <c r="T214" s="8">
        <f t="shared" ca="1" si="155"/>
        <v>27.657766040167132</v>
      </c>
      <c r="U214" s="8">
        <f t="shared" ca="1" si="155"/>
        <v>43.429718384932563</v>
      </c>
      <c r="V214" s="8">
        <f t="shared" ca="1" si="155"/>
        <v>58.291362812407385</v>
      </c>
      <c r="W214" s="8">
        <f t="shared" ca="1" si="155"/>
        <v>71.774459070186197</v>
      </c>
      <c r="X214" s="8">
        <f t="shared" ca="1" si="155"/>
        <v>83.447217536758842</v>
      </c>
      <c r="Y214" s="8">
        <f t="shared" ca="1" si="155"/>
        <v>92.934622989261015</v>
      </c>
      <c r="Z214" s="8">
        <f t="shared" ca="1" si="155"/>
        <v>99.933563892823457</v>
      </c>
      <c r="AA214" s="8">
        <f t="shared" ca="1" si="155"/>
        <v>104.22259220570085</v>
      </c>
      <c r="AB214" s="9">
        <f t="shared" ca="1" si="155"/>
        <v>105.66727642446918</v>
      </c>
    </row>
    <row r="215" spans="4:28" x14ac:dyDescent="0.25">
      <c r="D215" s="17"/>
      <c r="E215" s="2">
        <f t="shared" si="147"/>
        <v>3.2000000000000015</v>
      </c>
      <c r="H215" s="9">
        <f t="shared" ref="H215:AB215" ca="1" si="156" xml:space="preserve"> (D*(1-nu)*(G64-I64+I66-G66))/(4*delta^2)</f>
        <v>-101.37426905718353</v>
      </c>
      <c r="I215" s="8">
        <f t="shared" ca="1" si="156"/>
        <v>-100.35790720260918</v>
      </c>
      <c r="J215" s="8">
        <f t="shared" ca="1" si="156"/>
        <v>-97.311093714003107</v>
      </c>
      <c r="K215" s="8">
        <f t="shared" ca="1" si="156"/>
        <v>-92.242426502661104</v>
      </c>
      <c r="L215" s="8">
        <f t="shared" ca="1" si="156"/>
        <v>-85.172137392086185</v>
      </c>
      <c r="M215" s="8">
        <f t="shared" ca="1" si="156"/>
        <v>-76.140766376774295</v>
      </c>
      <c r="N215" s="8">
        <f t="shared" ca="1" si="156"/>
        <v>-65.220776896251678</v>
      </c>
      <c r="O215" s="8">
        <f t="shared" ca="1" si="156"/>
        <v>-52.530212977355987</v>
      </c>
      <c r="P215" s="8">
        <f t="shared" ca="1" si="156"/>
        <v>-38.246811384681934</v>
      </c>
      <c r="Q215" s="8">
        <f t="shared" ca="1" si="156"/>
        <v>-22.620193557940077</v>
      </c>
      <c r="R215" s="8">
        <f t="shared" ca="1" si="156"/>
        <v>-5.9791504459655265</v>
      </c>
      <c r="S215" s="8">
        <f t="shared" ca="1" si="156"/>
        <v>11.268986062559295</v>
      </c>
      <c r="T215" s="8">
        <f t="shared" ca="1" si="156"/>
        <v>28.648938904131509</v>
      </c>
      <c r="U215" s="8">
        <f t="shared" ca="1" si="156"/>
        <v>45.638144555594742</v>
      </c>
      <c r="V215" s="8">
        <f t="shared" ca="1" si="156"/>
        <v>61.695142911620636</v>
      </c>
      <c r="W215" s="8">
        <f t="shared" ca="1" si="156"/>
        <v>76.291392916611471</v>
      </c>
      <c r="X215" s="8">
        <f t="shared" ca="1" si="156"/>
        <v>88.941489734979442</v>
      </c>
      <c r="Y215" s="8">
        <f t="shared" ca="1" si="156"/>
        <v>99.227586742847393</v>
      </c>
      <c r="Z215" s="8">
        <f t="shared" ca="1" si="156"/>
        <v>106.81587437612849</v>
      </c>
      <c r="AA215" s="8">
        <f t="shared" ca="1" si="156"/>
        <v>111.4653963397279</v>
      </c>
      <c r="AB215" s="9">
        <f t="shared" ca="1" si="156"/>
        <v>113.03131686944006</v>
      </c>
    </row>
    <row r="216" spans="4:28" x14ac:dyDescent="0.25">
      <c r="D216" s="17"/>
      <c r="E216" s="2">
        <f t="shared" si="147"/>
        <v>3.1000000000000014</v>
      </c>
      <c r="H216" s="9">
        <f t="shared" ref="H216:AB216" ca="1" si="157" xml:space="preserve"> (D*(1-nu)*(G65-I65+I67-G67))/(4*delta^2)</f>
        <v>-106.58314796492121</v>
      </c>
      <c r="I216" s="8">
        <f t="shared" ca="1" si="157"/>
        <v>-105.56485128646935</v>
      </c>
      <c r="J216" s="8">
        <f t="shared" ca="1" si="157"/>
        <v>-102.50674514622294</v>
      </c>
      <c r="K216" s="8">
        <f t="shared" ca="1" si="157"/>
        <v>-97.401300099284398</v>
      </c>
      <c r="L216" s="8">
        <f t="shared" ca="1" si="157"/>
        <v>-90.243073060629783</v>
      </c>
      <c r="M216" s="8">
        <f t="shared" ca="1" si="157"/>
        <v>-81.039445728842765</v>
      </c>
      <c r="N216" s="8">
        <f t="shared" ca="1" si="157"/>
        <v>-69.825558511629168</v>
      </c>
      <c r="O216" s="8">
        <f t="shared" ca="1" si="157"/>
        <v>-56.682743051345085</v>
      </c>
      <c r="P216" s="8">
        <f t="shared" ca="1" si="157"/>
        <v>-41.758770517232492</v>
      </c>
      <c r="Q216" s="8">
        <f t="shared" ca="1" si="157"/>
        <v>-25.286897239546196</v>
      </c>
      <c r="R216" s="8">
        <f t="shared" ca="1" si="157"/>
        <v>-7.5993866577770826</v>
      </c>
      <c r="S216" s="8">
        <f t="shared" ca="1" si="157"/>
        <v>10.869345760832514</v>
      </c>
      <c r="T216" s="8">
        <f t="shared" ca="1" si="157"/>
        <v>29.593730132878566</v>
      </c>
      <c r="U216" s="8">
        <f t="shared" ca="1" si="157"/>
        <v>47.982931821351819</v>
      </c>
      <c r="V216" s="8">
        <f t="shared" ca="1" si="157"/>
        <v>65.41831477392941</v>
      </c>
      <c r="W216" s="8">
        <f t="shared" ca="1" si="157"/>
        <v>81.295782707445809</v>
      </c>
      <c r="X216" s="8">
        <f t="shared" ca="1" si="157"/>
        <v>95.065076711722909</v>
      </c>
      <c r="Y216" s="8">
        <f t="shared" ca="1" si="157"/>
        <v>106.25953426406807</v>
      </c>
      <c r="Z216" s="8">
        <f t="shared" ca="1" si="157"/>
        <v>114.51336259578657</v>
      </c>
      <c r="AA216" s="8">
        <f t="shared" ca="1" si="157"/>
        <v>119.56764285178973</v>
      </c>
      <c r="AB216" s="9">
        <f t="shared" ca="1" si="157"/>
        <v>121.2692473232688</v>
      </c>
    </row>
    <row r="217" spans="4:28" x14ac:dyDescent="0.25">
      <c r="D217" s="17"/>
      <c r="E217" s="2">
        <f t="shared" si="147"/>
        <v>3.0000000000000013</v>
      </c>
      <c r="H217" s="9">
        <f t="shared" ref="H217:AB217" ca="1" si="158" xml:space="preserve"> (D*(1-nu)*(G66-I66+I68-G68))/(4*delta^2)</f>
        <v>-111.86228647568322</v>
      </c>
      <c r="I217" s="8">
        <f t="shared" ca="1" si="158"/>
        <v>-110.85592502841249</v>
      </c>
      <c r="J217" s="8">
        <f t="shared" ca="1" si="158"/>
        <v>-107.82692625172214</v>
      </c>
      <c r="K217" s="8">
        <f t="shared" ca="1" si="158"/>
        <v>-102.74790570444164</v>
      </c>
      <c r="L217" s="8">
        <f t="shared" ca="1" si="158"/>
        <v>-95.581261010259638</v>
      </c>
      <c r="M217" s="8">
        <f t="shared" ca="1" si="158"/>
        <v>-86.291755323421583</v>
      </c>
      <c r="N217" s="8">
        <f t="shared" ca="1" si="158"/>
        <v>-74.864847937269403</v>
      </c>
      <c r="O217" s="8">
        <f t="shared" ca="1" si="158"/>
        <v>-61.330640962505498</v>
      </c>
      <c r="P217" s="8">
        <f t="shared" ca="1" si="158"/>
        <v>-45.792001663890126</v>
      </c>
      <c r="Q217" s="8">
        <f t="shared" ca="1" si="158"/>
        <v>-28.453279935785858</v>
      </c>
      <c r="R217" s="8">
        <f t="shared" ca="1" si="158"/>
        <v>-9.6434902744163296</v>
      </c>
      <c r="S217" s="8">
        <f t="shared" ca="1" si="158"/>
        <v>10.173906772698022</v>
      </c>
      <c r="T217" s="8">
        <f t="shared" ca="1" si="158"/>
        <v>30.411570059863728</v>
      </c>
      <c r="U217" s="8">
        <f t="shared" ca="1" si="158"/>
        <v>50.391443833128804</v>
      </c>
      <c r="V217" s="8">
        <f t="shared" ca="1" si="158"/>
        <v>69.395759814997518</v>
      </c>
      <c r="W217" s="8">
        <f t="shared" ca="1" si="158"/>
        <v>86.725235507300781</v>
      </c>
      <c r="X217" s="8">
        <f t="shared" ca="1" si="158"/>
        <v>101.7517266653268</v>
      </c>
      <c r="Y217" s="8">
        <f t="shared" ca="1" si="158"/>
        <v>113.95500018273384</v>
      </c>
      <c r="Z217" s="8">
        <f t="shared" ca="1" si="158"/>
        <v>122.93946050683194</v>
      </c>
      <c r="AA217" s="8">
        <f t="shared" ca="1" si="158"/>
        <v>128.43392065870543</v>
      </c>
      <c r="AB217" s="9">
        <f t="shared" ca="1" si="158"/>
        <v>130.28230665675861</v>
      </c>
    </row>
    <row r="218" spans="4:28" x14ac:dyDescent="0.25">
      <c r="D218" s="17"/>
      <c r="E218" s="2">
        <f t="shared" si="147"/>
        <v>2.9000000000000012</v>
      </c>
      <c r="H218" s="9">
        <f t="shared" ref="H218:AB218" ca="1" si="159" xml:space="preserve"> (D*(1-nu)*(G67-I67+I69-G69))/(4*delta^2)</f>
        <v>-116.96710900933638</v>
      </c>
      <c r="I218" s="8">
        <f t="shared" ca="1" si="159"/>
        <v>-115.99125379393456</v>
      </c>
      <c r="J218" s="8">
        <f t="shared" ca="1" si="159"/>
        <v>-113.04596317769435</v>
      </c>
      <c r="K218" s="8">
        <f t="shared" ca="1" si="159"/>
        <v>-108.08045553946235</v>
      </c>
      <c r="L218" s="8">
        <f t="shared" ca="1" si="159"/>
        <v>-101.01843677074353</v>
      </c>
      <c r="M218" s="8">
        <f t="shared" ca="1" si="159"/>
        <v>-91.771804425151203</v>
      </c>
      <c r="N218" s="8">
        <f t="shared" ca="1" si="159"/>
        <v>-80.261861897798426</v>
      </c>
      <c r="O218" s="8">
        <f t="shared" ca="1" si="159"/>
        <v>-66.44906717608842</v>
      </c>
      <c r="P218" s="8">
        <f t="shared" ca="1" si="159"/>
        <v>-50.370828684423607</v>
      </c>
      <c r="Q218" s="8">
        <f t="shared" ca="1" si="159"/>
        <v>-32.18368286133304</v>
      </c>
      <c r="R218" s="8">
        <f t="shared" ca="1" si="159"/>
        <v>-12.201511669862182</v>
      </c>
      <c r="S218" s="8">
        <f t="shared" ca="1" si="159"/>
        <v>9.0829167424735218</v>
      </c>
      <c r="T218" s="8">
        <f t="shared" ca="1" si="159"/>
        <v>31.006033107582926</v>
      </c>
      <c r="U218" s="8">
        <f t="shared" ca="1" si="159"/>
        <v>52.776759702780907</v>
      </c>
      <c r="V218" s="8">
        <f t="shared" ca="1" si="159"/>
        <v>73.548039282454766</v>
      </c>
      <c r="W218" s="8">
        <f t="shared" ca="1" si="159"/>
        <v>92.499341718144748</v>
      </c>
      <c r="X218" s="8">
        <f t="shared" ca="1" si="159"/>
        <v>108.90940713464347</v>
      </c>
      <c r="Y218" s="8">
        <f t="shared" ca="1" si="159"/>
        <v>122.20237346833309</v>
      </c>
      <c r="Z218" s="8">
        <f t="shared" ca="1" si="159"/>
        <v>131.96114829897274</v>
      </c>
      <c r="AA218" s="8">
        <f t="shared" ca="1" si="159"/>
        <v>137.91487216423749</v>
      </c>
      <c r="AB218" s="9">
        <f t="shared" ca="1" si="159"/>
        <v>139.91505776307321</v>
      </c>
    </row>
    <row r="219" spans="4:28" x14ac:dyDescent="0.25">
      <c r="D219" s="17"/>
      <c r="E219" s="2">
        <f t="shared" si="147"/>
        <v>2.8000000000000012</v>
      </c>
      <c r="H219" s="9">
        <f t="shared" ref="H219:AB219" ca="1" si="160" xml:space="preserve"> (D*(1-nu)*(G68-I68+I70-G70))/(4*delta^2)</f>
        <v>-121.59858485275348</v>
      </c>
      <c r="I219" s="8">
        <f t="shared" ca="1" si="160"/>
        <v>-120.67637336241168</v>
      </c>
      <c r="J219" s="8">
        <f t="shared" ca="1" si="160"/>
        <v>-117.88342478148024</v>
      </c>
      <c r="K219" s="8">
        <f t="shared" ca="1" si="160"/>
        <v>-113.14288595191948</v>
      </c>
      <c r="L219" s="8">
        <f t="shared" ca="1" si="160"/>
        <v>-106.33422350213739</v>
      </c>
      <c r="M219" s="8">
        <f t="shared" ca="1" si="160"/>
        <v>-97.30659281842145</v>
      </c>
      <c r="N219" s="8">
        <f t="shared" ca="1" si="160"/>
        <v>-85.90141448419314</v>
      </c>
      <c r="O219" s="8">
        <f t="shared" ca="1" si="160"/>
        <v>-71.987171919917117</v>
      </c>
      <c r="P219" s="8">
        <f t="shared" ca="1" si="160"/>
        <v>-55.508197268784762</v>
      </c>
      <c r="Q219" s="8">
        <f t="shared" ca="1" si="160"/>
        <v>-36.545054791426885</v>
      </c>
      <c r="R219" s="8">
        <f t="shared" ca="1" si="160"/>
        <v>-15.376149192347297</v>
      </c>
      <c r="S219" s="8">
        <f t="shared" ca="1" si="160"/>
        <v>7.4797230705203877</v>
      </c>
      <c r="T219" s="8">
        <f t="shared" ca="1" si="160"/>
        <v>31.264393073444978</v>
      </c>
      <c r="U219" s="8">
        <f t="shared" ca="1" si="160"/>
        <v>55.037773100083939</v>
      </c>
      <c r="V219" s="8">
        <f t="shared" ca="1" si="160"/>
        <v>77.780999338308121</v>
      </c>
      <c r="W219" s="8">
        <f t="shared" ca="1" si="160"/>
        <v>98.516664363327493</v>
      </c>
      <c r="X219" s="8">
        <f t="shared" ca="1" si="160"/>
        <v>116.4124486118741</v>
      </c>
      <c r="Y219" s="8">
        <f t="shared" ca="1" si="160"/>
        <v>130.84002319069901</v>
      </c>
      <c r="Z219" s="8">
        <f t="shared" ca="1" si="160"/>
        <v>141.3794905578753</v>
      </c>
      <c r="AA219" s="8">
        <f t="shared" ca="1" si="160"/>
        <v>147.78389511946568</v>
      </c>
      <c r="AB219" s="9">
        <f t="shared" ca="1" si="160"/>
        <v>149.93074014763442</v>
      </c>
    </row>
    <row r="220" spans="4:28" x14ac:dyDescent="0.25">
      <c r="D220" s="17"/>
      <c r="E220" s="2">
        <f t="shared" si="147"/>
        <v>2.7000000000000011</v>
      </c>
      <c r="H220" s="9">
        <f t="shared" ref="H220:AB220" ca="1" si="161" xml:space="preserve"> (D*(1-nu)*(G69-I69+I71-G71))/(4*delta^2)</f>
        <v>-125.40058326011226</v>
      </c>
      <c r="I220" s="8">
        <f t="shared" ca="1" si="161"/>
        <v>-124.55888340100489</v>
      </c>
      <c r="J220" s="8">
        <f t="shared" ca="1" si="161"/>
        <v>-121.99874835823108</v>
      </c>
      <c r="K220" s="8">
        <f t="shared" ca="1" si="161"/>
        <v>-117.6163926395776</v>
      </c>
      <c r="L220" s="8">
        <f t="shared" ca="1" si="161"/>
        <v>-111.24404266868603</v>
      </c>
      <c r="M220" s="8">
        <f t="shared" ca="1" si="161"/>
        <v>-102.66062366794617</v>
      </c>
      <c r="N220" s="8">
        <f t="shared" ca="1" si="161"/>
        <v>-91.61268821032057</v>
      </c>
      <c r="O220" s="8">
        <f t="shared" ca="1" si="161"/>
        <v>-77.851531149272489</v>
      </c>
      <c r="P220" s="8">
        <f t="shared" ca="1" si="161"/>
        <v>-61.192578768137381</v>
      </c>
      <c r="Q220" s="8">
        <f t="shared" ca="1" si="161"/>
        <v>-41.599018953300416</v>
      </c>
      <c r="R220" s="8">
        <f t="shared" ca="1" si="161"/>
        <v>-19.279419285132828</v>
      </c>
      <c r="S220" s="8">
        <f t="shared" ca="1" si="161"/>
        <v>5.231805462679934</v>
      </c>
      <c r="T220" s="8">
        <f t="shared" ca="1" si="161"/>
        <v>31.058503178505152</v>
      </c>
      <c r="U220" s="8">
        <f t="shared" ca="1" si="161"/>
        <v>57.060485675191174</v>
      </c>
      <c r="V220" s="8">
        <f t="shared" ca="1" si="161"/>
        <v>81.986110320912971</v>
      </c>
      <c r="W220" s="8">
        <f t="shared" ca="1" si="161"/>
        <v>104.65115119934249</v>
      </c>
      <c r="X220" s="8">
        <f t="shared" ca="1" si="161"/>
        <v>124.09087023529565</v>
      </c>
      <c r="Y220" s="8">
        <f t="shared" ca="1" si="161"/>
        <v>139.63716025946488</v>
      </c>
      <c r="Z220" s="8">
        <f t="shared" ca="1" si="161"/>
        <v>150.9031018020579</v>
      </c>
      <c r="AA220" s="8">
        <f t="shared" ca="1" si="161"/>
        <v>157.70584721442293</v>
      </c>
      <c r="AB220" s="9">
        <f t="shared" ca="1" si="161"/>
        <v>159.97836676758436</v>
      </c>
    </row>
    <row r="221" spans="4:28" x14ac:dyDescent="0.25">
      <c r="D221" s="17"/>
      <c r="E221" s="2">
        <f t="shared" si="147"/>
        <v>2.600000000000001</v>
      </c>
      <c r="H221" s="9">
        <f t="shared" ref="H221:AB221" ca="1" si="162" xml:space="preserve"> (D*(1-nu)*(G70-I70+I72-G72))/(4*delta^2)</f>
        <v>-127.96213008070424</v>
      </c>
      <c r="I221" s="8">
        <f t="shared" ca="1" si="162"/>
        <v>-127.22971543166031</v>
      </c>
      <c r="J221" s="8">
        <f t="shared" ca="1" si="162"/>
        <v>-124.98956581787705</v>
      </c>
      <c r="K221" s="8">
        <f t="shared" ca="1" si="162"/>
        <v>-121.11299882688344</v>
      </c>
      <c r="L221" s="8">
        <f t="shared" ca="1" si="162"/>
        <v>-115.38654281520377</v>
      </c>
      <c r="M221" s="8">
        <f t="shared" ca="1" si="162"/>
        <v>-107.51679997665258</v>
      </c>
      <c r="N221" s="8">
        <f t="shared" ca="1" si="162"/>
        <v>-97.144907542691911</v>
      </c>
      <c r="O221" s="8">
        <f t="shared" ca="1" si="162"/>
        <v>-83.880038534641074</v>
      </c>
      <c r="P221" s="8">
        <f t="shared" ca="1" si="162"/>
        <v>-67.364962315126277</v>
      </c>
      <c r="Q221" s="8">
        <f t="shared" ca="1" si="162"/>
        <v>-47.385884777289938</v>
      </c>
      <c r="R221" s="8">
        <f t="shared" ca="1" si="162"/>
        <v>-24.023863871546265</v>
      </c>
      <c r="S221" s="8">
        <f t="shared" ca="1" si="162"/>
        <v>2.1954315360521495</v>
      </c>
      <c r="T221" s="8">
        <f t="shared" ca="1" si="162"/>
        <v>30.248042812564602</v>
      </c>
      <c r="U221" s="8">
        <f t="shared" ca="1" si="162"/>
        <v>58.720437270234925</v>
      </c>
      <c r="V221" s="8">
        <f t="shared" ca="1" si="162"/>
        <v>86.040631676832277</v>
      </c>
      <c r="W221" s="8">
        <f t="shared" ca="1" si="162"/>
        <v>110.74635393011498</v>
      </c>
      <c r="X221" s="8">
        <f t="shared" ca="1" si="162"/>
        <v>131.71447730216093</v>
      </c>
      <c r="Y221" s="8">
        <f t="shared" ca="1" si="162"/>
        <v>148.2667047589247</v>
      </c>
      <c r="Z221" s="8">
        <f t="shared" ca="1" si="162"/>
        <v>160.11238065280295</v>
      </c>
      <c r="AA221" s="8">
        <f t="shared" ca="1" si="162"/>
        <v>167.19651005180026</v>
      </c>
      <c r="AB221" s="9">
        <f t="shared" ca="1" si="162"/>
        <v>169.55074991687312</v>
      </c>
    </row>
    <row r="222" spans="4:28" x14ac:dyDescent="0.25">
      <c r="D222" s="17"/>
      <c r="E222" s="2">
        <f t="shared" si="147"/>
        <v>2.5000000000000009</v>
      </c>
      <c r="H222" s="9">
        <f t="shared" ref="H222:AB222" ca="1" si="163" xml:space="preserve"> (D*(1-nu)*(G71-I71+I73-G73))/(4*delta^2)</f>
        <v>-128.82722777940717</v>
      </c>
      <c r="I222" s="8">
        <f t="shared" ca="1" si="163"/>
        <v>-128.2317543790754</v>
      </c>
      <c r="J222" s="8">
        <f t="shared" ca="1" si="163"/>
        <v>-126.39662970265218</v>
      </c>
      <c r="K222" s="8">
        <f t="shared" ca="1" si="163"/>
        <v>-123.17407721240399</v>
      </c>
      <c r="L222" s="8">
        <f t="shared" ca="1" si="163"/>
        <v>-118.31297913814733</v>
      </c>
      <c r="M222" s="8">
        <f t="shared" ca="1" si="163"/>
        <v>-111.45461113126896</v>
      </c>
      <c r="N222" s="8">
        <f t="shared" ca="1" si="163"/>
        <v>-102.13436071253146</v>
      </c>
      <c r="O222" s="8">
        <f t="shared" ca="1" si="163"/>
        <v>-89.801523459755018</v>
      </c>
      <c r="P222" s="8">
        <f t="shared" ca="1" si="163"/>
        <v>-73.878865902702387</v>
      </c>
      <c r="Q222" s="8">
        <f t="shared" ca="1" si="163"/>
        <v>-53.893368066346568</v>
      </c>
      <c r="R222" s="8">
        <f t="shared" ca="1" si="163"/>
        <v>-29.702269549673964</v>
      </c>
      <c r="S222" s="8">
        <f t="shared" ca="1" si="163"/>
        <v>-1.771430362644091</v>
      </c>
      <c r="T222" s="8">
        <f t="shared" ca="1" si="163"/>
        <v>28.688298523799769</v>
      </c>
      <c r="U222" s="8">
        <f t="shared" ca="1" si="163"/>
        <v>59.885027286978698</v>
      </c>
      <c r="V222" s="8">
        <f t="shared" ca="1" si="163"/>
        <v>89.804066675357106</v>
      </c>
      <c r="W222" s="8">
        <f t="shared" ca="1" si="163"/>
        <v>116.60286529920454</v>
      </c>
      <c r="X222" s="8">
        <f t="shared" ca="1" si="163"/>
        <v>138.96638253307412</v>
      </c>
      <c r="Y222" s="8">
        <f t="shared" ca="1" si="163"/>
        <v>156.26542857499788</v>
      </c>
      <c r="Z222" s="8">
        <f t="shared" ca="1" si="163"/>
        <v>168.41234189173758</v>
      </c>
      <c r="AA222" s="8">
        <f t="shared" ca="1" si="163"/>
        <v>175.57344345031305</v>
      </c>
      <c r="AB222" s="9">
        <f t="shared" ca="1" si="163"/>
        <v>177.93525854288481</v>
      </c>
    </row>
    <row r="223" spans="4:28" x14ac:dyDescent="0.25">
      <c r="D223" s="17"/>
      <c r="E223" s="2">
        <f t="shared" si="147"/>
        <v>2.4000000000000008</v>
      </c>
      <c r="H223" s="9">
        <f t="shared" ref="H223:AB223" ca="1" si="164" xml:space="preserve"> (D*(1-nu)*(G72-I72+I74-G74))/(4*delta^2)</f>
        <v>-127.51506599980678</v>
      </c>
      <c r="I223" s="8">
        <f t="shared" ca="1" si="164"/>
        <v>-127.07889497432711</v>
      </c>
      <c r="J223" s="8">
        <f t="shared" ca="1" si="164"/>
        <v>-125.71910925636224</v>
      </c>
      <c r="K223" s="8">
        <f t="shared" ca="1" si="164"/>
        <v>-123.27845024716642</v>
      </c>
      <c r="L223" s="8">
        <f t="shared" ca="1" si="164"/>
        <v>-119.48360241378893</v>
      </c>
      <c r="M223" s="8">
        <f t="shared" ca="1" si="164"/>
        <v>-113.92971008450812</v>
      </c>
      <c r="N223" s="8">
        <f t="shared" ca="1" si="164"/>
        <v>-106.06345018831027</v>
      </c>
      <c r="O223" s="8">
        <f t="shared" ca="1" si="164"/>
        <v>-95.175781180705798</v>
      </c>
      <c r="P223" s="8">
        <f t="shared" ca="1" si="164"/>
        <v>-80.431845619266454</v>
      </c>
      <c r="Q223" s="8">
        <f t="shared" ca="1" si="164"/>
        <v>-60.996081303456542</v>
      </c>
      <c r="R223" s="8">
        <f t="shared" ca="1" si="164"/>
        <v>-36.342766643301751</v>
      </c>
      <c r="S223" s="8">
        <f t="shared" ca="1" si="164"/>
        <v>-6.7766996910711947</v>
      </c>
      <c r="T223" s="8">
        <f t="shared" ca="1" si="164"/>
        <v>26.247570814299237</v>
      </c>
      <c r="U223" s="8">
        <f t="shared" ca="1" si="164"/>
        <v>60.411238244431011</v>
      </c>
      <c r="V223" s="8">
        <f t="shared" ca="1" si="164"/>
        <v>93.100533661843428</v>
      </c>
      <c r="W223" s="8">
        <f t="shared" ca="1" si="164"/>
        <v>121.94725929625767</v>
      </c>
      <c r="X223" s="8">
        <f t="shared" ca="1" si="164"/>
        <v>145.39427400853879</v>
      </c>
      <c r="Y223" s="8">
        <f t="shared" ca="1" si="164"/>
        <v>162.97319903997482</v>
      </c>
      <c r="Z223" s="8">
        <f t="shared" ca="1" si="164"/>
        <v>174.9731782047962</v>
      </c>
      <c r="AA223" s="8">
        <f t="shared" ca="1" si="164"/>
        <v>181.90392090057179</v>
      </c>
      <c r="AB223" s="9">
        <f t="shared" ca="1" si="164"/>
        <v>184.16550086290988</v>
      </c>
    </row>
    <row r="224" spans="4:28" x14ac:dyDescent="0.25">
      <c r="D224" s="17"/>
      <c r="E224" s="2">
        <f t="shared" si="147"/>
        <v>2.3000000000000007</v>
      </c>
      <c r="H224" s="9">
        <f t="shared" ref="H224:AB224" ca="1" si="165" xml:space="preserve"> (D*(1-nu)*(G73-I73+I75-G75))/(4*delta^2)</f>
        <v>-123.55279883178622</v>
      </c>
      <c r="I224" s="8">
        <f t="shared" ca="1" si="165"/>
        <v>-123.28819822088259</v>
      </c>
      <c r="J224" s="8">
        <f t="shared" ca="1" si="165"/>
        <v>-122.44438503684663</v>
      </c>
      <c r="K224" s="8">
        <f t="shared" ca="1" si="165"/>
        <v>-120.86652031432281</v>
      </c>
      <c r="L224" s="8">
        <f t="shared" ca="1" si="165"/>
        <v>-118.28013446408264</v>
      </c>
      <c r="M224" s="8">
        <f t="shared" ca="1" si="165"/>
        <v>-114.26534640924714</v>
      </c>
      <c r="N224" s="8">
        <f t="shared" ca="1" si="165"/>
        <v>-108.21953152139406</v>
      </c>
      <c r="O224" s="8">
        <f t="shared" ca="1" si="165"/>
        <v>-99.312059771859182</v>
      </c>
      <c r="P224" s="8">
        <f t="shared" ca="1" si="165"/>
        <v>-86.451497007380439</v>
      </c>
      <c r="Q224" s="8">
        <f t="shared" ca="1" si="165"/>
        <v>-68.338601263870856</v>
      </c>
      <c r="R224" s="8">
        <f t="shared" ca="1" si="165"/>
        <v>-43.809585421647967</v>
      </c>
      <c r="S224" s="8">
        <f t="shared" ca="1" si="165"/>
        <v>-12.814737101609769</v>
      </c>
      <c r="T224" s="8">
        <f t="shared" ca="1" si="165"/>
        <v>22.846598910110568</v>
      </c>
      <c r="U224" s="8">
        <f t="shared" ca="1" si="165"/>
        <v>60.126301428169434</v>
      </c>
      <c r="V224" s="8">
        <f t="shared" ca="1" si="165"/>
        <v>95.659761031857542</v>
      </c>
      <c r="W224" s="8">
        <f t="shared" ca="1" si="165"/>
        <v>126.35375313427552</v>
      </c>
      <c r="X224" s="8">
        <f t="shared" ca="1" si="165"/>
        <v>150.31439796478656</v>
      </c>
      <c r="Y224" s="8">
        <f t="shared" ca="1" si="165"/>
        <v>167.43836494415103</v>
      </c>
      <c r="Z224" s="8">
        <f t="shared" ca="1" si="165"/>
        <v>178.66319684797773</v>
      </c>
      <c r="AA224" s="8">
        <f t="shared" ca="1" si="165"/>
        <v>184.96704357519624</v>
      </c>
      <c r="AB224" s="9">
        <f t="shared" ca="1" si="165"/>
        <v>186.995156225025</v>
      </c>
    </row>
    <row r="225" spans="4:28" x14ac:dyDescent="0.25">
      <c r="D225" s="17"/>
      <c r="E225" s="2">
        <f t="shared" si="147"/>
        <v>2.2000000000000006</v>
      </c>
      <c r="H225" s="9">
        <f t="shared" ref="H225:AB225" ca="1" si="166" xml:space="preserve"> (D*(1-nu)*(G74-I74+I76-G76))/(4*delta^2)</f>
        <v>-116.52105348938548</v>
      </c>
      <c r="I225" s="8">
        <f t="shared" ca="1" si="166"/>
        <v>-116.42598000793438</v>
      </c>
      <c r="J225" s="8">
        <f t="shared" ca="1" si="166"/>
        <v>-116.09536007585346</v>
      </c>
      <c r="K225" s="8">
        <f t="shared" ca="1" si="166"/>
        <v>-115.38760806251717</v>
      </c>
      <c r="L225" s="8">
        <f t="shared" ca="1" si="166"/>
        <v>-114.04793080109532</v>
      </c>
      <c r="M225" s="8">
        <f t="shared" ca="1" si="166"/>
        <v>-111.676836373927</v>
      </c>
      <c r="N225" s="8">
        <f t="shared" ca="1" si="166"/>
        <v>-107.67862710690646</v>
      </c>
      <c r="O225" s="8">
        <f t="shared" ca="1" si="166"/>
        <v>-101.18106848879279</v>
      </c>
      <c r="P225" s="8">
        <f t="shared" ca="1" si="166"/>
        <v>-90.918606498225628</v>
      </c>
      <c r="Q225" s="8">
        <f t="shared" ca="1" si="166"/>
        <v>-75.108225261270647</v>
      </c>
      <c r="R225" s="8">
        <f t="shared" ca="1" si="166"/>
        <v>-51.577342595317099</v>
      </c>
      <c r="S225" s="8">
        <f t="shared" ca="1" si="166"/>
        <v>-19.573585926829956</v>
      </c>
      <c r="T225" s="8">
        <f t="shared" ca="1" si="166"/>
        <v>18.547939279274836</v>
      </c>
      <c r="U225" s="8">
        <f t="shared" ca="1" si="166"/>
        <v>58.76225348403851</v>
      </c>
      <c r="V225" s="8">
        <f t="shared" ca="1" si="166"/>
        <v>96.949557949445207</v>
      </c>
      <c r="W225" s="8">
        <f t="shared" ca="1" si="166"/>
        <v>129.0462152810733</v>
      </c>
      <c r="X225" s="8">
        <f t="shared" ca="1" si="166"/>
        <v>152.61541742790359</v>
      </c>
      <c r="Y225" s="8">
        <f t="shared" ca="1" si="166"/>
        <v>168.27546162947138</v>
      </c>
      <c r="Z225" s="8">
        <f t="shared" ca="1" si="166"/>
        <v>177.99698873260334</v>
      </c>
      <c r="AA225" s="8">
        <f t="shared" ca="1" si="166"/>
        <v>183.26937372668837</v>
      </c>
      <c r="AB225" s="9">
        <f t="shared" ca="1" si="166"/>
        <v>184.93698086572698</v>
      </c>
    </row>
    <row r="226" spans="4:28" x14ac:dyDescent="0.25">
      <c r="D226" s="17"/>
      <c r="E226" s="2">
        <f t="shared" si="147"/>
        <v>2.1000000000000005</v>
      </c>
      <c r="H226" s="9">
        <f t="shared" ref="H226:AB226" ca="1" si="167" xml:space="preserve"> (D*(1-nu)*(G75-I75+I77-G77))/(4*delta^2)</f>
        <v>-106.10865302978512</v>
      </c>
      <c r="I226" s="8">
        <f t="shared" ca="1" si="167"/>
        <v>-106.16485583240673</v>
      </c>
      <c r="J226" s="8">
        <f t="shared" ca="1" si="167"/>
        <v>-106.29437262002554</v>
      </c>
      <c r="K226" s="8">
        <f t="shared" ca="1" si="167"/>
        <v>-106.37458926171526</v>
      </c>
      <c r="L226" s="8">
        <f t="shared" ca="1" si="167"/>
        <v>-106.1824049933545</v>
      </c>
      <c r="M226" s="8">
        <f t="shared" ca="1" si="167"/>
        <v>-105.3623591286954</v>
      </c>
      <c r="N226" s="8">
        <f t="shared" ca="1" si="167"/>
        <v>-103.37245294284983</v>
      </c>
      <c r="O226" s="8">
        <f t="shared" ca="1" si="167"/>
        <v>-99.391300190705834</v>
      </c>
      <c r="P226" s="8">
        <f t="shared" ca="1" si="167"/>
        <v>-92.148669763969835</v>
      </c>
      <c r="Q226" s="8">
        <f t="shared" ca="1" si="167"/>
        <v>-79.589799020607884</v>
      </c>
      <c r="R226" s="8">
        <f t="shared" ca="1" si="167"/>
        <v>-58.179520387640572</v>
      </c>
      <c r="S226" s="8">
        <f t="shared" ca="1" si="167"/>
        <v>-25.978506514864847</v>
      </c>
      <c r="T226" s="8">
        <f t="shared" ca="1" si="167"/>
        <v>13.739730803708497</v>
      </c>
      <c r="U226" s="8">
        <f t="shared" ca="1" si="167"/>
        <v>55.797538070745247</v>
      </c>
      <c r="V226" s="8">
        <f t="shared" ca="1" si="167"/>
        <v>95.74695259087693</v>
      </c>
      <c r="W226" s="8">
        <f t="shared" ca="1" si="167"/>
        <v>128.37890813929889</v>
      </c>
      <c r="X226" s="8">
        <f t="shared" ca="1" si="167"/>
        <v>150.35290591676909</v>
      </c>
      <c r="Y226" s="8">
        <f t="shared" ca="1" si="167"/>
        <v>163.49680294251291</v>
      </c>
      <c r="Z226" s="8">
        <f t="shared" ca="1" si="167"/>
        <v>171.17486001944837</v>
      </c>
      <c r="AA226" s="8">
        <f t="shared" ca="1" si="167"/>
        <v>175.18816079643892</v>
      </c>
      <c r="AB226" s="9">
        <f t="shared" ca="1" si="167"/>
        <v>176.43459578385944</v>
      </c>
    </row>
    <row r="227" spans="4:28" x14ac:dyDescent="0.25">
      <c r="D227" s="17"/>
      <c r="E227" s="2">
        <f t="shared" si="147"/>
        <v>2.0000000000000004</v>
      </c>
      <c r="H227" s="9">
        <f t="shared" ref="H227:AB227" ca="1" si="168" xml:space="preserve"> (D*(1-nu)*(G76-I76+I78-G78))/(4*delta^2)</f>
        <v>-92.168222867139733</v>
      </c>
      <c r="I227" s="8">
        <f t="shared" ca="1" si="168"/>
        <v>-92.343238707871677</v>
      </c>
      <c r="J227" s="8">
        <f t="shared" ca="1" si="168"/>
        <v>-92.835143496024017</v>
      </c>
      <c r="K227" s="8">
        <f t="shared" ca="1" si="168"/>
        <v>-93.539181515903607</v>
      </c>
      <c r="L227" s="8">
        <f t="shared" ca="1" si="168"/>
        <v>-94.26203530463323</v>
      </c>
      <c r="M227" s="8">
        <f t="shared" ca="1" si="168"/>
        <v>-94.689945609833913</v>
      </c>
      <c r="N227" s="8">
        <f t="shared" ca="1" si="168"/>
        <v>-94.334453988929866</v>
      </c>
      <c r="O227" s="8">
        <f t="shared" ca="1" si="168"/>
        <v>-92.438233478638907</v>
      </c>
      <c r="P227" s="8">
        <f t="shared" ca="1" si="168"/>
        <v>-87.792218391212231</v>
      </c>
      <c r="Q227" s="8">
        <f t="shared" ca="1" si="168"/>
        <v>-78.301008918400299</v>
      </c>
      <c r="R227" s="10">
        <f t="shared" ca="1" si="168"/>
        <v>-59.663762408608278</v>
      </c>
      <c r="S227" s="10">
        <f t="shared" ca="1" si="168"/>
        <v>-29.181233264285677</v>
      </c>
      <c r="T227" s="10">
        <f t="shared" ca="1" si="168"/>
        <v>9.3602146494161076</v>
      </c>
      <c r="U227" s="10">
        <f t="shared" ca="1" si="168"/>
        <v>50.255669868514453</v>
      </c>
      <c r="V227" s="10">
        <f t="shared" ca="1" si="168"/>
        <v>89.153408199854937</v>
      </c>
      <c r="W227" s="10">
        <f t="shared" ca="1" si="168"/>
        <v>120.32377816756502</v>
      </c>
      <c r="X227" s="8">
        <f t="shared" ca="1" si="168"/>
        <v>139.92701876766176</v>
      </c>
      <c r="Y227" s="8">
        <f t="shared" ca="1" si="168"/>
        <v>150.57185024225024</v>
      </c>
      <c r="Z227" s="8">
        <f t="shared" ca="1" si="168"/>
        <v>156.41704212159803</v>
      </c>
      <c r="AA227" s="8">
        <f t="shared" ca="1" si="168"/>
        <v>159.34154321660435</v>
      </c>
      <c r="AB227" s="9">
        <f t="shared" ca="1" si="168"/>
        <v>160.22808256889348</v>
      </c>
    </row>
    <row r="228" spans="4:28" x14ac:dyDescent="0.25">
      <c r="D228" s="17"/>
      <c r="E228" s="2">
        <f t="shared" si="147"/>
        <v>1.9000000000000006</v>
      </c>
      <c r="H228" s="9">
        <f t="shared" ref="H228:AB228" ca="1" si="169" xml:space="preserve"> (D*(1-nu)*(G77-I77+I79-G79))/(4*delta^2)</f>
        <v>-74.760424639950287</v>
      </c>
      <c r="I228" s="8">
        <f t="shared" ca="1" si="169"/>
        <v>-75.013635104984246</v>
      </c>
      <c r="J228" s="8">
        <f t="shared" ca="1" si="169"/>
        <v>-75.7446772790464</v>
      </c>
      <c r="K228" s="8">
        <f t="shared" ca="1" si="169"/>
        <v>-76.862077669472981</v>
      </c>
      <c r="L228" s="8">
        <f t="shared" ca="1" si="169"/>
        <v>-78.193112950708567</v>
      </c>
      <c r="M228" s="8">
        <f t="shared" ca="1" si="169"/>
        <v>-79.4486065209977</v>
      </c>
      <c r="N228" s="8">
        <f t="shared" ca="1" si="169"/>
        <v>-80.162090283797184</v>
      </c>
      <c r="O228" s="8">
        <f t="shared" ca="1" si="169"/>
        <v>-79.585363688199735</v>
      </c>
      <c r="P228" s="8">
        <f t="shared" ca="1" si="169"/>
        <v>-76.501454894524841</v>
      </c>
      <c r="Q228" s="8">
        <f t="shared" ca="1" si="169"/>
        <v>-68.866146481920325</v>
      </c>
      <c r="R228" s="10">
        <f t="shared" ca="1" si="169"/>
        <v>-53.08824543891599</v>
      </c>
      <c r="S228" s="10">
        <f t="shared" ca="1" si="169"/>
        <v>-27.088839701130834</v>
      </c>
      <c r="T228" s="10">
        <f t="shared" ca="1" si="169"/>
        <v>6.0826283661912788</v>
      </c>
      <c r="U228" s="10">
        <f t="shared" ca="1" si="169"/>
        <v>41.537149353603816</v>
      </c>
      <c r="V228" s="10">
        <f t="shared" ca="1" si="169"/>
        <v>75.143015702497394</v>
      </c>
      <c r="W228" s="10">
        <f t="shared" ca="1" si="169"/>
        <v>101.99175402703837</v>
      </c>
      <c r="X228" s="8">
        <f t="shared" ca="1" si="169"/>
        <v>118.99123866780128</v>
      </c>
      <c r="Y228" s="8">
        <f t="shared" ca="1" si="169"/>
        <v>128.14619563382016</v>
      </c>
      <c r="Z228" s="8">
        <f t="shared" ca="1" si="169"/>
        <v>132.92760017762731</v>
      </c>
      <c r="AA228" s="8">
        <f t="shared" ca="1" si="169"/>
        <v>135.18957015224348</v>
      </c>
      <c r="AB228" s="9">
        <f t="shared" ca="1" si="169"/>
        <v>135.85062050570281</v>
      </c>
    </row>
    <row r="229" spans="4:28" x14ac:dyDescent="0.25">
      <c r="D229" s="17"/>
      <c r="E229" s="2">
        <f t="shared" si="147"/>
        <v>1.8000000000000005</v>
      </c>
      <c r="H229" s="9">
        <f t="shared" ref="H229:AB229" ca="1" si="170" xml:space="preserve"> (D*(1-nu)*(G78-I78+I80-G80))/(4*delta^2)</f>
        <v>-54.174679110035541</v>
      </c>
      <c r="I229" s="8">
        <f t="shared" ca="1" si="170"/>
        <v>-54.465428877684388</v>
      </c>
      <c r="J229" s="8">
        <f t="shared" ca="1" si="170"/>
        <v>-55.312957077510092</v>
      </c>
      <c r="K229" s="8">
        <f t="shared" ca="1" si="170"/>
        <v>-56.637207470197694</v>
      </c>
      <c r="L229" s="8">
        <f t="shared" ca="1" si="170"/>
        <v>-58.283661017925461</v>
      </c>
      <c r="M229" s="8">
        <f t="shared" ca="1" si="170"/>
        <v>-59.986353639490474</v>
      </c>
      <c r="N229" s="8">
        <f t="shared" ca="1" si="170"/>
        <v>-61.304558882411541</v>
      </c>
      <c r="O229" s="8">
        <f t="shared" ca="1" si="170"/>
        <v>-61.520661712280841</v>
      </c>
      <c r="P229" s="8">
        <f t="shared" ca="1" si="170"/>
        <v>-59.48852696141892</v>
      </c>
      <c r="Q229" s="8">
        <f t="shared" ca="1" si="170"/>
        <v>-53.461759076483574</v>
      </c>
      <c r="R229" s="10">
        <f t="shared" ca="1" si="170"/>
        <v>-41.168886127604893</v>
      </c>
      <c r="S229" s="10">
        <f t="shared" ca="1" si="170"/>
        <v>-21.582748225764753</v>
      </c>
      <c r="T229" s="10">
        <f t="shared" ca="1" si="170"/>
        <v>3.3978057174922141</v>
      </c>
      <c r="U229" s="10">
        <f t="shared" ca="1" si="170"/>
        <v>30.343631504825751</v>
      </c>
      <c r="V229" s="10">
        <f t="shared" ca="1" si="170"/>
        <v>55.789676090631268</v>
      </c>
      <c r="W229" s="10">
        <f t="shared" ca="1" si="170"/>
        <v>76.291188571791309</v>
      </c>
      <c r="X229" s="8">
        <f t="shared" ca="1" si="170"/>
        <v>89.914619367160853</v>
      </c>
      <c r="Y229" s="8">
        <f t="shared" ca="1" si="170"/>
        <v>97.625478302806656</v>
      </c>
      <c r="Z229" s="8">
        <f t="shared" ca="1" si="170"/>
        <v>101.59243769628144</v>
      </c>
      <c r="AA229" s="8">
        <f t="shared" ca="1" si="170"/>
        <v>103.393860622478</v>
      </c>
      <c r="AB229" s="9">
        <f t="shared" ca="1" si="170"/>
        <v>103.90278150064623</v>
      </c>
    </row>
    <row r="230" spans="4:28" x14ac:dyDescent="0.25">
      <c r="D230" s="17"/>
      <c r="E230" s="2">
        <f t="shared" si="147"/>
        <v>1.7000000000000004</v>
      </c>
      <c r="H230" s="9">
        <f t="shared" ref="H230:AB230" ca="1" si="171" xml:space="preserve"> (D*(1-nu)*(G79-I79+I81-G81))/(4*delta^2)</f>
        <v>-30.920206768043379</v>
      </c>
      <c r="I230" s="8">
        <f t="shared" ca="1" si="171"/>
        <v>-31.214880228459069</v>
      </c>
      <c r="J230" s="8">
        <f t="shared" ca="1" si="171"/>
        <v>-32.078937848998876</v>
      </c>
      <c r="K230" s="8">
        <f t="shared" ca="1" si="171"/>
        <v>-33.447455657503291</v>
      </c>
      <c r="L230" s="8">
        <f t="shared" ca="1" si="171"/>
        <v>-35.194236063015623</v>
      </c>
      <c r="M230" s="8">
        <f t="shared" ca="1" si="171"/>
        <v>-37.100670576539478</v>
      </c>
      <c r="N230" s="8">
        <f t="shared" ca="1" si="171"/>
        <v>-38.804649299782398</v>
      </c>
      <c r="O230" s="8">
        <f t="shared" ca="1" si="171"/>
        <v>-39.72667954835002</v>
      </c>
      <c r="P230" s="8">
        <f t="shared" ca="1" si="171"/>
        <v>-38.986614433244419</v>
      </c>
      <c r="Q230" s="8">
        <f t="shared" ca="1" si="171"/>
        <v>-35.381026800565564</v>
      </c>
      <c r="R230" s="10">
        <f t="shared" ca="1" si="171"/>
        <v>-27.634323089927882</v>
      </c>
      <c r="S230" s="10">
        <f t="shared" ca="1" si="171"/>
        <v>-15.298234497804133</v>
      </c>
      <c r="T230" s="10">
        <f t="shared" ca="1" si="171"/>
        <v>0.5329319973337534</v>
      </c>
      <c r="U230" s="10">
        <f t="shared" ca="1" si="171"/>
        <v>17.753914752709932</v>
      </c>
      <c r="V230" s="10">
        <f t="shared" ca="1" si="171"/>
        <v>34.041231468824009</v>
      </c>
      <c r="W230" s="10">
        <f t="shared" ca="1" si="171"/>
        <v>47.276990359135056</v>
      </c>
      <c r="X230" s="8">
        <f t="shared" ca="1" si="171"/>
        <v>56.338816643706735</v>
      </c>
      <c r="Y230" s="8">
        <f t="shared" ca="1" si="171"/>
        <v>61.625063420281798</v>
      </c>
      <c r="Z230" s="8">
        <f t="shared" ca="1" si="171"/>
        <v>64.327777317771265</v>
      </c>
      <c r="AA230" s="8">
        <f t="shared" ca="1" si="171"/>
        <v>65.512978777094759</v>
      </c>
      <c r="AB230" s="9">
        <f t="shared" ca="1" si="171"/>
        <v>65.836213382709261</v>
      </c>
    </row>
    <row r="231" spans="4:28" x14ac:dyDescent="0.25">
      <c r="D231" s="17"/>
      <c r="E231" s="2">
        <f t="shared" si="147"/>
        <v>1.6000000000000003</v>
      </c>
      <c r="H231" s="9">
        <f t="shared" ref="H231:AB231" ca="1" si="172" xml:space="preserve"> (D*(1-nu)*(G80-I80+I82-G82))/(4*delta^2)</f>
        <v>-5.6901327502538983</v>
      </c>
      <c r="I231" s="8">
        <f t="shared" ca="1" si="172"/>
        <v>-5.966266486386143</v>
      </c>
      <c r="J231" s="8">
        <f t="shared" ca="1" si="172"/>
        <v>-6.7812893123975257</v>
      </c>
      <c r="K231" s="8">
        <f t="shared" ca="1" si="172"/>
        <v>-8.0921696587246252</v>
      </c>
      <c r="L231" s="8">
        <f t="shared" ca="1" si="172"/>
        <v>-9.8168885152069674</v>
      </c>
      <c r="M231" s="8">
        <f t="shared" ca="1" si="172"/>
        <v>-11.816911206255501</v>
      </c>
      <c r="N231" s="8">
        <f t="shared" ca="1" si="172"/>
        <v>-13.869579198133955</v>
      </c>
      <c r="O231" s="8">
        <f t="shared" ca="1" si="172"/>
        <v>-15.63183438013197</v>
      </c>
      <c r="P231" s="8">
        <f t="shared" ca="1" si="172"/>
        <v>-16.609285264568229</v>
      </c>
      <c r="Q231" s="8">
        <f t="shared" ca="1" si="172"/>
        <v>-16.175814872727749</v>
      </c>
      <c r="R231" s="10">
        <f t="shared" ca="1" si="172"/>
        <v>-13.735905481282973</v>
      </c>
      <c r="S231" s="10">
        <f t="shared" ca="1" si="172"/>
        <v>-9.0968951905009998</v>
      </c>
      <c r="T231" s="10">
        <f t="shared" ca="1" si="172"/>
        <v>-2.7335496363520897</v>
      </c>
      <c r="U231" s="10">
        <f t="shared" ca="1" si="172"/>
        <v>4.3920119347296511</v>
      </c>
      <c r="V231" s="10">
        <f t="shared" ca="1" si="172"/>
        <v>11.173565901413523</v>
      </c>
      <c r="W231" s="10">
        <f t="shared" ca="1" si="172"/>
        <v>16.639054375054538</v>
      </c>
      <c r="X231" s="8">
        <f t="shared" ca="1" si="172"/>
        <v>20.292250710483575</v>
      </c>
      <c r="Y231" s="8">
        <f t="shared" ca="1" si="172"/>
        <v>22.289197833884511</v>
      </c>
      <c r="Z231" s="8">
        <f t="shared" ca="1" si="172"/>
        <v>23.166918483560064</v>
      </c>
      <c r="AA231" s="8">
        <f t="shared" ca="1" si="172"/>
        <v>23.459627651058291</v>
      </c>
      <c r="AB231" s="9">
        <f t="shared" ca="1" si="172"/>
        <v>23.517657375223198</v>
      </c>
    </row>
    <row r="232" spans="4:28" x14ac:dyDescent="0.25">
      <c r="D232" s="17"/>
      <c r="E232" s="2">
        <f t="shared" si="147"/>
        <v>1.5000000000000002</v>
      </c>
      <c r="H232" s="9">
        <f t="shared" ref="H232:AB232" ca="1" si="173" xml:space="preserve"> (D*(1-nu)*(G81-I81+I83-G83))/(4*delta^2)</f>
        <v>20.69263861743979</v>
      </c>
      <c r="I232" s="8">
        <f t="shared" ca="1" si="173"/>
        <v>20.444972211616722</v>
      </c>
      <c r="J232" s="8">
        <f t="shared" ca="1" si="173"/>
        <v>19.707363869106729</v>
      </c>
      <c r="K232" s="8">
        <f t="shared" ca="1" si="173"/>
        <v>18.495925143125547</v>
      </c>
      <c r="L232" s="8">
        <f t="shared" ca="1" si="173"/>
        <v>16.837299171743304</v>
      </c>
      <c r="M232" s="8">
        <f t="shared" ca="1" si="173"/>
        <v>14.768326816647139</v>
      </c>
      <c r="N232" s="8">
        <f t="shared" ca="1" si="173"/>
        <v>12.335543008539158</v>
      </c>
      <c r="O232" s="8">
        <f t="shared" ca="1" si="173"/>
        <v>9.5944740418454586</v>
      </c>
      <c r="P232" s="8">
        <f t="shared" ca="1" si="173"/>
        <v>6.6087074331550077</v>
      </c>
      <c r="Q232" s="8">
        <f t="shared" ca="1" si="173"/>
        <v>3.4487124300668164</v>
      </c>
      <c r="R232" s="10">
        <f t="shared" ca="1" si="173"/>
        <v>0.19040114627903534</v>
      </c>
      <c r="S232" s="10">
        <f t="shared" ca="1" si="173"/>
        <v>-3.086563310328641</v>
      </c>
      <c r="T232" s="10">
        <f t="shared" ca="1" si="173"/>
        <v>-6.3006860499630006</v>
      </c>
      <c r="U232" s="10">
        <f t="shared" ca="1" si="173"/>
        <v>-9.3707411697614322</v>
      </c>
      <c r="V232" s="10">
        <f t="shared" ca="1" si="173"/>
        <v>-12.217989661724452</v>
      </c>
      <c r="W232" s="10">
        <f t="shared" ca="1" si="173"/>
        <v>-14.768435047098183</v>
      </c>
      <c r="X232" s="8">
        <f t="shared" ca="1" si="173"/>
        <v>-16.955027639105609</v>
      </c>
      <c r="Y232" s="8">
        <f t="shared" ca="1" si="173"/>
        <v>-18.719724905306268</v>
      </c>
      <c r="Z232" s="8">
        <f t="shared" ca="1" si="173"/>
        <v>-20.015318362200613</v>
      </c>
      <c r="AA232" s="8">
        <f t="shared" ca="1" si="173"/>
        <v>-20.806946210806878</v>
      </c>
      <c r="AB232" s="9">
        <f t="shared" ca="1" si="173"/>
        <v>-21.073224449099197</v>
      </c>
    </row>
    <row r="233" spans="4:28" x14ac:dyDescent="0.25">
      <c r="D233" s="17"/>
      <c r="E233" s="2">
        <f t="shared" si="147"/>
        <v>1.4000000000000001</v>
      </c>
      <c r="H233" s="9">
        <f t="shared" ref="H233:AB233" ca="1" si="174" xml:space="preserve"> (D*(1-nu)*(G82-I82+I84-G84))/(4*delta^2)</f>
        <v>47.338735820264809</v>
      </c>
      <c r="I233" s="8">
        <f t="shared" ca="1" si="174"/>
        <v>47.116838375558181</v>
      </c>
      <c r="J233" s="8">
        <f t="shared" ca="1" si="174"/>
        <v>46.448560653344039</v>
      </c>
      <c r="K233" s="8">
        <f t="shared" ca="1" si="174"/>
        <v>45.323133343799029</v>
      </c>
      <c r="L233" s="8">
        <f t="shared" ca="1" si="174"/>
        <v>43.711906331119984</v>
      </c>
      <c r="M233" s="8">
        <f t="shared" ca="1" si="174"/>
        <v>41.550176382628536</v>
      </c>
      <c r="N233" s="8">
        <f t="shared" ca="1" si="174"/>
        <v>38.708600136601682</v>
      </c>
      <c r="O233" s="8">
        <f t="shared" ca="1" si="174"/>
        <v>34.955542222925658</v>
      </c>
      <c r="P233" s="8">
        <f t="shared" ca="1" si="174"/>
        <v>29.924306662617987</v>
      </c>
      <c r="Q233" s="8">
        <f t="shared" ca="1" si="174"/>
        <v>23.13040305832909</v>
      </c>
      <c r="R233" s="10">
        <f t="shared" ca="1" si="174"/>
        <v>14.130998956440058</v>
      </c>
      <c r="S233" s="10">
        <f t="shared" ca="1" si="174"/>
        <v>2.8937835602008999</v>
      </c>
      <c r="T233" s="10">
        <f t="shared" ca="1" si="174"/>
        <v>-9.9423234274303081</v>
      </c>
      <c r="U233" s="10">
        <f t="shared" ca="1" si="174"/>
        <v>-23.251486108844279</v>
      </c>
      <c r="V233" s="10">
        <f t="shared" ca="1" si="174"/>
        <v>-35.768688047940891</v>
      </c>
      <c r="W233" s="10">
        <f t="shared" ca="1" si="174"/>
        <v>-46.372572073413778</v>
      </c>
      <c r="X233" s="8">
        <f t="shared" ca="1" si="174"/>
        <v>-54.431575907492217</v>
      </c>
      <c r="Y233" s="8">
        <f t="shared" ca="1" si="174"/>
        <v>-59.98455125480676</v>
      </c>
      <c r="Z233" s="8">
        <f t="shared" ca="1" si="174"/>
        <v>-63.473182091603583</v>
      </c>
      <c r="AA233" s="8">
        <f t="shared" ca="1" si="174"/>
        <v>-65.361267506376876</v>
      </c>
      <c r="AB233" s="9">
        <f t="shared" ca="1" si="174"/>
        <v>-65.955942351578727</v>
      </c>
    </row>
    <row r="234" spans="4:28" x14ac:dyDescent="0.25">
      <c r="D234" s="17"/>
      <c r="E234" s="2">
        <f t="shared" si="147"/>
        <v>1.3</v>
      </c>
      <c r="H234" s="9">
        <f t="shared" ref="H234:AB234" ca="1" si="175" xml:space="preserve"> (D*(1-nu)*(G83-I83+I85-G85))/(4*delta^2)</f>
        <v>73.358799070301316</v>
      </c>
      <c r="I234" s="8">
        <f t="shared" ca="1" si="175"/>
        <v>73.147384825221209</v>
      </c>
      <c r="J234" s="8">
        <f t="shared" ca="1" si="175"/>
        <v>72.504001094697543</v>
      </c>
      <c r="K234" s="8">
        <f t="shared" ca="1" si="175"/>
        <v>71.396089260399577</v>
      </c>
      <c r="L234" s="8">
        <f t="shared" ca="1" si="175"/>
        <v>69.751046233096218</v>
      </c>
      <c r="M234" s="8">
        <f t="shared" ca="1" si="175"/>
        <v>67.424516403117721</v>
      </c>
      <c r="N234" s="8">
        <f t="shared" ca="1" si="175"/>
        <v>64.1484108614398</v>
      </c>
      <c r="O234" s="8">
        <f t="shared" ca="1" si="175"/>
        <v>59.455741067580256</v>
      </c>
      <c r="P234" s="8">
        <f t="shared" ca="1" si="175"/>
        <v>52.595592518243116</v>
      </c>
      <c r="Q234" s="8">
        <f t="shared" ca="1" si="175"/>
        <v>42.508211841602325</v>
      </c>
      <c r="R234" s="10">
        <f t="shared" ca="1" si="175"/>
        <v>28.073266429697096</v>
      </c>
      <c r="S234" s="10">
        <f t="shared" ca="1" si="175"/>
        <v>9.0059163494570758</v>
      </c>
      <c r="T234" s="10">
        <f t="shared" ca="1" si="175"/>
        <v>-13.431871224778041</v>
      </c>
      <c r="U234" s="10">
        <f t="shared" ca="1" si="175"/>
        <v>-36.967301665867573</v>
      </c>
      <c r="V234" s="10">
        <f t="shared" ca="1" si="175"/>
        <v>-59.114127707395667</v>
      </c>
      <c r="W234" s="10">
        <f t="shared" ca="1" si="175"/>
        <v>-77.601208648565461</v>
      </c>
      <c r="X234" s="8">
        <f t="shared" ca="1" si="175"/>
        <v>-91.167094794426703</v>
      </c>
      <c r="Y234" s="8">
        <f t="shared" ca="1" si="175"/>
        <v>-100.08960182394999</v>
      </c>
      <c r="Z234" s="8">
        <f t="shared" ca="1" si="175"/>
        <v>-105.46264922632302</v>
      </c>
      <c r="AA234" s="8">
        <f t="shared" ca="1" si="175"/>
        <v>-108.27974760899539</v>
      </c>
      <c r="AB234" s="9">
        <f t="shared" ca="1" si="175"/>
        <v>-109.15194743880198</v>
      </c>
    </row>
    <row r="235" spans="4:28" x14ac:dyDescent="0.25">
      <c r="D235" s="17"/>
      <c r="E235" s="2">
        <f t="shared" si="147"/>
        <v>1.2</v>
      </c>
      <c r="H235" s="9">
        <f t="shared" ref="H235:AB235" ca="1" si="176" xml:space="preserve"> (D*(1-nu)*(G84-I84+I86-G86))/(4*delta^2)</f>
        <v>97.929782401777715</v>
      </c>
      <c r="I235" s="8">
        <f t="shared" ca="1" si="176"/>
        <v>97.701150036347912</v>
      </c>
      <c r="J235" s="8">
        <f t="shared" ca="1" si="176"/>
        <v>97.001384678694521</v>
      </c>
      <c r="K235" s="8">
        <f t="shared" ca="1" si="176"/>
        <v>95.782918391187792</v>
      </c>
      <c r="L235" s="8">
        <f t="shared" ca="1" si="176"/>
        <v>93.945126906413435</v>
      </c>
      <c r="M235" s="8">
        <f t="shared" ca="1" si="176"/>
        <v>91.296906937203701</v>
      </c>
      <c r="N235" s="8">
        <f t="shared" ca="1" si="176"/>
        <v>87.492626618250199</v>
      </c>
      <c r="O235" s="8">
        <f t="shared" ca="1" si="176"/>
        <v>81.928878107077963</v>
      </c>
      <c r="P235" s="8">
        <f t="shared" ca="1" si="176"/>
        <v>73.591236018196625</v>
      </c>
      <c r="Q235" s="8">
        <f t="shared" ca="1" si="176"/>
        <v>60.880331994096302</v>
      </c>
      <c r="R235" s="10">
        <f t="shared" ca="1" si="176"/>
        <v>41.684222051747973</v>
      </c>
      <c r="S235" s="10">
        <f t="shared" ca="1" si="176"/>
        <v>15.144314979638057</v>
      </c>
      <c r="T235" s="10">
        <f t="shared" ca="1" si="176"/>
        <v>-16.666991717617464</v>
      </c>
      <c r="U235" s="10">
        <f t="shared" ca="1" si="176"/>
        <v>-50.146586444915577</v>
      </c>
      <c r="V235" s="10">
        <f t="shared" ca="1" si="176"/>
        <v>-81.659936956107018</v>
      </c>
      <c r="W235" s="10">
        <f t="shared" ca="1" si="176"/>
        <v>-107.60235714660573</v>
      </c>
      <c r="X235" s="8">
        <f t="shared" ca="1" si="176"/>
        <v>-125.89488766527452</v>
      </c>
      <c r="Y235" s="8">
        <f t="shared" ca="1" si="176"/>
        <v>-137.37683094066421</v>
      </c>
      <c r="Z235" s="8">
        <f t="shared" ca="1" si="176"/>
        <v>-144.11400809195732</v>
      </c>
      <c r="AA235" s="8">
        <f t="shared" ca="1" si="176"/>
        <v>-147.60872591336593</v>
      </c>
      <c r="AB235" s="9">
        <f t="shared" ca="1" si="176"/>
        <v>-148.68732608647045</v>
      </c>
    </row>
    <row r="236" spans="4:28" x14ac:dyDescent="0.25">
      <c r="D236" s="17"/>
      <c r="E236" s="2">
        <f t="shared" si="147"/>
        <v>1.0999999999999999</v>
      </c>
      <c r="H236" s="9">
        <f t="shared" ref="H236:AB236" ca="1" si="177" xml:space="preserve"> (D*(1-nu)*(G85-I85+I87-G87))/(4*delta^2)</f>
        <v>120.3577271193891</v>
      </c>
      <c r="I236" s="8">
        <f t="shared" ca="1" si="177"/>
        <v>120.07323870541499</v>
      </c>
      <c r="J236" s="8">
        <f t="shared" ca="1" si="177"/>
        <v>119.20204398103628</v>
      </c>
      <c r="K236" s="8">
        <f t="shared" ca="1" si="177"/>
        <v>117.68522378364649</v>
      </c>
      <c r="L236" s="8">
        <f t="shared" ca="1" si="177"/>
        <v>115.40420530895665</v>
      </c>
      <c r="M236" s="8">
        <f t="shared" ca="1" si="177"/>
        <v>112.14531812319177</v>
      </c>
      <c r="N236" s="8">
        <f t="shared" ca="1" si="177"/>
        <v>107.53846751606132</v>
      </c>
      <c r="O236" s="8">
        <f t="shared" ca="1" si="177"/>
        <v>100.95182716799793</v>
      </c>
      <c r="P236" s="8">
        <f t="shared" ca="1" si="177"/>
        <v>91.303418865957596</v>
      </c>
      <c r="Q236" s="8">
        <f t="shared" ca="1" si="177"/>
        <v>76.70061794576722</v>
      </c>
      <c r="R236" s="10">
        <f t="shared" ca="1" si="177"/>
        <v>53.717675375775563</v>
      </c>
      <c r="S236" s="10">
        <f t="shared" ca="1" si="177"/>
        <v>20.451464377217697</v>
      </c>
      <c r="T236" s="10">
        <f t="shared" ca="1" si="177"/>
        <v>-19.866683840609337</v>
      </c>
      <c r="U236" s="10">
        <f t="shared" ca="1" si="177"/>
        <v>-62.164624803035991</v>
      </c>
      <c r="V236" s="10">
        <f t="shared" ca="1" si="177"/>
        <v>-102.13156917145818</v>
      </c>
      <c r="W236" s="10">
        <f t="shared" ca="1" si="177"/>
        <v>-134.68952511287731</v>
      </c>
      <c r="X236" s="8">
        <f t="shared" ca="1" si="177"/>
        <v>-156.59186906989839</v>
      </c>
      <c r="Y236" s="8">
        <f t="shared" ca="1" si="177"/>
        <v>-169.7089845752611</v>
      </c>
      <c r="Z236" s="8">
        <f t="shared" ca="1" si="177"/>
        <v>-177.40222057973159</v>
      </c>
      <c r="AA236" s="8">
        <f t="shared" ca="1" si="177"/>
        <v>-181.44455561206144</v>
      </c>
      <c r="AB236" s="9">
        <f t="shared" ca="1" si="177"/>
        <v>-182.70466389156945</v>
      </c>
    </row>
    <row r="237" spans="4:28" x14ac:dyDescent="0.25">
      <c r="D237" s="17"/>
      <c r="E237" s="2">
        <f t="shared" si="147"/>
        <v>0.99999999999999989</v>
      </c>
      <c r="H237" s="9">
        <f t="shared" ref="H237:AB237" ca="1" si="178" xml:space="preserve"> (D*(1-nu)*(G86-I86+I88-G88))/(4*delta^2)</f>
        <v>140.13096276334068</v>
      </c>
      <c r="I237" s="8">
        <f t="shared" ca="1" si="178"/>
        <v>139.74527482796935</v>
      </c>
      <c r="J237" s="8">
        <f t="shared" ca="1" si="178"/>
        <v>138.56587134136456</v>
      </c>
      <c r="K237" s="8">
        <f t="shared" ca="1" si="178"/>
        <v>136.52044565655331</v>
      </c>
      <c r="L237" s="8">
        <f t="shared" ca="1" si="178"/>
        <v>133.4698640665105</v>
      </c>
      <c r="M237" s="8">
        <f t="shared" ca="1" si="178"/>
        <v>129.17633294371518</v>
      </c>
      <c r="N237" s="8">
        <f t="shared" ca="1" si="178"/>
        <v>123.24900642428193</v>
      </c>
      <c r="O237" s="8">
        <f t="shared" ca="1" si="178"/>
        <v>115.04932415700699</v>
      </c>
      <c r="P237" s="8">
        <f t="shared" ca="1" si="178"/>
        <v>103.50710014053324</v>
      </c>
      <c r="Q237" s="8">
        <f t="shared" ca="1" si="178"/>
        <v>86.684160452186589</v>
      </c>
      <c r="R237" s="10">
        <f t="shared" ca="1" si="178"/>
        <v>60.452604913608866</v>
      </c>
      <c r="S237" s="10">
        <f t="shared" ca="1" si="178"/>
        <v>22.298286304111237</v>
      </c>
      <c r="T237" s="10">
        <f t="shared" ca="1" si="178"/>
        <v>-23.799648076720697</v>
      </c>
      <c r="U237" s="10">
        <f t="shared" ca="1" si="178"/>
        <v>-71.941080078388765</v>
      </c>
      <c r="V237" s="10">
        <f t="shared" ca="1" si="178"/>
        <v>-117.58249674934864</v>
      </c>
      <c r="W237" s="10">
        <f t="shared" ca="1" si="178"/>
        <v>-154.8120131851436</v>
      </c>
      <c r="X237" s="8">
        <f t="shared" ca="1" si="178"/>
        <v>-179.62330103041211</v>
      </c>
      <c r="Y237" s="8">
        <f t="shared" ca="1" si="178"/>
        <v>-194.47993678271141</v>
      </c>
      <c r="Z237" s="8">
        <f t="shared" ca="1" si="178"/>
        <v>-203.42207635763549</v>
      </c>
      <c r="AA237" s="8">
        <f t="shared" ca="1" si="178"/>
        <v>-208.24079429529877</v>
      </c>
      <c r="AB237" s="9">
        <f t="shared" ca="1" si="178"/>
        <v>-209.7648121077051</v>
      </c>
    </row>
    <row r="238" spans="4:28" x14ac:dyDescent="0.25">
      <c r="D238" s="17"/>
      <c r="E238" s="2">
        <f t="shared" si="147"/>
        <v>0.89999999999999991</v>
      </c>
      <c r="H238" s="9">
        <f t="shared" ref="H238:AB238" ca="1" si="179" xml:space="preserve"> (D*(1-nu)*(G87-I87+I89-G89))/(4*delta^2)</f>
        <v>156.95465173016316</v>
      </c>
      <c r="I238" s="8">
        <f t="shared" ca="1" si="179"/>
        <v>156.42294392500358</v>
      </c>
      <c r="J238" s="8">
        <f t="shared" ca="1" si="179"/>
        <v>154.79935710507914</v>
      </c>
      <c r="K238" s="8">
        <f t="shared" ca="1" si="179"/>
        <v>151.99329095396649</v>
      </c>
      <c r="L238" s="8">
        <f t="shared" ca="1" si="179"/>
        <v>147.83539127145411</v>
      </c>
      <c r="M238" s="8">
        <f t="shared" ca="1" si="179"/>
        <v>142.0461237979809</v>
      </c>
      <c r="N238" s="8">
        <f t="shared" ca="1" si="179"/>
        <v>134.1819570221802</v>
      </c>
      <c r="O238" s="8">
        <f t="shared" ca="1" si="179"/>
        <v>123.54255026980643</v>
      </c>
      <c r="P238" s="8">
        <f t="shared" ca="1" si="179"/>
        <v>109.00074802999642</v>
      </c>
      <c r="Q238" s="8">
        <f t="shared" ca="1" si="179"/>
        <v>88.665504953795946</v>
      </c>
      <c r="R238" s="8">
        <f t="shared" ca="1" si="179"/>
        <v>59.183577876105353</v>
      </c>
      <c r="S238" s="8">
        <f t="shared" ca="1" si="179"/>
        <v>18.812171172760998</v>
      </c>
      <c r="T238" s="8">
        <f t="shared" ca="1" si="179"/>
        <v>-28.968829449485632</v>
      </c>
      <c r="U238" s="8">
        <f t="shared" ca="1" si="179"/>
        <v>-78.771350821163509</v>
      </c>
      <c r="V238" s="8">
        <f t="shared" ca="1" si="179"/>
        <v>-125.9395312137719</v>
      </c>
      <c r="W238" s="8">
        <f t="shared" ca="1" si="179"/>
        <v>-165.06590349813604</v>
      </c>
      <c r="X238" s="8">
        <f t="shared" ca="1" si="179"/>
        <v>-192.62804501678195</v>
      </c>
      <c r="Y238" s="8">
        <f t="shared" ca="1" si="179"/>
        <v>-210.29493863937296</v>
      </c>
      <c r="Z238" s="8">
        <f t="shared" ca="1" si="179"/>
        <v>-221.30082744882353</v>
      </c>
      <c r="AA238" s="8">
        <f t="shared" ca="1" si="179"/>
        <v>-227.35039211464206</v>
      </c>
      <c r="AB238" s="9">
        <f t="shared" ca="1" si="179"/>
        <v>-229.28224808206795</v>
      </c>
    </row>
    <row r="239" spans="4:28" x14ac:dyDescent="0.25">
      <c r="D239" s="17"/>
      <c r="E239" s="2">
        <f t="shared" si="147"/>
        <v>0.79999999999999993</v>
      </c>
      <c r="H239" s="9">
        <f t="shared" ref="H239:AB239" ca="1" si="180" xml:space="preserve"> (D*(1-nu)*(G88-I88+I90-G90))/(4*delta^2)</f>
        <v>170.75791717093225</v>
      </c>
      <c r="I239" s="8">
        <f t="shared" ca="1" si="180"/>
        <v>170.04420692939448</v>
      </c>
      <c r="J239" s="8">
        <f t="shared" ca="1" si="180"/>
        <v>167.86793949320389</v>
      </c>
      <c r="K239" s="8">
        <f t="shared" ca="1" si="180"/>
        <v>164.11856653691268</v>
      </c>
      <c r="L239" s="8">
        <f t="shared" ca="1" si="180"/>
        <v>158.59380212558821</v>
      </c>
      <c r="M239" s="8">
        <f t="shared" ca="1" si="180"/>
        <v>150.96912143334478</v>
      </c>
      <c r="N239" s="8">
        <f t="shared" ca="1" si="180"/>
        <v>140.74729508283068</v>
      </c>
      <c r="O239" s="8">
        <f t="shared" ca="1" si="180"/>
        <v>127.17883450943923</v>
      </c>
      <c r="P239" s="8">
        <f t="shared" ca="1" si="180"/>
        <v>109.14536119971213</v>
      </c>
      <c r="Q239" s="8">
        <f t="shared" ca="1" si="180"/>
        <v>85.034631835026659</v>
      </c>
      <c r="R239" s="8">
        <f t="shared" ca="1" si="180"/>
        <v>52.866310778585877</v>
      </c>
      <c r="S239" s="8">
        <f t="shared" ca="1" si="180"/>
        <v>12.098137735713571</v>
      </c>
      <c r="T239" s="8">
        <f t="shared" ca="1" si="180"/>
        <v>-34.691931278763988</v>
      </c>
      <c r="U239" s="8">
        <f t="shared" ca="1" si="180"/>
        <v>-83.249821357777549</v>
      </c>
      <c r="V239" s="8">
        <f t="shared" ca="1" si="180"/>
        <v>-129.22791966945735</v>
      </c>
      <c r="W239" s="8">
        <f t="shared" ca="1" si="180"/>
        <v>-168.34414447178864</v>
      </c>
      <c r="X239" s="8">
        <f t="shared" ca="1" si="180"/>
        <v>-197.96072740448162</v>
      </c>
      <c r="Y239" s="8">
        <f t="shared" ca="1" si="180"/>
        <v>-218.52010651565141</v>
      </c>
      <c r="Z239" s="8">
        <f t="shared" ca="1" si="180"/>
        <v>-231.84884258707541</v>
      </c>
      <c r="AA239" s="8">
        <f t="shared" ca="1" si="180"/>
        <v>-239.32942663461404</v>
      </c>
      <c r="AB239" s="9">
        <f t="shared" ca="1" si="180"/>
        <v>-241.74049265121602</v>
      </c>
    </row>
    <row r="240" spans="4:28" x14ac:dyDescent="0.25">
      <c r="D240" s="17"/>
      <c r="E240" s="2">
        <f t="shared" si="147"/>
        <v>0.7</v>
      </c>
      <c r="H240" s="9">
        <f t="shared" ref="H240:AB240" ca="1" si="181" xml:space="preserve"> (D*(1-nu)*(G89-I89+I91-G91))/(4*delta^2)</f>
        <v>181.6707393119776</v>
      </c>
      <c r="I240" s="8">
        <f t="shared" ca="1" si="181"/>
        <v>180.75419111871085</v>
      </c>
      <c r="J240" s="8">
        <f t="shared" ca="1" si="181"/>
        <v>177.96414872241013</v>
      </c>
      <c r="K240" s="8">
        <f t="shared" ca="1" si="181"/>
        <v>173.17501992070356</v>
      </c>
      <c r="L240" s="8">
        <f t="shared" ca="1" si="181"/>
        <v>166.16236954602226</v>
      </c>
      <c r="M240" s="8">
        <f t="shared" ca="1" si="181"/>
        <v>156.5788506605484</v>
      </c>
      <c r="N240" s="8">
        <f t="shared" ca="1" si="181"/>
        <v>143.91883125107219</v>
      </c>
      <c r="O240" s="8">
        <f t="shared" ca="1" si="181"/>
        <v>127.47492273836853</v>
      </c>
      <c r="P240" s="8">
        <f t="shared" ca="1" si="181"/>
        <v>106.30631623929479</v>
      </c>
      <c r="Q240" s="8">
        <f t="shared" ca="1" si="181"/>
        <v>79.291753017378909</v>
      </c>
      <c r="R240" s="8">
        <f t="shared" ca="1" si="181"/>
        <v>45.471150417538333</v>
      </c>
      <c r="S240" s="8">
        <f t="shared" ca="1" si="181"/>
        <v>5.0206650930642027</v>
      </c>
      <c r="T240" s="8">
        <f t="shared" ca="1" si="181"/>
        <v>-40.017891070423119</v>
      </c>
      <c r="U240" s="8">
        <f t="shared" ca="1" si="181"/>
        <v>-86.34473169512539</v>
      </c>
      <c r="V240" s="8">
        <f t="shared" ca="1" si="181"/>
        <v>-130.34317980549284</v>
      </c>
      <c r="W240" s="8">
        <f t="shared" ca="1" si="181"/>
        <v>-168.67709685636225</v>
      </c>
      <c r="X240" s="8">
        <f t="shared" ca="1" si="181"/>
        <v>-199.22843460050007</v>
      </c>
      <c r="Y240" s="8">
        <f t="shared" ca="1" si="181"/>
        <v>-221.69737837703235</v>
      </c>
      <c r="Z240" s="8">
        <f t="shared" ca="1" si="181"/>
        <v>-236.86040647819954</v>
      </c>
      <c r="AA240" s="8">
        <f t="shared" ca="1" si="181"/>
        <v>-245.57619562025445</v>
      </c>
      <c r="AB240" s="9">
        <f t="shared" ca="1" si="181"/>
        <v>-248.41654775542187</v>
      </c>
    </row>
    <row r="241" spans="4:28" x14ac:dyDescent="0.25">
      <c r="D241" s="17"/>
      <c r="E241" s="2">
        <f t="shared" si="147"/>
        <v>0.6</v>
      </c>
      <c r="H241" s="9">
        <f t="shared" ref="H241:AB241" ca="1" si="182" xml:space="preserve"> (D*(1-nu)*(G90-I90+I92-G92))/(4*delta^2)</f>
        <v>189.9767138641873</v>
      </c>
      <c r="I241" s="8">
        <f t="shared" ca="1" si="182"/>
        <v>188.85395304138027</v>
      </c>
      <c r="J241" s="8">
        <f t="shared" ca="1" si="182"/>
        <v>185.44296201164019</v>
      </c>
      <c r="K241" s="8">
        <f t="shared" ca="1" si="182"/>
        <v>179.6127819002219</v>
      </c>
      <c r="L241" s="8">
        <f t="shared" ca="1" si="182"/>
        <v>171.13587848116083</v>
      </c>
      <c r="M241" s="8">
        <f t="shared" ca="1" si="182"/>
        <v>159.67531249716507</v>
      </c>
      <c r="N241" s="8">
        <f t="shared" ca="1" si="182"/>
        <v>144.77098738868892</v>
      </c>
      <c r="O241" s="8">
        <f t="shared" ca="1" si="182"/>
        <v>125.83556162648274</v>
      </c>
      <c r="P241" s="8">
        <f t="shared" ca="1" si="182"/>
        <v>102.1868529551637</v>
      </c>
      <c r="Q241" s="8">
        <f t="shared" ca="1" si="182"/>
        <v>73.174085072046864</v>
      </c>
      <c r="R241" s="8">
        <f t="shared" ca="1" si="182"/>
        <v>38.487544034795143</v>
      </c>
      <c r="S241" s="8">
        <f t="shared" ca="1" si="182"/>
        <v>-1.3241409179268575</v>
      </c>
      <c r="T241" s="8">
        <f t="shared" ca="1" si="182"/>
        <v>-44.540858091981434</v>
      </c>
      <c r="U241" s="8">
        <f t="shared" ca="1" si="182"/>
        <v>-88.565090667723823</v>
      </c>
      <c r="V241" s="8">
        <f t="shared" ca="1" si="182"/>
        <v>-130.5017002273276</v>
      </c>
      <c r="W241" s="8">
        <f t="shared" ca="1" si="182"/>
        <v>-167.70996766006198</v>
      </c>
      <c r="X241" s="8">
        <f t="shared" ca="1" si="182"/>
        <v>-198.38059871938518</v>
      </c>
      <c r="Y241" s="8">
        <f t="shared" ca="1" si="182"/>
        <v>-221.82403077294722</v>
      </c>
      <c r="Z241" s="8">
        <f t="shared" ca="1" si="182"/>
        <v>-238.14817896085793</v>
      </c>
      <c r="AA241" s="8">
        <f t="shared" ca="1" si="182"/>
        <v>-247.72846411863711</v>
      </c>
      <c r="AB241" s="9">
        <f t="shared" ca="1" si="182"/>
        <v>-250.88249160798037</v>
      </c>
    </row>
    <row r="242" spans="4:28" x14ac:dyDescent="0.25">
      <c r="D242" s="17"/>
      <c r="E242" s="2">
        <f t="shared" si="147"/>
        <v>0.5</v>
      </c>
      <c r="H242" s="9">
        <f t="shared" ref="H242:AB242" ca="1" si="183" xml:space="preserve"> (D*(1-nu)*(G91-I91+I93-G93))/(4*delta^2)</f>
        <v>196.05373088269377</v>
      </c>
      <c r="I242" s="8">
        <f t="shared" ca="1" si="183"/>
        <v>194.73734162273635</v>
      </c>
      <c r="J242" s="8">
        <f t="shared" ca="1" si="183"/>
        <v>190.74644312696699</v>
      </c>
      <c r="K242" s="8">
        <f t="shared" ca="1" si="183"/>
        <v>183.9550382740517</v>
      </c>
      <c r="L242" s="8">
        <f t="shared" ca="1" si="183"/>
        <v>174.15108260333483</v>
      </c>
      <c r="M242" s="8">
        <f t="shared" ca="1" si="183"/>
        <v>161.03607199627538</v>
      </c>
      <c r="N242" s="8">
        <f t="shared" ca="1" si="183"/>
        <v>144.23151900169114</v>
      </c>
      <c r="O242" s="8">
        <f t="shared" ca="1" si="183"/>
        <v>123.30374704241838</v>
      </c>
      <c r="P242" s="8">
        <f t="shared" ca="1" si="183"/>
        <v>97.827838714484386</v>
      </c>
      <c r="Q242" s="8">
        <f t="shared" ca="1" si="183"/>
        <v>67.52117744193086</v>
      </c>
      <c r="R242" s="8">
        <f t="shared" ca="1" si="183"/>
        <v>32.469744545139271</v>
      </c>
      <c r="S242" s="8">
        <f t="shared" ca="1" si="183"/>
        <v>-6.5965759223529359</v>
      </c>
      <c r="T242" s="8">
        <f t="shared" ca="1" si="183"/>
        <v>-48.174337121132453</v>
      </c>
      <c r="U242" s="8">
        <f t="shared" ca="1" si="183"/>
        <v>-90.160628189310927</v>
      </c>
      <c r="V242" s="8">
        <f t="shared" ca="1" si="183"/>
        <v>-130.22408627691911</v>
      </c>
      <c r="W242" s="8">
        <f t="shared" ca="1" si="183"/>
        <v>-166.213969563896</v>
      </c>
      <c r="X242" s="8">
        <f t="shared" ca="1" si="183"/>
        <v>-196.52958870672276</v>
      </c>
      <c r="Y242" s="8">
        <f t="shared" ca="1" si="183"/>
        <v>-220.29133293815332</v>
      </c>
      <c r="Z242" s="8">
        <f t="shared" ca="1" si="183"/>
        <v>-237.20676890932432</v>
      </c>
      <c r="AA242" s="8">
        <f t="shared" ca="1" si="183"/>
        <v>-247.29086976369916</v>
      </c>
      <c r="AB242" s="9">
        <f t="shared" ca="1" si="183"/>
        <v>-250.63742483773026</v>
      </c>
    </row>
    <row r="243" spans="4:28" x14ac:dyDescent="0.25">
      <c r="D243" s="17"/>
      <c r="E243" s="2">
        <f t="shared" si="147"/>
        <v>0.4</v>
      </c>
      <c r="H243" s="9">
        <f t="shared" ref="H243:AB243" ca="1" si="184" xml:space="preserve"> (D*(1-nu)*(G92-I92+I94-G94))/(4*delta^2)</f>
        <v>200.31476077570929</v>
      </c>
      <c r="I243" s="8">
        <f t="shared" ca="1" si="184"/>
        <v>198.82954215149744</v>
      </c>
      <c r="J243" s="8">
        <f t="shared" ca="1" si="184"/>
        <v>194.33566038407338</v>
      </c>
      <c r="K243" s="8">
        <f t="shared" ca="1" si="184"/>
        <v>186.71963142308203</v>
      </c>
      <c r="L243" s="8">
        <f t="shared" ca="1" si="184"/>
        <v>175.7970895216628</v>
      </c>
      <c r="M243" s="8">
        <f t="shared" ca="1" si="184"/>
        <v>161.32298850580139</v>
      </c>
      <c r="N243" s="8">
        <f t="shared" ca="1" si="184"/>
        <v>143.01283584312475</v>
      </c>
      <c r="O243" s="8">
        <f t="shared" ca="1" si="184"/>
        <v>120.58360597573123</v>
      </c>
      <c r="P243" s="8">
        <f t="shared" ca="1" si="184"/>
        <v>93.826261011808228</v>
      </c>
      <c r="Q243" s="8">
        <f t="shared" ca="1" si="184"/>
        <v>62.720765776716</v>
      </c>
      <c r="R243" s="8">
        <f t="shared" ca="1" si="184"/>
        <v>27.589487336672562</v>
      </c>
      <c r="S243" s="8">
        <f t="shared" ca="1" si="184"/>
        <v>-10.755446415546835</v>
      </c>
      <c r="T243" s="8">
        <f t="shared" ca="1" si="184"/>
        <v>-50.965887479267217</v>
      </c>
      <c r="U243" s="8">
        <f t="shared" ca="1" si="184"/>
        <v>-91.278613791793035</v>
      </c>
      <c r="V243" s="8">
        <f t="shared" ca="1" si="184"/>
        <v>-129.76236164481298</v>
      </c>
      <c r="W243" s="8">
        <f t="shared" ca="1" si="184"/>
        <v>-164.60372504279979</v>
      </c>
      <c r="X243" s="8">
        <f t="shared" ca="1" si="184"/>
        <v>-194.35403747059874</v>
      </c>
      <c r="Y243" s="8">
        <f t="shared" ca="1" si="184"/>
        <v>-218.05036082064629</v>
      </c>
      <c r="Z243" s="8">
        <f t="shared" ca="1" si="184"/>
        <v>-235.17029670298854</v>
      </c>
      <c r="AA243" s="8">
        <f t="shared" ca="1" si="184"/>
        <v>-245.48838776204212</v>
      </c>
      <c r="AB243" s="9">
        <f t="shared" ca="1" si="184"/>
        <v>-248.93226237505758</v>
      </c>
    </row>
    <row r="244" spans="4:28" x14ac:dyDescent="0.25">
      <c r="D244" s="17"/>
      <c r="E244" s="2">
        <f t="shared" si="147"/>
        <v>0.30000000000000004</v>
      </c>
      <c r="H244" s="9">
        <f t="shared" ref="H244:AB244" ca="1" si="185" xml:space="preserve"> (D*(1-nu)*(G93-I93+I95-G95))/(4*delta^2)</f>
        <v>203.15703909165657</v>
      </c>
      <c r="I244" s="8">
        <f t="shared" ca="1" si="185"/>
        <v>201.53575607886074</v>
      </c>
      <c r="J244" s="8">
        <f t="shared" ca="1" si="185"/>
        <v>196.63837655987172</v>
      </c>
      <c r="K244" s="8">
        <f t="shared" ca="1" si="185"/>
        <v>188.36713261102688</v>
      </c>
      <c r="L244" s="8">
        <f t="shared" ca="1" si="185"/>
        <v>176.56921379128576</v>
      </c>
      <c r="M244" s="8">
        <f t="shared" ca="1" si="185"/>
        <v>161.05456249213643</v>
      </c>
      <c r="N244" s="8">
        <f t="shared" ca="1" si="185"/>
        <v>141.62606835098478</v>
      </c>
      <c r="O244" s="8">
        <f t="shared" ca="1" si="185"/>
        <v>118.12721512460213</v>
      </c>
      <c r="P244" s="8">
        <f t="shared" ca="1" si="185"/>
        <v>90.511916632799228</v>
      </c>
      <c r="Q244" s="8">
        <f t="shared" ca="1" si="185"/>
        <v>58.936709214153339</v>
      </c>
      <c r="R244" s="8">
        <f t="shared" ca="1" si="185"/>
        <v>23.862993184115034</v>
      </c>
      <c r="S244" s="8">
        <f t="shared" ca="1" si="185"/>
        <v>-13.863706774803077</v>
      </c>
      <c r="T244" s="8">
        <f t="shared" ca="1" si="185"/>
        <v>-53.00603865245963</v>
      </c>
      <c r="U244" s="8">
        <f t="shared" ca="1" si="185"/>
        <v>-92.027567006167629</v>
      </c>
      <c r="V244" s="8">
        <f t="shared" ca="1" si="185"/>
        <v>-129.26565150630555</v>
      </c>
      <c r="W244" s="8">
        <f t="shared" ca="1" si="185"/>
        <v>-163.13309610603125</v>
      </c>
      <c r="X244" s="8">
        <f t="shared" ca="1" si="185"/>
        <v>-192.29227702216264</v>
      </c>
      <c r="Y244" s="8">
        <f t="shared" ca="1" si="185"/>
        <v>-215.75089350176509</v>
      </c>
      <c r="Z244" s="8">
        <f t="shared" ca="1" si="185"/>
        <v>-232.8601417679088</v>
      </c>
      <c r="AA244" s="8">
        <f t="shared" ca="1" si="185"/>
        <v>-243.24611213201251</v>
      </c>
      <c r="AB244" s="9">
        <f t="shared" ca="1" si="185"/>
        <v>-246.72595823209627</v>
      </c>
    </row>
    <row r="245" spans="4:28" x14ac:dyDescent="0.25">
      <c r="D245" s="17"/>
      <c r="E245" s="2">
        <f t="shared" si="147"/>
        <v>0.2</v>
      </c>
      <c r="H245" s="9">
        <f t="shared" ref="H245:AB245" ca="1" si="186" xml:space="preserve"> (D*(1-nu)*(G94-I94+I96-G96))/(4*delta^2)</f>
        <v>204.92319326585073</v>
      </c>
      <c r="I245" s="8">
        <f t="shared" ca="1" si="186"/>
        <v>203.20300192275215</v>
      </c>
      <c r="J245" s="8">
        <f t="shared" ca="1" si="186"/>
        <v>198.01338892751352</v>
      </c>
      <c r="K245" s="8">
        <f t="shared" ca="1" si="186"/>
        <v>189.2711931444386</v>
      </c>
      <c r="L245" s="8">
        <f t="shared" ca="1" si="186"/>
        <v>176.85155469943967</v>
      </c>
      <c r="M245" s="8">
        <f t="shared" ca="1" si="186"/>
        <v>160.61039131899039</v>
      </c>
      <c r="N245" s="8">
        <f t="shared" ca="1" si="186"/>
        <v>140.41920657814995</v>
      </c>
      <c r="O245" s="8">
        <f t="shared" ca="1" si="186"/>
        <v>116.21435135208915</v>
      </c>
      <c r="P245" s="8">
        <f t="shared" ca="1" si="186"/>
        <v>88.060922780505933</v>
      </c>
      <c r="Q245" s="8">
        <f t="shared" ca="1" si="186"/>
        <v>56.226533716894032</v>
      </c>
      <c r="R245" s="8">
        <f t="shared" ca="1" si="186"/>
        <v>21.251584504743803</v>
      </c>
      <c r="S245" s="8">
        <f t="shared" ca="1" si="186"/>
        <v>-16.007269385390575</v>
      </c>
      <c r="T245" s="8">
        <f t="shared" ca="1" si="186"/>
        <v>-54.3870500767203</v>
      </c>
      <c r="U245" s="8">
        <f t="shared" ca="1" si="186"/>
        <v>-92.494789480908807</v>
      </c>
      <c r="V245" s="8">
        <f t="shared" ca="1" si="186"/>
        <v>-128.83723313827426</v>
      </c>
      <c r="W245" s="8">
        <f t="shared" ca="1" si="186"/>
        <v>-161.97106812999411</v>
      </c>
      <c r="X245" s="8">
        <f t="shared" ca="1" si="186"/>
        <v>-190.63502203979482</v>
      </c>
      <c r="Y245" s="8">
        <f t="shared" ca="1" si="186"/>
        <v>-213.83157210509526</v>
      </c>
      <c r="Z245" s="8">
        <f t="shared" ca="1" si="186"/>
        <v>-230.84644454182413</v>
      </c>
      <c r="AA245" s="8">
        <f t="shared" ca="1" si="186"/>
        <v>-241.2207723537756</v>
      </c>
      <c r="AB245" s="9">
        <f t="shared" ca="1" si="186"/>
        <v>-244.70500865332954</v>
      </c>
    </row>
    <row r="246" spans="4:28" x14ac:dyDescent="0.25">
      <c r="D246" s="17"/>
      <c r="E246" s="2">
        <f t="shared" si="147"/>
        <v>0.1</v>
      </c>
      <c r="H246" s="9">
        <f t="shared" ref="H246:AB246" ca="1" si="187" xml:space="preserve"> (D*(1-nu)*(G95-I95+I97-G97))/(4*delta^2)</f>
        <v>205.87428746168652</v>
      </c>
      <c r="I246" s="8">
        <f t="shared" ca="1" si="187"/>
        <v>204.09431921009019</v>
      </c>
      <c r="J246" s="8">
        <f t="shared" ca="1" si="187"/>
        <v>198.72853952091384</v>
      </c>
      <c r="K246" s="8">
        <f t="shared" ca="1" si="187"/>
        <v>189.70392321845694</v>
      </c>
      <c r="L246" s="8">
        <f t="shared" ca="1" si="187"/>
        <v>176.9145024695944</v>
      </c>
      <c r="M246" s="8">
        <f t="shared" ca="1" si="187"/>
        <v>160.24625287711459</v>
      </c>
      <c r="N246" s="8">
        <f t="shared" ca="1" si="187"/>
        <v>139.6138695534093</v>
      </c>
      <c r="O246" s="8">
        <f t="shared" ca="1" si="187"/>
        <v>115.00976482490223</v>
      </c>
      <c r="P246" s="8">
        <f t="shared" ca="1" si="187"/>
        <v>86.563118500130443</v>
      </c>
      <c r="Q246" s="8">
        <f t="shared" ca="1" si="187"/>
        <v>54.602293141939228</v>
      </c>
      <c r="R246" s="8">
        <f t="shared" ca="1" si="187"/>
        <v>19.707940653001575</v>
      </c>
      <c r="S246" s="8">
        <f t="shared" ca="1" si="187"/>
        <v>-17.260789514682291</v>
      </c>
      <c r="T246" s="8">
        <f t="shared" ca="1" si="187"/>
        <v>-55.183684055875403</v>
      </c>
      <c r="U246" s="8">
        <f t="shared" ca="1" si="187"/>
        <v>-92.74691158009071</v>
      </c>
      <c r="V246" s="8">
        <f t="shared" ca="1" si="187"/>
        <v>-128.55023819363939</v>
      </c>
      <c r="W246" s="8">
        <f t="shared" ca="1" si="187"/>
        <v>-161.23011283068175</v>
      </c>
      <c r="X246" s="8">
        <f t="shared" ca="1" si="187"/>
        <v>-189.57001832425567</v>
      </c>
      <c r="Y246" s="8">
        <f t="shared" ca="1" si="187"/>
        <v>-212.57480100459247</v>
      </c>
      <c r="Z246" s="8">
        <f t="shared" ca="1" si="187"/>
        <v>-229.49994942384504</v>
      </c>
      <c r="AA246" s="8">
        <f t="shared" ca="1" si="187"/>
        <v>-239.84393834245589</v>
      </c>
      <c r="AB246" s="9">
        <f t="shared" ca="1" si="187"/>
        <v>-243.32244886055477</v>
      </c>
    </row>
    <row r="247" spans="4:28" x14ac:dyDescent="0.25">
      <c r="D247" s="17"/>
      <c r="E247" s="2">
        <v>0</v>
      </c>
      <c r="H247" s="9">
        <f t="shared" ref="H247:AB247" ca="1" si="188" xml:space="preserve"> (D*(1-nu)*(G96-I96+I98-G98))/(4*delta^2)</f>
        <v>154.62970356541837</v>
      </c>
      <c r="I247" s="9">
        <f t="shared" ca="1" si="188"/>
        <v>204.3729989165337</v>
      </c>
      <c r="J247" s="9">
        <f t="shared" ca="1" si="188"/>
        <v>198.94844004730524</v>
      </c>
      <c r="K247" s="9">
        <f t="shared" ca="1" si="188"/>
        <v>189.82984341456716</v>
      </c>
      <c r="L247" s="9">
        <f t="shared" ca="1" si="188"/>
        <v>176.91788438088409</v>
      </c>
      <c r="M247" s="9">
        <f t="shared" ca="1" si="188"/>
        <v>160.10894546203943</v>
      </c>
      <c r="N247" s="9">
        <f t="shared" ca="1" si="188"/>
        <v>139.33240908021006</v>
      </c>
      <c r="O247" s="9">
        <f t="shared" ca="1" si="188"/>
        <v>114.5993703372348</v>
      </c>
      <c r="P247" s="9">
        <f t="shared" ca="1" si="188"/>
        <v>86.059889299288358</v>
      </c>
      <c r="Q247" s="9">
        <f t="shared" ca="1" si="188"/>
        <v>54.061617109350394</v>
      </c>
      <c r="R247" s="9">
        <f t="shared" ca="1" si="188"/>
        <v>19.19752308041733</v>
      </c>
      <c r="S247" s="9">
        <f t="shared" ca="1" si="188"/>
        <v>-17.673027261883387</v>
      </c>
      <c r="T247" s="9">
        <f t="shared" ca="1" si="188"/>
        <v>-55.443765198389983</v>
      </c>
      <c r="U247" s="9">
        <f t="shared" ca="1" si="188"/>
        <v>-92.826128668108311</v>
      </c>
      <c r="V247" s="9">
        <f t="shared" ca="1" si="188"/>
        <v>-128.44950691402522</v>
      </c>
      <c r="W247" s="9">
        <f t="shared" ca="1" si="188"/>
        <v>-160.97589359684554</v>
      </c>
      <c r="X247" s="9">
        <f t="shared" ca="1" si="188"/>
        <v>-189.20352181932822</v>
      </c>
      <c r="Y247" s="9">
        <f t="shared" ca="1" si="188"/>
        <v>-212.13887222114653</v>
      </c>
      <c r="Z247" s="9">
        <f t="shared" ca="1" si="188"/>
        <v>-229.0287770107505</v>
      </c>
      <c r="AA247" s="9">
        <f t="shared" ca="1" si="188"/>
        <v>-239.35885349174168</v>
      </c>
      <c r="AB247" s="9">
        <f t="shared" ca="1" si="188"/>
        <v>-182.12556598383509</v>
      </c>
    </row>
    <row r="253" spans="4:28" ht="18.75" x14ac:dyDescent="0.3">
      <c r="E253" s="1" t="s">
        <v>47</v>
      </c>
    </row>
    <row r="254" spans="4:28" x14ac:dyDescent="0.25">
      <c r="H254" s="18" t="s">
        <v>17</v>
      </c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</row>
    <row r="255" spans="4:28" x14ac:dyDescent="0.25">
      <c r="H255" s="2">
        <v>0</v>
      </c>
      <c r="I255" s="2">
        <f t="shared" ref="I255" si="189">+H255+delta</f>
        <v>0.1</v>
      </c>
      <c r="J255" s="2">
        <f t="shared" ref="J255" si="190">+I255+delta</f>
        <v>0.2</v>
      </c>
      <c r="K255" s="2">
        <f t="shared" ref="K255" si="191">+J255+delta</f>
        <v>0.30000000000000004</v>
      </c>
      <c r="L255" s="2">
        <f t="shared" ref="L255" si="192">+K255+delta</f>
        <v>0.4</v>
      </c>
      <c r="M255" s="2">
        <f t="shared" ref="M255" si="193">+L255+delta</f>
        <v>0.5</v>
      </c>
      <c r="N255" s="2">
        <f t="shared" ref="N255" si="194">+M255+delta</f>
        <v>0.6</v>
      </c>
      <c r="O255" s="2">
        <f t="shared" ref="O255" si="195">+N255+delta</f>
        <v>0.7</v>
      </c>
      <c r="P255" s="2">
        <f t="shared" ref="P255" si="196">+O255+delta</f>
        <v>0.79999999999999993</v>
      </c>
      <c r="Q255" s="2">
        <f t="shared" ref="Q255" si="197">+P255+delta</f>
        <v>0.89999999999999991</v>
      </c>
      <c r="R255" s="2">
        <f t="shared" ref="R255" si="198">+Q255+delta</f>
        <v>0.99999999999999989</v>
      </c>
      <c r="S255" s="2">
        <f t="shared" ref="S255" si="199">+R255+delta</f>
        <v>1.0999999999999999</v>
      </c>
      <c r="T255" s="2">
        <f t="shared" ref="T255" si="200">+S255+delta</f>
        <v>1.2</v>
      </c>
      <c r="U255" s="2">
        <f t="shared" ref="U255" si="201">+T255+delta</f>
        <v>1.3</v>
      </c>
      <c r="V255" s="2">
        <f t="shared" ref="V255" si="202">+U255+delta</f>
        <v>1.4000000000000001</v>
      </c>
      <c r="W255" s="2">
        <f t="shared" ref="W255" si="203">+V255+delta</f>
        <v>1.5000000000000002</v>
      </c>
      <c r="X255" s="2">
        <f t="shared" ref="X255" si="204">+W255+delta</f>
        <v>1.6000000000000003</v>
      </c>
      <c r="Y255" s="2">
        <f t="shared" ref="Y255" si="205">+X255+delta</f>
        <v>1.7000000000000004</v>
      </c>
      <c r="Z255" s="2">
        <f t="shared" ref="Z255" si="206">+Y255+delta</f>
        <v>1.8000000000000005</v>
      </c>
      <c r="AA255" s="2">
        <f t="shared" ref="AA255" si="207">+Z255+delta</f>
        <v>1.9000000000000006</v>
      </c>
      <c r="AB255" s="2">
        <f t="shared" ref="AB255" si="208">+AA255+delta</f>
        <v>2.0000000000000004</v>
      </c>
    </row>
    <row r="258" spans="5:28" x14ac:dyDescent="0.25">
      <c r="E258" s="2">
        <f t="shared" ref="E258:E297" si="209">E259+delta</f>
        <v>4.0000000000000018</v>
      </c>
      <c r="H258" s="9">
        <f t="shared" ref="H258:AB258" si="210" xml:space="preserve"> (H58+G57+H56+I57-4*H57)/delta^2</f>
        <v>0</v>
      </c>
      <c r="I258" s="9">
        <f t="shared" ca="1" si="210"/>
        <v>-2.1175823681357505E-20</v>
      </c>
      <c r="J258" s="9">
        <f t="shared" ca="1" si="210"/>
        <v>-3.1763735522036257E-20</v>
      </c>
      <c r="K258" s="9">
        <f t="shared" ca="1" si="210"/>
        <v>-6.3527471044072513E-20</v>
      </c>
      <c r="L258" s="9">
        <f t="shared" ca="1" si="210"/>
        <v>-4.2351647362715011E-20</v>
      </c>
      <c r="M258" s="9">
        <f t="shared" ca="1" si="210"/>
        <v>0</v>
      </c>
      <c r="N258" s="9">
        <f t="shared" ca="1" si="210"/>
        <v>0</v>
      </c>
      <c r="O258" s="9">
        <f t="shared" ca="1" si="210"/>
        <v>4.2351647362715011E-20</v>
      </c>
      <c r="P258" s="9">
        <f t="shared" ca="1" si="210"/>
        <v>0</v>
      </c>
      <c r="Q258" s="9">
        <f t="shared" ca="1" si="210"/>
        <v>0</v>
      </c>
      <c r="R258" s="9">
        <f t="shared" ca="1" si="210"/>
        <v>0</v>
      </c>
      <c r="S258" s="9">
        <f t="shared" ca="1" si="210"/>
        <v>0</v>
      </c>
      <c r="T258" s="9">
        <f t="shared" ca="1" si="210"/>
        <v>-1.2705494208814503E-19</v>
      </c>
      <c r="U258" s="9">
        <f t="shared" ca="1" si="210"/>
        <v>-1.6940658945086004E-19</v>
      </c>
      <c r="V258" s="9">
        <f t="shared" ca="1" si="210"/>
        <v>-4.2351647362715011E-20</v>
      </c>
      <c r="W258" s="9">
        <f t="shared" ca="1" si="210"/>
        <v>0</v>
      </c>
      <c r="X258" s="9">
        <f t="shared" ca="1" si="210"/>
        <v>0</v>
      </c>
      <c r="Y258" s="9">
        <f t="shared" ca="1" si="210"/>
        <v>0</v>
      </c>
      <c r="Z258" s="9">
        <f t="shared" ca="1" si="210"/>
        <v>0</v>
      </c>
      <c r="AA258" s="9">
        <f t="shared" ca="1" si="210"/>
        <v>1.0587911840678753E-20</v>
      </c>
      <c r="AB258" s="9">
        <f t="shared" si="210"/>
        <v>0</v>
      </c>
    </row>
    <row r="259" spans="5:28" x14ac:dyDescent="0.25">
      <c r="E259" s="2">
        <f t="shared" si="209"/>
        <v>3.9000000000000021</v>
      </c>
      <c r="H259" s="9">
        <f t="shared" ref="H259:AB259" ca="1" si="211" xml:space="preserve"> (H59+G58+H57+I58-4*H58)/delta^2</f>
        <v>-2.1175823681357505E-20</v>
      </c>
      <c r="I259" s="8">
        <f t="shared" ca="1" si="211"/>
        <v>6.1227722622382774E-7</v>
      </c>
      <c r="J259" s="8">
        <f t="shared" ca="1" si="211"/>
        <v>1.211373685767604E-6</v>
      </c>
      <c r="K259" s="8">
        <f t="shared" ca="1" si="211"/>
        <v>1.7842404885418933E-6</v>
      </c>
      <c r="L259" s="8">
        <f t="shared" ca="1" si="211"/>
        <v>2.3181087112330698E-6</v>
      </c>
      <c r="M259" s="8">
        <f t="shared" ca="1" si="211"/>
        <v>2.8006678097935074E-6</v>
      </c>
      <c r="N259" s="8">
        <f t="shared" ca="1" si="211"/>
        <v>3.2202843242954165E-6</v>
      </c>
      <c r="O259" s="8">
        <f t="shared" ca="1" si="211"/>
        <v>3.5662648705066366E-6</v>
      </c>
      <c r="P259" s="8">
        <f t="shared" ca="1" si="211"/>
        <v>3.8291600102896854E-6</v>
      </c>
      <c r="Q259" s="8">
        <f t="shared" ca="1" si="211"/>
        <v>4.0010974691383685E-6</v>
      </c>
      <c r="R259" s="8">
        <f t="shared" ca="1" si="211"/>
        <v>4.0761253437983412E-6</v>
      </c>
      <c r="S259" s="8">
        <f t="shared" ca="1" si="211"/>
        <v>4.050539659216026E-6</v>
      </c>
      <c r="T259" s="8">
        <f t="shared" ca="1" si="211"/>
        <v>3.9231671347478094E-6</v>
      </c>
      <c r="U259" s="8">
        <f t="shared" ca="1" si="211"/>
        <v>3.6955742242562693E-6</v>
      </c>
      <c r="V259" s="8">
        <f t="shared" ca="1" si="211"/>
        <v>3.3721776800709128E-6</v>
      </c>
      <c r="W259" s="8">
        <f t="shared" ca="1" si="211"/>
        <v>2.9602395085456309E-6</v>
      </c>
      <c r="X259" s="8">
        <f t="shared" ca="1" si="211"/>
        <v>2.4697389283095037E-6</v>
      </c>
      <c r="Y259" s="8">
        <f t="shared" ca="1" si="211"/>
        <v>1.9131240749350759E-6</v>
      </c>
      <c r="Z259" s="8">
        <f t="shared" ca="1" si="211"/>
        <v>1.3049550428696167E-6</v>
      </c>
      <c r="AA259" s="8">
        <f t="shared" ca="1" si="211"/>
        <v>6.6145627760242247E-7</v>
      </c>
      <c r="AB259" s="9">
        <f t="shared" ca="1" si="211"/>
        <v>0</v>
      </c>
    </row>
    <row r="260" spans="5:28" x14ac:dyDescent="0.25">
      <c r="E260" s="2">
        <f t="shared" si="209"/>
        <v>3.800000000000002</v>
      </c>
      <c r="H260" s="9">
        <f t="shared" ref="H260:AB260" ca="1" si="212" xml:space="preserve"> (H60+G59+H58+I59-4*H59)/delta^2</f>
        <v>-4.2351647362715011E-20</v>
      </c>
      <c r="I260" s="8">
        <f t="shared" ca="1" si="212"/>
        <v>1.2377352191281728E-6</v>
      </c>
      <c r="J260" s="8">
        <f t="shared" ca="1" si="212"/>
        <v>2.4489770283049914E-6</v>
      </c>
      <c r="K260" s="8">
        <f t="shared" ca="1" si="212"/>
        <v>3.6074795571672382E-6</v>
      </c>
      <c r="L260" s="8">
        <f t="shared" ca="1" si="212"/>
        <v>4.6875265465966246E-6</v>
      </c>
      <c r="M260" s="8">
        <f t="shared" ca="1" si="212"/>
        <v>5.664278203645035E-6</v>
      </c>
      <c r="N260" s="8">
        <f t="shared" ca="1" si="212"/>
        <v>6.5142046168796582E-6</v>
      </c>
      <c r="O260" s="8">
        <f t="shared" ca="1" si="212"/>
        <v>7.215615147441953E-6</v>
      </c>
      <c r="P260" s="8">
        <f t="shared" ca="1" si="212"/>
        <v>7.7492777015139059E-6</v>
      </c>
      <c r="Q260" s="8">
        <f t="shared" ca="1" si="212"/>
        <v>8.0991045224654473E-6</v>
      </c>
      <c r="R260" s="8">
        <f t="shared" ca="1" si="212"/>
        <v>8.2528642468376151E-6</v>
      </c>
      <c r="S260" s="8">
        <f t="shared" ca="1" si="212"/>
        <v>8.2028661583181228E-6</v>
      </c>
      <c r="T260" s="8">
        <f t="shared" ca="1" si="212"/>
        <v>7.9465546555211444E-6</v>
      </c>
      <c r="U260" s="8">
        <f t="shared" ca="1" si="212"/>
        <v>7.4869520822077104E-6</v>
      </c>
      <c r="V260" s="8">
        <f t="shared" ca="1" si="212"/>
        <v>6.8328969874829371E-6</v>
      </c>
      <c r="W260" s="8">
        <f t="shared" ca="1" si="212"/>
        <v>5.9990414258012596E-6</v>
      </c>
      <c r="X260" s="8">
        <f t="shared" ca="1" si="212"/>
        <v>5.0055921297577317E-6</v>
      </c>
      <c r="Y260" s="8">
        <f t="shared" ca="1" si="212"/>
        <v>3.8778023285615222E-6</v>
      </c>
      <c r="Z260" s="8">
        <f t="shared" ca="1" si="212"/>
        <v>2.6452398189410107E-6</v>
      </c>
      <c r="AA260" s="8">
        <f t="shared" ca="1" si="212"/>
        <v>1.3408700675399038E-6</v>
      </c>
      <c r="AB260" s="9">
        <f t="shared" ca="1" si="212"/>
        <v>0</v>
      </c>
    </row>
    <row r="261" spans="5:28" x14ac:dyDescent="0.25">
      <c r="E261" s="2">
        <f t="shared" si="209"/>
        <v>3.700000000000002</v>
      </c>
      <c r="H261" s="9">
        <f t="shared" ref="H261:AB261" ca="1" si="213" xml:space="preserve"> (H61+G60+H59+I60-4*H60)/delta^2</f>
        <v>0</v>
      </c>
      <c r="I261" s="8">
        <f t="shared" ca="1" si="213"/>
        <v>1.889686621983999E-6</v>
      </c>
      <c r="J261" s="8">
        <f t="shared" ca="1" si="213"/>
        <v>3.7393196511565691E-6</v>
      </c>
      <c r="K261" s="8">
        <f t="shared" ca="1" si="213"/>
        <v>5.5091741652261221E-6</v>
      </c>
      <c r="L261" s="8">
        <f t="shared" ca="1" si="213"/>
        <v>7.1602397143397995E-6</v>
      </c>
      <c r="M261" s="8">
        <f t="shared" ca="1" si="213"/>
        <v>8.6547138413117048E-6</v>
      </c>
      <c r="N261" s="8">
        <f t="shared" ca="1" si="213"/>
        <v>9.9566407921372433E-6</v>
      </c>
      <c r="O261" s="8">
        <f t="shared" ca="1" si="213"/>
        <v>1.1032713400869477E-5</v>
      </c>
      <c r="P261" s="8">
        <f t="shared" ca="1" si="213"/>
        <v>1.1853231125859047E-5</v>
      </c>
      <c r="Q261" s="8">
        <f t="shared" ca="1" si="213"/>
        <v>1.2393178672373256E-5</v>
      </c>
      <c r="R261" s="8">
        <f t="shared" ca="1" si="213"/>
        <v>1.2633360962767364E-5</v>
      </c>
      <c r="S261" s="8">
        <f t="shared" ca="1" si="213"/>
        <v>1.2561506071701434E-5</v>
      </c>
      <c r="T261" s="8">
        <f t="shared" ca="1" si="213"/>
        <v>1.2173233246808564E-5</v>
      </c>
      <c r="U261" s="8">
        <f t="shared" ca="1" si="213"/>
        <v>1.1472782461569983E-5</v>
      </c>
      <c r="V261" s="8">
        <f t="shared" ca="1" si="213"/>
        <v>1.0473416761850851E-5</v>
      </c>
      <c r="W261" s="8">
        <f t="shared" ca="1" si="213"/>
        <v>9.1974370774219562E-6</v>
      </c>
      <c r="X261" s="8">
        <f t="shared" ca="1" si="213"/>
        <v>7.6757858363583018E-6</v>
      </c>
      <c r="Y261" s="8">
        <f t="shared" ca="1" si="213"/>
        <v>5.9472532906125255E-6</v>
      </c>
      <c r="Z261" s="8">
        <f t="shared" ca="1" si="213"/>
        <v>4.0573318367919834E-6</v>
      </c>
      <c r="AA261" s="8">
        <f t="shared" ca="1" si="213"/>
        <v>2.0567841736160547E-6</v>
      </c>
      <c r="AB261" s="9">
        <f t="shared" ca="1" si="213"/>
        <v>0</v>
      </c>
    </row>
    <row r="262" spans="5:28" x14ac:dyDescent="0.25">
      <c r="E262" s="2">
        <f t="shared" si="209"/>
        <v>3.6000000000000019</v>
      </c>
      <c r="H262" s="9">
        <f t="shared" ref="H262:AB262" ca="1" si="214" xml:space="preserve"> (H62+G61+H60+I61-4*H61)/delta^2</f>
        <v>0</v>
      </c>
      <c r="I262" s="8">
        <f t="shared" ca="1" si="214"/>
        <v>2.5816916176512965E-6</v>
      </c>
      <c r="J262" s="8">
        <f t="shared" ca="1" si="214"/>
        <v>5.1094407891111648E-6</v>
      </c>
      <c r="K262" s="8">
        <f t="shared" ca="1" si="214"/>
        <v>7.5296577382405412E-6</v>
      </c>
      <c r="L262" s="8">
        <f t="shared" ca="1" si="214"/>
        <v>9.7895443042271198E-6</v>
      </c>
      <c r="M262" s="8">
        <f t="shared" ca="1" si="214"/>
        <v>1.1837696655123048E-5</v>
      </c>
      <c r="N262" s="8">
        <f t="shared" ca="1" si="214"/>
        <v>1.3624931309490166E-5</v>
      </c>
      <c r="O262" s="8">
        <f t="shared" ca="1" si="214"/>
        <v>1.510536653803729E-5</v>
      </c>
      <c r="P262" s="8">
        <f t="shared" ca="1" si="214"/>
        <v>1.6237754728683274E-5</v>
      </c>
      <c r="Q262" s="8">
        <f t="shared" ca="1" si="214"/>
        <v>1.6987018078400148E-5</v>
      </c>
      <c r="R262" s="8">
        <f t="shared" ca="1" si="214"/>
        <v>1.7325894860158844E-5</v>
      </c>
      <c r="S262" s="8">
        <f t="shared" ca="1" si="214"/>
        <v>1.7236563918908971E-5</v>
      </c>
      <c r="T262" s="8">
        <f t="shared" ca="1" si="214"/>
        <v>1.6712089798445422E-5</v>
      </c>
      <c r="U262" s="8">
        <f t="shared" ca="1" si="214"/>
        <v>1.5757527755413483E-5</v>
      </c>
      <c r="V262" s="8">
        <f t="shared" ca="1" si="214"/>
        <v>1.4390550520929542E-5</v>
      </c>
      <c r="W262" s="8">
        <f t="shared" ca="1" si="214"/>
        <v>1.2641504285676397E-5</v>
      </c>
      <c r="X262" s="8">
        <f t="shared" ca="1" si="214"/>
        <v>1.0552860847640149E-5</v>
      </c>
      <c r="Y262" s="8">
        <f t="shared" ca="1" si="214"/>
        <v>8.1780931607393093E-6</v>
      </c>
      <c r="Z262" s="8">
        <f t="shared" ca="1" si="214"/>
        <v>5.58005006399792E-6</v>
      </c>
      <c r="AA262" s="8">
        <f t="shared" ca="1" si="214"/>
        <v>2.8289347901330095E-6</v>
      </c>
      <c r="AB262" s="9">
        <f t="shared" ca="1" si="214"/>
        <v>0</v>
      </c>
    </row>
    <row r="263" spans="5:28" x14ac:dyDescent="0.25">
      <c r="E263" s="2">
        <f t="shared" si="209"/>
        <v>3.5000000000000018</v>
      </c>
      <c r="H263" s="9">
        <f t="shared" ref="H263:AB263" ca="1" si="215" xml:space="preserve"> (H63+G62+H61+I62-4*H62)/delta^2</f>
        <v>-4.2351647362715011E-20</v>
      </c>
      <c r="I263" s="8">
        <f t="shared" ca="1" si="215"/>
        <v>3.3276390595097678E-6</v>
      </c>
      <c r="J263" s="8">
        <f t="shared" ca="1" si="215"/>
        <v>6.5870941493966747E-6</v>
      </c>
      <c r="K263" s="8">
        <f t="shared" ca="1" si="215"/>
        <v>9.7104716943984372E-6</v>
      </c>
      <c r="L263" s="8">
        <f t="shared" ca="1" si="215"/>
        <v>1.2630583109206446E-5</v>
      </c>
      <c r="M263" s="8">
        <f t="shared" ca="1" si="215"/>
        <v>1.5281597165464554E-5</v>
      </c>
      <c r="N263" s="8">
        <f t="shared" ca="1" si="215"/>
        <v>1.7600021252663086E-5</v>
      </c>
      <c r="O263" s="8">
        <f t="shared" ca="1" si="215"/>
        <v>1.9526066713110987E-5</v>
      </c>
      <c r="P263" s="8">
        <f t="shared" ca="1" si="215"/>
        <v>2.1005403172428483E-5</v>
      </c>
      <c r="Q263" s="8">
        <f t="shared" ca="1" si="215"/>
        <v>2.1991244052387251E-5</v>
      </c>
      <c r="R263" s="8">
        <f t="shared" ca="1" si="215"/>
        <v>2.2446636480562284E-5</v>
      </c>
      <c r="S263" s="8">
        <f t="shared" ca="1" si="215"/>
        <v>2.2346764945338316E-5</v>
      </c>
      <c r="T263" s="8">
        <f t="shared" ca="1" si="215"/>
        <v>2.1681034272649993E-5</v>
      </c>
      <c r="U263" s="8">
        <f t="shared" ca="1" si="215"/>
        <v>2.0454688240708308E-5</v>
      </c>
      <c r="V263" s="8">
        <f t="shared" ca="1" si="215"/>
        <v>1.8689753280780831E-5</v>
      </c>
      <c r="W263" s="8">
        <f t="shared" ca="1" si="215"/>
        <v>1.6425168696715969E-5</v>
      </c>
      <c r="X263" s="8">
        <f t="shared" ca="1" si="215"/>
        <v>1.3716060107784891E-5</v>
      </c>
      <c r="Y263" s="8">
        <f t="shared" ca="1" si="215"/>
        <v>1.0632208440708E-5</v>
      </c>
      <c r="Z263" s="8">
        <f t="shared" ca="1" si="215"/>
        <v>7.2558404683290705E-6</v>
      </c>
      <c r="AA263" s="8">
        <f t="shared" ca="1" si="215"/>
        <v>3.6789049229178088E-6</v>
      </c>
      <c r="AB263" s="9">
        <f t="shared" ca="1" si="215"/>
        <v>0</v>
      </c>
    </row>
    <row r="264" spans="5:28" x14ac:dyDescent="0.25">
      <c r="E264" s="2">
        <f t="shared" si="209"/>
        <v>3.4000000000000017</v>
      </c>
      <c r="H264" s="9">
        <f t="shared" ref="H264:AB264" ca="1" si="216" xml:space="preserve"> (H64+G63+H62+I63-4*H63)/delta^2</f>
        <v>0</v>
      </c>
      <c r="I264" s="8">
        <f t="shared" ca="1" si="216"/>
        <v>4.1417704709916932E-6</v>
      </c>
      <c r="J264" s="8">
        <f t="shared" ca="1" si="216"/>
        <v>8.2008250545652979E-6</v>
      </c>
      <c r="K264" s="8">
        <f t="shared" ca="1" si="216"/>
        <v>1.2094551780752797E-5</v>
      </c>
      <c r="L264" s="8">
        <f t="shared" ca="1" si="216"/>
        <v>1.5740719272737703E-5</v>
      </c>
      <c r="M264" s="8">
        <f t="shared" ca="1" si="216"/>
        <v>1.9058087644864283E-5</v>
      </c>
      <c r="N264" s="8">
        <f t="shared" ca="1" si="216"/>
        <v>2.1967489822589348E-5</v>
      </c>
      <c r="O264" s="8">
        <f t="shared" ca="1" si="216"/>
        <v>2.4393475889312378E-5</v>
      </c>
      <c r="P264" s="8">
        <f t="shared" ca="1" si="216"/>
        <v>2.6266547195533773E-5</v>
      </c>
      <c r="Q264" s="8">
        <f t="shared" ca="1" si="216"/>
        <v>2.752591847816486E-5</v>
      </c>
      <c r="R264" s="8">
        <f t="shared" ca="1" si="216"/>
        <v>2.8122642064362011E-5</v>
      </c>
      <c r="S264" s="8">
        <f t="shared" ca="1" si="216"/>
        <v>2.8022825109226593E-5</v>
      </c>
      <c r="T264" s="8">
        <f t="shared" ca="1" si="216"/>
        <v>2.7210594106107245E-5</v>
      </c>
      <c r="U264" s="8">
        <f t="shared" ca="1" si="216"/>
        <v>2.5690437653986216E-5</v>
      </c>
      <c r="V264" s="8">
        <f t="shared" ca="1" si="216"/>
        <v>2.3488605664771536E-5</v>
      </c>
      <c r="W264" s="8">
        <f t="shared" ca="1" si="216"/>
        <v>2.0653357112621758E-5</v>
      </c>
      <c r="X264" s="8">
        <f t="shared" ca="1" si="216"/>
        <v>1.7254002446074774E-5</v>
      </c>
      <c r="Y264" s="8">
        <f t="shared" ca="1" si="216"/>
        <v>1.3378840025982452E-5</v>
      </c>
      <c r="Z264" s="8">
        <f t="shared" ca="1" si="216"/>
        <v>9.1321984456911998E-6</v>
      </c>
      <c r="AA264" s="8">
        <f t="shared" ca="1" si="216"/>
        <v>4.6308444332103415E-6</v>
      </c>
      <c r="AB264" s="9">
        <f t="shared" ca="1" si="216"/>
        <v>0</v>
      </c>
    </row>
    <row r="265" spans="5:28" x14ac:dyDescent="0.25">
      <c r="E265" s="2">
        <f t="shared" si="209"/>
        <v>3.3000000000000016</v>
      </c>
      <c r="H265" s="9">
        <f t="shared" ref="H265:AB265" ca="1" si="217" xml:space="preserve"> (H65+G64+H63+I64-4*H64)/delta^2</f>
        <v>0</v>
      </c>
      <c r="I265" s="8">
        <f t="shared" ca="1" si="217"/>
        <v>5.0386177698906906E-6</v>
      </c>
      <c r="J265" s="8">
        <f t="shared" ca="1" si="217"/>
        <v>9.9798838171200271E-6</v>
      </c>
      <c r="K265" s="8">
        <f t="shared" ca="1" si="217"/>
        <v>1.4726191101311781E-5</v>
      </c>
      <c r="L265" s="8">
        <f t="shared" ca="1" si="217"/>
        <v>1.9179654556124577E-5</v>
      </c>
      <c r="M265" s="8">
        <f t="shared" ca="1" si="217"/>
        <v>2.3242544318670949E-5</v>
      </c>
      <c r="N265" s="8">
        <f t="shared" ca="1" si="217"/>
        <v>2.6818374503515608E-5</v>
      </c>
      <c r="O265" s="8">
        <f t="shared" ca="1" si="217"/>
        <v>2.9813799826016074E-5</v>
      </c>
      <c r="P265" s="8">
        <f t="shared" ca="1" si="217"/>
        <v>3.2141391242240221E-5</v>
      </c>
      <c r="Q265" s="8">
        <f t="shared" ca="1" si="217"/>
        <v>3.3723240600368278E-5</v>
      </c>
      <c r="R265" s="8">
        <f t="shared" ca="1" si="217"/>
        <v>3.449518818949702E-5</v>
      </c>
      <c r="S265" s="8">
        <f t="shared" ca="1" si="217"/>
        <v>3.4411299321104225E-5</v>
      </c>
      <c r="T265" s="8">
        <f t="shared" ca="1" si="217"/>
        <v>3.344807938856483E-5</v>
      </c>
      <c r="U265" s="8">
        <f t="shared" ca="1" si="217"/>
        <v>3.1607862604361154E-5</v>
      </c>
      <c r="V265" s="8">
        <f t="shared" ca="1" si="217"/>
        <v>2.8920874611693271E-5</v>
      </c>
      <c r="W265" s="8">
        <f t="shared" ca="1" si="217"/>
        <v>2.5445651642930176E-5</v>
      </c>
      <c r="X265" s="8">
        <f t="shared" ca="1" si="217"/>
        <v>2.1267752537909315E-5</v>
      </c>
      <c r="Y265" s="8">
        <f t="shared" ca="1" si="217"/>
        <v>1.6496950771454144E-5</v>
      </c>
      <c r="Z265" s="8">
        <f t="shared" ca="1" si="217"/>
        <v>1.1263268855244629E-5</v>
      </c>
      <c r="AA265" s="8">
        <f t="shared" ca="1" si="217"/>
        <v>5.7122743642310021E-6</v>
      </c>
      <c r="AB265" s="9">
        <f t="shared" ca="1" si="217"/>
        <v>0</v>
      </c>
    </row>
    <row r="266" spans="5:28" x14ac:dyDescent="0.25">
      <c r="E266" s="2">
        <f t="shared" si="209"/>
        <v>3.2000000000000015</v>
      </c>
      <c r="H266" s="9">
        <f t="shared" ref="H266:AB266" ca="1" si="218" xml:space="preserve"> (H66+G65+H64+I65-4*H65)/delta^2</f>
        <v>0</v>
      </c>
      <c r="I266" s="8">
        <f t="shared" ca="1" si="218"/>
        <v>6.032816791451381E-6</v>
      </c>
      <c r="J266" s="8">
        <f t="shared" ca="1" si="218"/>
        <v>1.1953901342710305E-5</v>
      </c>
      <c r="K266" s="8">
        <f t="shared" ca="1" si="218"/>
        <v>1.7650674251252099E-5</v>
      </c>
      <c r="L266" s="8">
        <f t="shared" ca="1" si="218"/>
        <v>2.3009163531777197E-5</v>
      </c>
      <c r="M266" s="8">
        <f t="shared" ca="1" si="218"/>
        <v>2.7914060570176611E-5</v>
      </c>
      <c r="N266" s="8">
        <f t="shared" ca="1" si="218"/>
        <v>3.2249664046786067E-5</v>
      </c>
      <c r="O266" s="8">
        <f t="shared" ca="1" si="218"/>
        <v>3.590195766900558E-5</v>
      </c>
      <c r="P266" s="8">
        <f t="shared" ca="1" si="218"/>
        <v>3.8761977347037337E-5</v>
      </c>
      <c r="Q266" s="8">
        <f t="shared" ca="1" si="218"/>
        <v>4.0730464491579143E-5</v>
      </c>
      <c r="R266" s="8">
        <f t="shared" ca="1" si="218"/>
        <v>4.1723570772152212E-5</v>
      </c>
      <c r="S266" s="8">
        <f t="shared" ca="1" si="218"/>
        <v>4.1679104597125746E-5</v>
      </c>
      <c r="T266" s="8">
        <f t="shared" ca="1" si="218"/>
        <v>4.0562561522689405E-5</v>
      </c>
      <c r="U266" s="8">
        <f t="shared" ca="1" si="218"/>
        <v>3.8372058763200304E-5</v>
      </c>
      <c r="V266" s="8">
        <f t="shared" ca="1" si="218"/>
        <v>3.5141378534715645E-5</v>
      </c>
      <c r="W266" s="8">
        <f t="shared" ca="1" si="218"/>
        <v>3.0940622309487543E-5</v>
      </c>
      <c r="X266" s="8">
        <f t="shared" ca="1" si="218"/>
        <v>2.5874405291176813E-5</v>
      </c>
      <c r="Y266" s="8">
        <f t="shared" ca="1" si="218"/>
        <v>2.0077941666681874E-5</v>
      </c>
      <c r="Z266" s="8">
        <f t="shared" ca="1" si="218"/>
        <v>1.3711651839602844E-5</v>
      </c>
      <c r="AA266" s="8">
        <f t="shared" ca="1" si="218"/>
        <v>6.9549841684700538E-6</v>
      </c>
      <c r="AB266" s="9">
        <f t="shared" ca="1" si="218"/>
        <v>0</v>
      </c>
    </row>
    <row r="267" spans="5:28" x14ac:dyDescent="0.25">
      <c r="E267" s="2">
        <f t="shared" si="209"/>
        <v>3.1000000000000014</v>
      </c>
      <c r="H267" s="9">
        <f t="shared" ref="H267:AB267" ca="1" si="219" xml:space="preserve"> (H67+G66+H65+I66-4*H66)/delta^2</f>
        <v>0</v>
      </c>
      <c r="I267" s="8">
        <f t="shared" ca="1" si="219"/>
        <v>7.1387480532052052E-6</v>
      </c>
      <c r="J267" s="8">
        <f t="shared" ca="1" si="219"/>
        <v>1.4152230511021098E-5</v>
      </c>
      <c r="K267" s="8">
        <f t="shared" ca="1" si="219"/>
        <v>2.0913441029207083E-5</v>
      </c>
      <c r="L267" s="8">
        <f t="shared" ca="1" si="219"/>
        <v>2.7292264749555492E-5</v>
      </c>
      <c r="M267" s="8">
        <f t="shared" ca="1" si="219"/>
        <v>3.315487038347224E-5</v>
      </c>
      <c r="N267" s="8">
        <f t="shared" ca="1" si="219"/>
        <v>3.8364263444451889E-5</v>
      </c>
      <c r="O267" s="8">
        <f t="shared" ca="1" si="219"/>
        <v>4.2782389456181488E-5</v>
      </c>
      <c r="P267" s="8">
        <f t="shared" ca="1" si="219"/>
        <v>4.6274095985324402E-5</v>
      </c>
      <c r="Q267" s="8">
        <f t="shared" ca="1" si="219"/>
        <v>4.8713069246758744E-5</v>
      </c>
      <c r="R267" s="8">
        <f t="shared" ca="1" si="219"/>
        <v>4.9989525810421847E-5</v>
      </c>
      <c r="S267" s="8">
        <f t="shared" ca="1" si="219"/>
        <v>5.0018986772555785E-5</v>
      </c>
      <c r="T267" s="8">
        <f t="shared" ca="1" si="219"/>
        <v>4.875100334187894E-5</v>
      </c>
      <c r="U267" s="8">
        <f t="shared" ca="1" si="219"/>
        <v>4.6176432391036367E-5</v>
      </c>
      <c r="V267" s="8">
        <f t="shared" ca="1" si="219"/>
        <v>4.2331958454478752E-5</v>
      </c>
      <c r="W267" s="8">
        <f t="shared" ca="1" si="219"/>
        <v>3.7301053769131611E-5</v>
      </c>
      <c r="X267" s="8">
        <f t="shared" ca="1" si="219"/>
        <v>3.1211304650633933E-5</v>
      </c>
      <c r="Y267" s="8">
        <f t="shared" ca="1" si="219"/>
        <v>2.4228758764497084E-5</v>
      </c>
      <c r="Z267" s="8">
        <f t="shared" ca="1" si="219"/>
        <v>1.6550412668013468E-5</v>
      </c>
      <c r="AA267" s="8">
        <f t="shared" ca="1" si="219"/>
        <v>8.3960104700470474E-6</v>
      </c>
      <c r="AB267" s="9">
        <f t="shared" ca="1" si="219"/>
        <v>0</v>
      </c>
    </row>
    <row r="268" spans="5:28" x14ac:dyDescent="0.25">
      <c r="E268" s="2">
        <f t="shared" si="209"/>
        <v>3.0000000000000013</v>
      </c>
      <c r="H268" s="9">
        <f t="shared" ref="H268:AB268" ca="1" si="220" xml:space="preserve"> (H68+G67+H66+I67-4*H67)/delta^2</f>
        <v>-8.4703294725430022E-20</v>
      </c>
      <c r="I268" s="8">
        <f t="shared" ca="1" si="220"/>
        <v>8.3699449103483429E-6</v>
      </c>
      <c r="J268" s="8">
        <f t="shared" ca="1" si="220"/>
        <v>1.6602831618962141E-5</v>
      </c>
      <c r="K268" s="8">
        <f t="shared" ca="1" si="220"/>
        <v>2.4558594605004381E-5</v>
      </c>
      <c r="L268" s="8">
        <f t="shared" ca="1" si="220"/>
        <v>3.2091584053764101E-5</v>
      </c>
      <c r="M268" s="8">
        <f t="shared" ca="1" si="220"/>
        <v>3.9048892769706323E-5</v>
      </c>
      <c r="N268" s="8">
        <f t="shared" ca="1" si="220"/>
        <v>4.5270129891363695E-5</v>
      </c>
      <c r="O268" s="8">
        <f t="shared" ca="1" si="220"/>
        <v>5.0589240725950857E-5</v>
      </c>
      <c r="P268" s="8">
        <f t="shared" ca="1" si="220"/>
        <v>5.48389478913241E-5</v>
      </c>
      <c r="Q268" s="8">
        <f t="shared" ca="1" si="220"/>
        <v>5.7858190699713644E-5</v>
      </c>
      <c r="R268" s="8">
        <f t="shared" ca="1" si="220"/>
        <v>5.9502476450215219E-5</v>
      </c>
      <c r="S268" s="8">
        <f t="shared" ca="1" si="220"/>
        <v>5.9656313340788469E-5</v>
      </c>
      <c r="T268" s="8">
        <f t="shared" ca="1" si="220"/>
        <v>5.8246032681236905E-5</v>
      </c>
      <c r="U268" s="8">
        <f t="shared" ca="1" si="220"/>
        <v>5.5250709004580687E-5</v>
      </c>
      <c r="V268" s="8">
        <f t="shared" ca="1" si="220"/>
        <v>5.0708969123043584E-5</v>
      </c>
      <c r="W268" s="8">
        <f t="shared" ca="1" si="220"/>
        <v>4.4720329661919438E-5</v>
      </c>
      <c r="X268" s="8">
        <f t="shared" ca="1" si="220"/>
        <v>3.7441000777728877E-5</v>
      </c>
      <c r="Y268" s="8">
        <f t="shared" ca="1" si="220"/>
        <v>2.9075376072660408E-5</v>
      </c>
      <c r="Z268" s="8">
        <f t="shared" ca="1" si="220"/>
        <v>1.9865229597903851E-5</v>
      </c>
      <c r="AA268" s="8">
        <f t="shared" ca="1" si="220"/>
        <v>1.0078645043703312E-5</v>
      </c>
      <c r="AB268" s="9">
        <f t="shared" ca="1" si="220"/>
        <v>0</v>
      </c>
    </row>
    <row r="269" spans="5:28" x14ac:dyDescent="0.25">
      <c r="E269" s="2">
        <f t="shared" si="209"/>
        <v>2.9000000000000012</v>
      </c>
      <c r="H269" s="9">
        <f t="shared" ref="H269:AB269" ca="1" si="221" xml:space="preserve"> (H69+G68+H67+I68-4*H68)/delta^2</f>
        <v>0</v>
      </c>
      <c r="I269" s="8">
        <f t="shared" ca="1" si="221"/>
        <v>9.7381999692239923E-6</v>
      </c>
      <c r="J269" s="8">
        <f t="shared" ca="1" si="221"/>
        <v>1.9330556449477116E-5</v>
      </c>
      <c r="K269" s="8">
        <f t="shared" ca="1" si="221"/>
        <v>2.862652171807674E-5</v>
      </c>
      <c r="L269" s="8">
        <f t="shared" ca="1" si="221"/>
        <v>3.7466584090799697E-5</v>
      </c>
      <c r="M269" s="8">
        <f t="shared" ca="1" si="221"/>
        <v>4.5678986750225256E-5</v>
      </c>
      <c r="N269" s="8">
        <f t="shared" ca="1" si="221"/>
        <v>5.3078122625349771E-5</v>
      </c>
      <c r="O269" s="8">
        <f t="shared" ca="1" si="221"/>
        <v>5.9465495664927357E-5</v>
      </c>
      <c r="P269" s="8">
        <f t="shared" ca="1" si="221"/>
        <v>6.4634264154304799E-5</v>
      </c>
      <c r="Q269" s="8">
        <f t="shared" ca="1" si="221"/>
        <v>6.837826921056465E-5</v>
      </c>
      <c r="R269" s="8">
        <f t="shared" ca="1" si="221"/>
        <v>7.0505875949953187E-5</v>
      </c>
      <c r="S269" s="8">
        <f t="shared" ca="1" si="221"/>
        <v>7.0857757459135131E-5</v>
      </c>
      <c r="T269" s="8">
        <f t="shared" ca="1" si="221"/>
        <v>6.9326105037707664E-5</v>
      </c>
      <c r="U269" s="8">
        <f t="shared" ca="1" si="221"/>
        <v>6.5871401823004551E-5</v>
      </c>
      <c r="V269" s="8">
        <f t="shared" ca="1" si="221"/>
        <v>6.053287937119409E-5</v>
      </c>
      <c r="W269" s="8">
        <f t="shared" ca="1" si="221"/>
        <v>5.3430294977780451E-5</v>
      </c>
      <c r="X269" s="8">
        <f t="shared" ca="1" si="221"/>
        <v>4.4756992725701729E-5</v>
      </c>
      <c r="Y269" s="8">
        <f t="shared" ca="1" si="221"/>
        <v>3.4766515150512504E-5</v>
      </c>
      <c r="Z269" s="8">
        <f t="shared" ca="1" si="221"/>
        <v>2.3756484607241262E-5</v>
      </c>
      <c r="AA269" s="8">
        <f t="shared" ca="1" si="221"/>
        <v>1.2053340106861673E-5</v>
      </c>
      <c r="AB269" s="9">
        <f t="shared" ca="1" si="221"/>
        <v>0</v>
      </c>
    </row>
    <row r="270" spans="5:28" x14ac:dyDescent="0.25">
      <c r="E270" s="2">
        <f t="shared" si="209"/>
        <v>2.8000000000000012</v>
      </c>
      <c r="H270" s="9">
        <f t="shared" ref="H270:AB270" ca="1" si="222" xml:space="preserve"> (H70+G69+H68+I69-4*H69)/delta^2</f>
        <v>0</v>
      </c>
      <c r="I270" s="8">
        <f t="shared" ca="1" si="222"/>
        <v>1.1252298517069494E-5</v>
      </c>
      <c r="J270" s="8">
        <f t="shared" ca="1" si="222"/>
        <v>2.2354672491644572E-5</v>
      </c>
      <c r="K270" s="8">
        <f t="shared" ca="1" si="222"/>
        <v>3.3150351727028483E-5</v>
      </c>
      <c r="L270" s="8">
        <f t="shared" ca="1" si="222"/>
        <v>4.3469243841127269E-5</v>
      </c>
      <c r="M270" s="8">
        <f t="shared" ca="1" si="222"/>
        <v>5.3122347515050642E-5</v>
      </c>
      <c r="N270" s="8">
        <f t="shared" ca="1" si="222"/>
        <v>6.1897878194904472E-5</v>
      </c>
      <c r="O270" s="8">
        <f t="shared" ca="1" si="222"/>
        <v>6.9560355154109428E-5</v>
      </c>
      <c r="P270" s="8">
        <f t="shared" ca="1" si="222"/>
        <v>7.5854343850405799E-5</v>
      </c>
      <c r="Q270" s="8">
        <f t="shared" ca="1" si="222"/>
        <v>8.0514746038276127E-5</v>
      </c>
      <c r="R270" s="8">
        <f t="shared" ca="1" si="222"/>
        <v>8.3285000679895037E-5</v>
      </c>
      <c r="S270" s="8">
        <f t="shared" ca="1" si="222"/>
        <v>8.3942735508102045E-5</v>
      </c>
      <c r="T270" s="8">
        <f t="shared" ca="1" si="222"/>
        <v>8.2329228187456781E-5</v>
      </c>
      <c r="U270" s="8">
        <f t="shared" ca="1" si="222"/>
        <v>7.8375913878546603E-5</v>
      </c>
      <c r="V270" s="8">
        <f t="shared" ca="1" si="222"/>
        <v>7.2120851560950492E-5</v>
      </c>
      <c r="W270" s="8">
        <f t="shared" ca="1" si="222"/>
        <v>6.3710978152317402E-5</v>
      </c>
      <c r="X270" s="8">
        <f t="shared" ca="1" si="222"/>
        <v>5.3390159996785069E-5</v>
      </c>
      <c r="Y270" s="8">
        <f t="shared" ca="1" si="222"/>
        <v>4.1477207196450687E-5</v>
      </c>
      <c r="Z270" s="8">
        <f t="shared" ca="1" si="222"/>
        <v>2.8340853573681256E-5</v>
      </c>
      <c r="AA270" s="8">
        <f t="shared" ca="1" si="222"/>
        <v>1.4378230776505504E-5</v>
      </c>
      <c r="AB270" s="9">
        <f t="shared" ca="1" si="222"/>
        <v>0</v>
      </c>
    </row>
    <row r="271" spans="5:28" x14ac:dyDescent="0.25">
      <c r="E271" s="2">
        <f t="shared" si="209"/>
        <v>2.7000000000000011</v>
      </c>
      <c r="H271" s="9">
        <f t="shared" ref="H271:AB271" ca="1" si="223" xml:space="preserve"> (H71+G70+H69+I70-4*H70)/delta^2</f>
        <v>0</v>
      </c>
      <c r="I271" s="8">
        <f t="shared" ca="1" si="223"/>
        <v>1.2916321607408735E-5</v>
      </c>
      <c r="J271" s="8">
        <f t="shared" ca="1" si="223"/>
        <v>2.5685483273002514E-5</v>
      </c>
      <c r="K271" s="8">
        <f t="shared" ca="1" si="223"/>
        <v>3.8150968857268744E-5</v>
      </c>
      <c r="L271" s="8">
        <f t="shared" ca="1" si="223"/>
        <v>5.0137692031631603E-5</v>
      </c>
      <c r="M271" s="8">
        <f t="shared" ca="1" si="223"/>
        <v>6.1443281273944228E-5</v>
      </c>
      <c r="N271" s="8">
        <f t="shared" ca="1" si="223"/>
        <v>7.1830687485102627E-5</v>
      </c>
      <c r="O271" s="8">
        <f t="shared" ca="1" si="223"/>
        <v>8.1023702906194662E-5</v>
      </c>
      <c r="P271" s="8">
        <f t="shared" ca="1" si="223"/>
        <v>8.8708010054932844E-5</v>
      </c>
      <c r="Q271" s="8">
        <f t="shared" ca="1" si="223"/>
        <v>9.4541370412252576E-5</v>
      </c>
      <c r="R271" s="8">
        <f t="shared" ca="1" si="223"/>
        <v>9.8176645223243368E-5</v>
      </c>
      <c r="S271" s="8">
        <f t="shared" ca="1" si="223"/>
        <v>9.9298955705915811E-5</v>
      </c>
      <c r="T271" s="8">
        <f t="shared" ca="1" si="223"/>
        <v>9.7672158325478944E-5</v>
      </c>
      <c r="U271" s="8">
        <f t="shared" ca="1" si="223"/>
        <v>9.3182173942763747E-5</v>
      </c>
      <c r="V271" s="8">
        <f t="shared" ca="1" si="223"/>
        <v>8.5863634841743872E-5</v>
      </c>
      <c r="W271" s="8">
        <f t="shared" ca="1" si="223"/>
        <v>7.5902606073741398E-5</v>
      </c>
      <c r="X271" s="8">
        <f t="shared" ca="1" si="223"/>
        <v>6.3615461912670473E-5</v>
      </c>
      <c r="Y271" s="8">
        <f t="shared" ca="1" si="223"/>
        <v>4.9411300064823912E-5</v>
      </c>
      <c r="Z271" s="8">
        <f t="shared" ca="1" si="223"/>
        <v>3.3751491714533337E-5</v>
      </c>
      <c r="AA271" s="8">
        <f t="shared" ca="1" si="223"/>
        <v>1.7118729425475361E-5</v>
      </c>
      <c r="AB271" s="9">
        <f t="shared" ca="1" si="223"/>
        <v>0</v>
      </c>
    </row>
    <row r="272" spans="5:28" x14ac:dyDescent="0.25">
      <c r="E272" s="2">
        <f t="shared" si="209"/>
        <v>2.600000000000001</v>
      </c>
      <c r="H272" s="9">
        <f t="shared" ref="H272:AB272" ca="1" si="224" xml:space="preserve"> (H72+G71+H70+I71-4*H71)/delta^2</f>
        <v>0</v>
      </c>
      <c r="I272" s="8">
        <f t="shared" ca="1" si="224"/>
        <v>1.4727504639561577E-5</v>
      </c>
      <c r="J272" s="8">
        <f t="shared" ca="1" si="224"/>
        <v>2.9319970135686982E-5</v>
      </c>
      <c r="K272" s="8">
        <f t="shared" ca="1" si="224"/>
        <v>4.3630348397416447E-5</v>
      </c>
      <c r="L272" s="8">
        <f t="shared" ca="1" si="224"/>
        <v>5.7487274154180735E-5</v>
      </c>
      <c r="M272" s="8">
        <f t="shared" ca="1" si="224"/>
        <v>7.0682398064006953E-5</v>
      </c>
      <c r="N272" s="8">
        <f t="shared" ca="1" si="224"/>
        <v>8.2957887565359017E-5</v>
      </c>
      <c r="O272" s="8">
        <f t="shared" ca="1" si="224"/>
        <v>9.39957589306473E-5</v>
      </c>
      <c r="P272" s="8">
        <f t="shared" ca="1" si="224"/>
        <v>1.0341262305088647E-4</v>
      </c>
      <c r="Q272" s="8">
        <f t="shared" ca="1" si="224"/>
        <v>1.107660803325444E-4</v>
      </c>
      <c r="R272" s="8">
        <f t="shared" ca="1" si="224"/>
        <v>1.1558125409492359E-4</v>
      </c>
      <c r="S272" s="8">
        <f t="shared" ca="1" si="224"/>
        <v>1.17404283766847E-4</v>
      </c>
      <c r="T272" s="8">
        <f t="shared" ca="1" si="224"/>
        <v>1.1587827546578213E-4</v>
      </c>
      <c r="U272" s="8">
        <f t="shared" ca="1" si="224"/>
        <v>1.1081698872530182E-4</v>
      </c>
      <c r="V272" s="8">
        <f t="shared" ca="1" si="224"/>
        <v>1.0224890778951985E-4</v>
      </c>
      <c r="W272" s="8">
        <f t="shared" ca="1" si="224"/>
        <v>9.0420349388244686E-5</v>
      </c>
      <c r="X272" s="8">
        <f t="shared" ca="1" si="224"/>
        <v>7.5757781515346429E-5</v>
      </c>
      <c r="Y272" s="8">
        <f t="shared" ca="1" si="224"/>
        <v>5.880103943563707E-5</v>
      </c>
      <c r="Z272" s="8">
        <f t="shared" ca="1" si="224"/>
        <v>4.0135083794150114E-5</v>
      </c>
      <c r="AA272" s="8">
        <f t="shared" ca="1" si="224"/>
        <v>2.0345195210862943E-5</v>
      </c>
      <c r="AB272" s="9">
        <f t="shared" ca="1" si="224"/>
        <v>0</v>
      </c>
    </row>
    <row r="273" spans="5:28" x14ac:dyDescent="0.25">
      <c r="E273" s="2">
        <f t="shared" si="209"/>
        <v>2.5000000000000009</v>
      </c>
      <c r="H273" s="9">
        <f t="shared" ref="H273:AB273" ca="1" si="225" xml:space="preserve"> (H73+G72+H71+I72-4*H72)/delta^2</f>
        <v>0</v>
      </c>
      <c r="I273" s="8">
        <f t="shared" ca="1" si="225"/>
        <v>1.6673726815152962E-5</v>
      </c>
      <c r="J273" s="8">
        <f t="shared" ca="1" si="225"/>
        <v>3.3236544232770786E-5</v>
      </c>
      <c r="K273" s="8">
        <f t="shared" ca="1" si="225"/>
        <v>4.9563180442533385E-5</v>
      </c>
      <c r="L273" s="8">
        <f t="shared" ca="1" si="225"/>
        <v>6.5498658123673372E-5</v>
      </c>
      <c r="M273" s="8">
        <f t="shared" ca="1" si="225"/>
        <v>8.0841149262551965E-5</v>
      </c>
      <c r="N273" s="8">
        <f t="shared" ca="1" si="225"/>
        <v>9.5322705781671055E-5</v>
      </c>
      <c r="O273" s="8">
        <f t="shared" ca="1" si="225"/>
        <v>1.0858882220014362E-4</v>
      </c>
      <c r="P273" s="8">
        <f t="shared" ca="1" si="225"/>
        <v>1.2018064288541318E-4</v>
      </c>
      <c r="Q273" s="8">
        <f t="shared" ca="1" si="225"/>
        <v>1.2952907377212854E-4</v>
      </c>
      <c r="R273" s="8">
        <f t="shared" ca="1" si="225"/>
        <v>1.3597800705704603E-4</v>
      </c>
      <c r="S273" s="8">
        <f t="shared" ca="1" si="225"/>
        <v>1.3885864980075566E-4</v>
      </c>
      <c r="T273" s="8">
        <f t="shared" ca="1" si="225"/>
        <v>1.3761967104550078E-4</v>
      </c>
      <c r="U273" s="8">
        <f t="shared" ca="1" si="225"/>
        <v>1.3195859770313072E-4</v>
      </c>
      <c r="V273" s="8">
        <f t="shared" ca="1" si="225"/>
        <v>1.2189465820279443E-4</v>
      </c>
      <c r="W273" s="8">
        <f t="shared" ca="1" si="225"/>
        <v>1.0777210217436292E-4</v>
      </c>
      <c r="X273" s="8">
        <f t="shared" ca="1" si="225"/>
        <v>9.0194275324838907E-5</v>
      </c>
      <c r="Y273" s="8">
        <f t="shared" ca="1" si="225"/>
        <v>6.9899992368225127E-5</v>
      </c>
      <c r="Z273" s="8">
        <f t="shared" ca="1" si="225"/>
        <v>4.7642608815563036E-5</v>
      </c>
      <c r="AA273" s="8">
        <f t="shared" ca="1" si="225"/>
        <v>2.4126967623829684E-5</v>
      </c>
      <c r="AB273" s="9">
        <f t="shared" ca="1" si="225"/>
        <v>0</v>
      </c>
    </row>
    <row r="274" spans="5:28" x14ac:dyDescent="0.25">
      <c r="E274" s="2">
        <f t="shared" si="209"/>
        <v>2.4000000000000008</v>
      </c>
      <c r="H274" s="9">
        <f t="shared" ref="H274:AB274" ca="1" si="226" xml:space="preserve"> (H74+G73+H72+I73-4*H73)/delta^2</f>
        <v>0</v>
      </c>
      <c r="I274" s="8">
        <f t="shared" ca="1" si="226"/>
        <v>1.8730858388276775E-5</v>
      </c>
      <c r="J274" s="8">
        <f t="shared" ca="1" si="226"/>
        <v>3.7389299537709819E-5</v>
      </c>
      <c r="K274" s="8">
        <f t="shared" ca="1" si="226"/>
        <v>5.5887171016270212E-5</v>
      </c>
      <c r="L274" s="8">
        <f t="shared" ca="1" si="226"/>
        <v>7.4103028635421988E-5</v>
      </c>
      <c r="M274" s="8">
        <f t="shared" ca="1" si="226"/>
        <v>9.1860835080853769E-5</v>
      </c>
      <c r="N274" s="8">
        <f t="shared" ca="1" si="226"/>
        <v>1.0890296409863501E-4</v>
      </c>
      <c r="O274" s="8">
        <f t="shared" ca="1" si="226"/>
        <v>1.2485618120286195E-4</v>
      </c>
      <c r="P274" s="8">
        <f t="shared" ca="1" si="226"/>
        <v>1.3919205251851035E-4</v>
      </c>
      <c r="Q274" s="8">
        <f t="shared" ca="1" si="226"/>
        <v>1.5119156481350514E-4</v>
      </c>
      <c r="R274" s="8">
        <f t="shared" ca="1" si="226"/>
        <v>1.5994305056038448E-4</v>
      </c>
      <c r="S274" s="8">
        <f t="shared" ca="1" si="226"/>
        <v>1.6443263733364238E-4</v>
      </c>
      <c r="T274" s="8">
        <f t="shared" ca="1" si="226"/>
        <v>1.6378316121232105E-4</v>
      </c>
      <c r="U274" s="8">
        <f t="shared" ca="1" si="226"/>
        <v>1.5750307283892586E-4</v>
      </c>
      <c r="V274" s="8">
        <f t="shared" ca="1" si="226"/>
        <v>1.4559902514415881E-4</v>
      </c>
      <c r="W274" s="8">
        <f t="shared" ca="1" si="226"/>
        <v>1.2857912578157098E-4</v>
      </c>
      <c r="X274" s="8">
        <f t="shared" ca="1" si="226"/>
        <v>1.0734722524142654E-4</v>
      </c>
      <c r="Y274" s="8">
        <f t="shared" ca="1" si="226"/>
        <v>8.2962045896869634E-5</v>
      </c>
      <c r="Z274" s="8">
        <f t="shared" ca="1" si="226"/>
        <v>5.6408391476042466E-5</v>
      </c>
      <c r="AA274" s="8">
        <f t="shared" ca="1" si="226"/>
        <v>2.8520066468892075E-5</v>
      </c>
      <c r="AB274" s="9">
        <f t="shared" ca="1" si="226"/>
        <v>0</v>
      </c>
    </row>
    <row r="275" spans="5:28" x14ac:dyDescent="0.25">
      <c r="E275" s="2">
        <f t="shared" si="209"/>
        <v>2.3000000000000007</v>
      </c>
      <c r="H275" s="9">
        <f t="shared" ref="H275:AB275" ca="1" si="227" xml:space="preserve"> (H75+G74+H73+I74-4*H74)/delta^2</f>
        <v>0</v>
      </c>
      <c r="I275" s="8">
        <f t="shared" ca="1" si="227"/>
        <v>2.0860407200243641E-5</v>
      </c>
      <c r="J275" s="8">
        <f t="shared" ca="1" si="227"/>
        <v>4.1702624513523531E-5</v>
      </c>
      <c r="K275" s="8">
        <f t="shared" ca="1" si="227"/>
        <v>6.249317544941838E-5</v>
      </c>
      <c r="L275" s="8">
        <f t="shared" ca="1" si="227"/>
        <v>8.3165450320902794E-5</v>
      </c>
      <c r="M275" s="8">
        <f t="shared" ca="1" si="227"/>
        <v>1.0359619832681152E-4</v>
      </c>
      <c r="N275" s="8">
        <f t="shared" ca="1" si="227"/>
        <v>1.235721343291506E-4</v>
      </c>
      <c r="O275" s="8">
        <f t="shared" ca="1" si="227"/>
        <v>1.427408859941588E-4</v>
      </c>
      <c r="P275" s="8">
        <f t="shared" ca="1" si="227"/>
        <v>1.6053982117226657E-4</v>
      </c>
      <c r="Q275" s="8">
        <f t="shared" ca="1" si="227"/>
        <v>1.7610208240301345E-4</v>
      </c>
      <c r="R275" s="8">
        <f t="shared" ca="1" si="227"/>
        <v>1.8816999303734977E-4</v>
      </c>
      <c r="S275" s="8">
        <f t="shared" ca="1" si="227"/>
        <v>1.9514568776113543E-4</v>
      </c>
      <c r="T275" s="8">
        <f t="shared" ca="1" si="227"/>
        <v>1.955772636312179E-4</v>
      </c>
      <c r="U275" s="8">
        <f t="shared" ca="1" si="227"/>
        <v>1.8867150729613352E-4</v>
      </c>
      <c r="V275" s="8">
        <f t="shared" ca="1" si="227"/>
        <v>1.7441924375333312E-4</v>
      </c>
      <c r="W275" s="8">
        <f t="shared" ca="1" si="227"/>
        <v>1.5359815056633836E-4</v>
      </c>
      <c r="X275" s="8">
        <f t="shared" ca="1" si="227"/>
        <v>1.276534539624321E-4</v>
      </c>
      <c r="Y275" s="8">
        <f t="shared" ca="1" si="227"/>
        <v>9.8192574501766768E-5</v>
      </c>
      <c r="Z275" s="8">
        <f t="shared" ca="1" si="227"/>
        <v>6.65088447228431E-5</v>
      </c>
      <c r="AA275" s="8">
        <f t="shared" ca="1" si="227"/>
        <v>3.3544906775702928E-5</v>
      </c>
      <c r="AB275" s="9">
        <f t="shared" ca="1" si="227"/>
        <v>0</v>
      </c>
    </row>
    <row r="276" spans="5:28" x14ac:dyDescent="0.25">
      <c r="E276" s="2">
        <f t="shared" si="209"/>
        <v>2.2000000000000006</v>
      </c>
      <c r="H276" s="9">
        <f t="shared" ref="H276:AB276" ca="1" si="228" xml:space="preserve"> (H76+G75+H74+I75-4*H75)/delta^2</f>
        <v>0</v>
      </c>
      <c r="I276" s="8">
        <f t="shared" ca="1" si="228"/>
        <v>2.3008145899173579E-5</v>
      </c>
      <c r="J276" s="8">
        <f t="shared" ca="1" si="228"/>
        <v>4.6067615866718894E-5</v>
      </c>
      <c r="K276" s="8">
        <f t="shared" ca="1" si="228"/>
        <v>6.9217455946971569E-5</v>
      </c>
      <c r="L276" s="8">
        <f t="shared" ca="1" si="228"/>
        <v>9.2469398871962002E-5</v>
      </c>
      <c r="M276" s="8">
        <f t="shared" ca="1" si="228"/>
        <v>1.1578637357633346E-4</v>
      </c>
      <c r="N276" s="8">
        <f t="shared" ca="1" si="228"/>
        <v>1.3904848889700522E-4</v>
      </c>
      <c r="O276" s="8">
        <f t="shared" ca="1" si="228"/>
        <v>1.6199540727233981E-4</v>
      </c>
      <c r="P276" s="8">
        <f t="shared" ca="1" si="228"/>
        <v>1.8412426377340535E-4</v>
      </c>
      <c r="Q276" s="8">
        <f t="shared" ca="1" si="228"/>
        <v>2.0450695058893233E-4</v>
      </c>
      <c r="R276" s="8">
        <f t="shared" ca="1" si="228"/>
        <v>2.2148915142487113E-4</v>
      </c>
      <c r="S276" s="8">
        <f t="shared" ca="1" si="228"/>
        <v>2.324028570422991E-4</v>
      </c>
      <c r="T276" s="8">
        <f t="shared" ca="1" si="228"/>
        <v>2.3470869825527617E-4</v>
      </c>
      <c r="U276" s="8">
        <f t="shared" ca="1" si="228"/>
        <v>2.2718644896103007E-4</v>
      </c>
      <c r="V276" s="8">
        <f t="shared" ca="1" si="228"/>
        <v>2.0980829200670448E-4</v>
      </c>
      <c r="W276" s="8">
        <f t="shared" ca="1" si="228"/>
        <v>1.8374077876802806E-4</v>
      </c>
      <c r="X276" s="8">
        <f t="shared" ca="1" si="228"/>
        <v>1.5147586554019947E-4</v>
      </c>
      <c r="Y276" s="8">
        <f t="shared" ca="1" si="228"/>
        <v>1.156459534249344E-4</v>
      </c>
      <c r="Z276" s="8">
        <f t="shared" ca="1" si="228"/>
        <v>7.7889506137854148E-5</v>
      </c>
      <c r="AA276" s="8">
        <f t="shared" ca="1" si="228"/>
        <v>3.9150715911079248E-5</v>
      </c>
      <c r="AB276" s="9">
        <f t="shared" ca="1" si="228"/>
        <v>0</v>
      </c>
    </row>
    <row r="277" spans="5:28" x14ac:dyDescent="0.25">
      <c r="E277" s="2">
        <f t="shared" si="209"/>
        <v>2.1000000000000005</v>
      </c>
      <c r="H277" s="9">
        <f t="shared" ref="H277:AB277" ca="1" si="229" xml:space="preserve"> (H77+G76+H75+I76-4*H76)/delta^2</f>
        <v>0</v>
      </c>
      <c r="I277" s="8">
        <f t="shared" ca="1" si="229"/>
        <v>2.5104560529736524E-5</v>
      </c>
      <c r="J277" s="8">
        <f t="shared" ca="1" si="229"/>
        <v>5.034223710720825E-5</v>
      </c>
      <c r="K277" s="8">
        <f t="shared" ca="1" si="229"/>
        <v>7.5839633599785651E-5</v>
      </c>
      <c r="L277" s="8">
        <f t="shared" ca="1" si="229"/>
        <v>1.0170831564365101E-4</v>
      </c>
      <c r="M277" s="8">
        <f t="shared" ca="1" si="229"/>
        <v>1.2803140820956868E-4</v>
      </c>
      <c r="N277" s="8">
        <f t="shared" ca="1" si="229"/>
        <v>1.5484004041019432E-4</v>
      </c>
      <c r="O277" s="8">
        <f t="shared" ca="1" si="229"/>
        <v>1.8206799042477358E-4</v>
      </c>
      <c r="P277" s="8">
        <f t="shared" ca="1" si="229"/>
        <v>2.0945487606010437E-4</v>
      </c>
      <c r="Q277" s="8">
        <f t="shared" ca="1" si="229"/>
        <v>2.3631230475442848E-4</v>
      </c>
      <c r="R277" s="8">
        <f t="shared" ca="1" si="229"/>
        <v>2.6087680503088711E-4</v>
      </c>
      <c r="S277" s="8">
        <f t="shared" ca="1" si="229"/>
        <v>2.782678907279408E-4</v>
      </c>
      <c r="T277" s="8">
        <f t="shared" ca="1" si="229"/>
        <v>2.8366822338656846E-4</v>
      </c>
      <c r="U277" s="8">
        <f t="shared" ca="1" si="229"/>
        <v>2.755572982859953E-4</v>
      </c>
      <c r="V277" s="8">
        <f t="shared" ca="1" si="229"/>
        <v>2.5388669654444299E-4</v>
      </c>
      <c r="W277" s="8">
        <f t="shared" ca="1" si="229"/>
        <v>2.200808069588726E-4</v>
      </c>
      <c r="X277" s="8">
        <f t="shared" ca="1" si="229"/>
        <v>1.7886327600540874E-4</v>
      </c>
      <c r="Y277" s="8">
        <f t="shared" ca="1" si="229"/>
        <v>1.3502586751990776E-4</v>
      </c>
      <c r="Z277" s="8">
        <f t="shared" ca="1" si="229"/>
        <v>9.0252510492579486E-5</v>
      </c>
      <c r="AA277" s="8">
        <f t="shared" ca="1" si="229"/>
        <v>4.5168450730757885E-5</v>
      </c>
      <c r="AB277" s="9">
        <f t="shared" ca="1" si="229"/>
        <v>0</v>
      </c>
    </row>
    <row r="278" spans="5:28" x14ac:dyDescent="0.25">
      <c r="E278" s="2">
        <f t="shared" si="209"/>
        <v>2.0000000000000004</v>
      </c>
      <c r="H278" s="9">
        <f t="shared" ref="H278:AB278" ca="1" si="230" xml:space="preserve"> (H78+G77+H76+I77-4*H77)/delta^2</f>
        <v>0</v>
      </c>
      <c r="I278" s="8">
        <f t="shared" ca="1" si="230"/>
        <v>2.7067859112561551E-5</v>
      </c>
      <c r="J278" s="8">
        <f t="shared" ca="1" si="230"/>
        <v>5.4357138432594633E-5</v>
      </c>
      <c r="K278" s="8">
        <f t="shared" ca="1" si="230"/>
        <v>8.2090525701310427E-5</v>
      </c>
      <c r="L278" s="8">
        <f t="shared" ca="1" si="230"/>
        <v>1.1049282189329581E-4</v>
      </c>
      <c r="M278" s="8">
        <f t="shared" ca="1" si="230"/>
        <v>1.3979090320809053E-4</v>
      </c>
      <c r="N278" s="8">
        <f t="shared" ca="1" si="230"/>
        <v>1.7021227410944333E-4</v>
      </c>
      <c r="O278" s="8">
        <f t="shared" ca="1" si="230"/>
        <v>2.0198163795645039E-4</v>
      </c>
      <c r="P278" s="8">
        <f t="shared" ca="1" si="230"/>
        <v>2.3531494528782098E-4</v>
      </c>
      <c r="Q278" s="8">
        <f t="shared" ca="1" si="230"/>
        <v>2.704105873378118E-4</v>
      </c>
      <c r="R278" s="10">
        <f t="shared" ca="1" si="230"/>
        <v>3.0743787321631347E-4</v>
      </c>
      <c r="S278" s="10">
        <f t="shared" ca="1" si="230"/>
        <v>3.361236774520031E-4</v>
      </c>
      <c r="T278" s="10">
        <f t="shared" ca="1" si="230"/>
        <v>3.4613900627708869E-4</v>
      </c>
      <c r="U278" s="10">
        <f t="shared" ca="1" si="230"/>
        <v>3.3748782425193426E-4</v>
      </c>
      <c r="V278" s="10">
        <f t="shared" ca="1" si="230"/>
        <v>3.1010038892617247E-4</v>
      </c>
      <c r="W278" s="10">
        <f t="shared" ca="1" si="230"/>
        <v>2.6383247651760796E-4</v>
      </c>
      <c r="X278" s="8">
        <f t="shared" ca="1" si="230"/>
        <v>2.0887056400264154E-4</v>
      </c>
      <c r="Y278" s="8">
        <f t="shared" ca="1" si="230"/>
        <v>1.5534173015671385E-4</v>
      </c>
      <c r="Z278" s="8">
        <f t="shared" ca="1" si="230"/>
        <v>1.0292621758178866E-4</v>
      </c>
      <c r="AA278" s="8">
        <f t="shared" ca="1" si="230"/>
        <v>5.1270576519373482E-5</v>
      </c>
      <c r="AB278" s="9">
        <f t="shared" ca="1" si="230"/>
        <v>0</v>
      </c>
    </row>
    <row r="279" spans="5:28" x14ac:dyDescent="0.25">
      <c r="E279" s="2">
        <f t="shared" si="209"/>
        <v>1.9000000000000006</v>
      </c>
      <c r="H279" s="9">
        <f t="shared" ref="H279:AB279" ca="1" si="231" xml:space="preserve"> (H79+G78+H77+I78-4*H78)/delta^2</f>
        <v>0</v>
      </c>
      <c r="I279" s="8">
        <f t="shared" ca="1" si="231"/>
        <v>2.8809737487911663E-5</v>
      </c>
      <c r="J279" s="8">
        <f t="shared" ca="1" si="231"/>
        <v>5.7927931809309159E-5</v>
      </c>
      <c r="K279" s="8">
        <f t="shared" ca="1" si="231"/>
        <v>8.7672508879558822E-5</v>
      </c>
      <c r="L279" s="8">
        <f t="shared" ca="1" si="231"/>
        <v>1.183815430201286E-4</v>
      </c>
      <c r="M279" s="8">
        <f t="shared" ca="1" si="231"/>
        <v>1.5042710862004074E-4</v>
      </c>
      <c r="N279" s="8">
        <f t="shared" ca="1" si="231"/>
        <v>1.8423651486306248E-4</v>
      </c>
      <c r="O279" s="8">
        <f t="shared" ca="1" si="231"/>
        <v>2.203313420037582E-4</v>
      </c>
      <c r="P279" s="8">
        <f t="shared" ca="1" si="231"/>
        <v>2.5941267979692821E-4</v>
      </c>
      <c r="Q279" s="8">
        <f t="shared" ca="1" si="231"/>
        <v>3.0257722609270055E-4</v>
      </c>
      <c r="R279" s="10">
        <f t="shared" ca="1" si="231"/>
        <v>3.519404230445128E-4</v>
      </c>
      <c r="S279" s="10">
        <f t="shared" ca="1" si="231"/>
        <v>3.918499395866672E-4</v>
      </c>
      <c r="T279" s="10">
        <f t="shared" ca="1" si="231"/>
        <v>4.0647630001787379E-4</v>
      </c>
      <c r="U279" s="10">
        <f t="shared" ca="1" si="231"/>
        <v>3.9735460351848377E-4</v>
      </c>
      <c r="V279" s="10">
        <f t="shared" ca="1" si="231"/>
        <v>3.6439455839070242E-4</v>
      </c>
      <c r="W279" s="10">
        <f t="shared" ca="1" si="231"/>
        <v>3.0587814618275496E-4</v>
      </c>
      <c r="X279" s="8">
        <f t="shared" ca="1" si="231"/>
        <v>2.3744477333084642E-4</v>
      </c>
      <c r="Y279" s="8">
        <f t="shared" ca="1" si="231"/>
        <v>1.7454427152250931E-4</v>
      </c>
      <c r="Z279" s="8">
        <f t="shared" ca="1" si="231"/>
        <v>1.1484005315848372E-4</v>
      </c>
      <c r="AA279" s="8">
        <f t="shared" ca="1" si="231"/>
        <v>5.6987637764946026E-5</v>
      </c>
      <c r="AB279" s="9">
        <f t="shared" ca="1" si="231"/>
        <v>0</v>
      </c>
    </row>
    <row r="280" spans="5:28" x14ac:dyDescent="0.25">
      <c r="E280" s="2">
        <f t="shared" si="209"/>
        <v>1.8000000000000005</v>
      </c>
      <c r="H280" s="9">
        <f t="shared" ref="H280:AB280" ca="1" si="232" xml:space="preserve"> (H80+G79+H78+I79-4*H79)/delta^2</f>
        <v>0</v>
      </c>
      <c r="I280" s="8">
        <f t="shared" ca="1" si="232"/>
        <v>3.024315902977662E-5</v>
      </c>
      <c r="J280" s="8">
        <f t="shared" ca="1" si="232"/>
        <v>6.0872342437165425E-5</v>
      </c>
      <c r="K280" s="8">
        <f t="shared" ca="1" si="232"/>
        <v>9.2290034987491161E-5</v>
      </c>
      <c r="L280" s="8">
        <f t="shared" ca="1" si="232"/>
        <v>1.2493373268761902E-4</v>
      </c>
      <c r="M280" s="8">
        <f t="shared" ca="1" si="232"/>
        <v>1.5929947338889761E-4</v>
      </c>
      <c r="N280" s="8">
        <f t="shared" ca="1" si="232"/>
        <v>1.9597533471900762E-4</v>
      </c>
      <c r="O280" s="8">
        <f t="shared" ca="1" si="232"/>
        <v>2.356945353985972E-4</v>
      </c>
      <c r="P280" s="8">
        <f t="shared" ca="1" si="232"/>
        <v>2.7942720580343853E-4</v>
      </c>
      <c r="Q280" s="8">
        <f t="shared" ca="1" si="232"/>
        <v>3.2854521419152229E-4</v>
      </c>
      <c r="R280" s="10">
        <f t="shared" ca="1" si="232"/>
        <v>3.8509665328240026E-4</v>
      </c>
      <c r="S280" s="10">
        <f t="shared" ca="1" si="232"/>
        <v>4.3125935783224205E-4</v>
      </c>
      <c r="T280" s="10">
        <f t="shared" ca="1" si="232"/>
        <v>4.4896165068927265E-4</v>
      </c>
      <c r="U280" s="10">
        <f t="shared" ca="1" si="232"/>
        <v>4.3945973141343634E-4</v>
      </c>
      <c r="V280" s="10">
        <f t="shared" ca="1" si="232"/>
        <v>4.0264509493542652E-4</v>
      </c>
      <c r="W280" s="10">
        <f t="shared" ca="1" si="232"/>
        <v>3.3704077649187165E-4</v>
      </c>
      <c r="X280" s="8">
        <f t="shared" ca="1" si="232"/>
        <v>2.6048611161546908E-4</v>
      </c>
      <c r="Y280" s="8">
        <f t="shared" ca="1" si="232"/>
        <v>1.9055052944402575E-4</v>
      </c>
      <c r="Z280" s="8">
        <f t="shared" ca="1" si="232"/>
        <v>1.249020857646977E-4</v>
      </c>
      <c r="AA280" s="8">
        <f t="shared" ca="1" si="232"/>
        <v>6.1839921381928262E-5</v>
      </c>
      <c r="AB280" s="9">
        <f t="shared" ca="1" si="232"/>
        <v>0</v>
      </c>
    </row>
    <row r="281" spans="5:28" x14ac:dyDescent="0.25">
      <c r="E281" s="2">
        <f t="shared" si="209"/>
        <v>1.7000000000000004</v>
      </c>
      <c r="H281" s="9">
        <f t="shared" ref="H281:AB281" ca="1" si="233" xml:space="preserve"> (H81+G80+H79+I80-4*H80)/delta^2</f>
        <v>0</v>
      </c>
      <c r="I281" s="8">
        <f t="shared" ca="1" si="233"/>
        <v>3.1290556194026681E-5</v>
      </c>
      <c r="J281" s="8">
        <f t="shared" ca="1" si="233"/>
        <v>6.302824392208409E-5</v>
      </c>
      <c r="K281" s="8">
        <f t="shared" ca="1" si="233"/>
        <v>9.5681555945621361E-5</v>
      </c>
      <c r="L281" s="8">
        <f t="shared" ca="1" si="233"/>
        <v>1.2976387935396686E-4</v>
      </c>
      <c r="M281" s="8">
        <f t="shared" ca="1" si="233"/>
        <v>1.6586171752889327E-4</v>
      </c>
      <c r="N281" s="8">
        <f t="shared" ca="1" si="233"/>
        <v>2.0467081522545689E-4</v>
      </c>
      <c r="O281" s="8">
        <f t="shared" ca="1" si="233"/>
        <v>2.4704425906820073E-4</v>
      </c>
      <c r="P281" s="8">
        <f t="shared" ca="1" si="233"/>
        <v>2.9405639382672812E-4</v>
      </c>
      <c r="Q281" s="8">
        <f t="shared" ca="1" si="233"/>
        <v>3.470797715875498E-4</v>
      </c>
      <c r="R281" s="10">
        <f t="shared" ca="1" si="233"/>
        <v>4.0784161806128367E-4</v>
      </c>
      <c r="S281" s="10">
        <f t="shared" ca="1" si="233"/>
        <v>4.5752918777066168E-4</v>
      </c>
      <c r="T281" s="10">
        <f t="shared" ca="1" si="233"/>
        <v>4.7705121349355566E-4</v>
      </c>
      <c r="U281" s="10">
        <f t="shared" ca="1" si="233"/>
        <v>4.6727757651053093E-4</v>
      </c>
      <c r="V281" s="10">
        <f t="shared" ca="1" si="233"/>
        <v>4.2808531344566941E-4</v>
      </c>
      <c r="W281" s="10">
        <f t="shared" ca="1" si="233"/>
        <v>3.5835375323384466E-4</v>
      </c>
      <c r="X281" s="8">
        <f t="shared" ca="1" si="233"/>
        <v>2.7690836719512167E-4</v>
      </c>
      <c r="Y281" s="8">
        <f t="shared" ca="1" si="233"/>
        <v>2.0226964887339708E-4</v>
      </c>
      <c r="Z281" s="8">
        <f t="shared" ca="1" si="233"/>
        <v>1.3237783907435038E-4</v>
      </c>
      <c r="AA281" s="8">
        <f t="shared" ca="1" si="233"/>
        <v>6.5469961998072029E-5</v>
      </c>
      <c r="AB281" s="9">
        <f t="shared" ca="1" si="233"/>
        <v>0</v>
      </c>
    </row>
    <row r="282" spans="5:28" x14ac:dyDescent="0.25">
      <c r="E282" s="2">
        <f t="shared" si="209"/>
        <v>1.6000000000000003</v>
      </c>
      <c r="H282" s="9">
        <f t="shared" ref="H282:AB282" ca="1" si="234" xml:space="preserve"> (H82+G81+H80+I81-4*H81)/delta^2</f>
        <v>0</v>
      </c>
      <c r="I282" s="8">
        <f t="shared" ca="1" si="234"/>
        <v>3.1890821824250757E-5</v>
      </c>
      <c r="J282" s="8">
        <f t="shared" ca="1" si="234"/>
        <v>6.4268521111526288E-5</v>
      </c>
      <c r="K282" s="8">
        <f t="shared" ca="1" si="234"/>
        <v>9.764406551894738E-5</v>
      </c>
      <c r="L282" s="8">
        <f t="shared" ca="1" si="234"/>
        <v>1.325785112537284E-4</v>
      </c>
      <c r="M282" s="8">
        <f t="shared" ca="1" si="234"/>
        <v>1.6971270214728151E-4</v>
      </c>
      <c r="N282" s="8">
        <f t="shared" ca="1" si="234"/>
        <v>2.0980194958572588E-4</v>
      </c>
      <c r="O282" s="8">
        <f t="shared" ca="1" si="234"/>
        <v>2.5375529182199906E-4</v>
      </c>
      <c r="P282" s="8">
        <f t="shared" ca="1" si="234"/>
        <v>3.0267433884771259E-4</v>
      </c>
      <c r="Q282" s="8">
        <f t="shared" ca="1" si="234"/>
        <v>3.578758602706922E-4</v>
      </c>
      <c r="R282" s="10">
        <f t="shared" ca="1" si="234"/>
        <v>4.2086085960455313E-4</v>
      </c>
      <c r="S282" s="10">
        <f t="shared" ca="1" si="234"/>
        <v>4.7236456169552838E-4</v>
      </c>
      <c r="T282" s="10">
        <f t="shared" ca="1" si="234"/>
        <v>4.928364390037746E-4</v>
      </c>
      <c r="U282" s="10">
        <f t="shared" ca="1" si="234"/>
        <v>4.8291404768947409E-4</v>
      </c>
      <c r="V282" s="10">
        <f t="shared" ca="1" si="234"/>
        <v>4.4246482910288742E-4</v>
      </c>
      <c r="W282" s="10">
        <f t="shared" ca="1" si="234"/>
        <v>3.7058055580274071E-4</v>
      </c>
      <c r="X282" s="8">
        <f t="shared" ca="1" si="234"/>
        <v>2.8652395505777858E-4</v>
      </c>
      <c r="Y282" s="8">
        <f t="shared" ca="1" si="234"/>
        <v>2.0924185978008506E-4</v>
      </c>
      <c r="Z282" s="8">
        <f t="shared" ca="1" si="234"/>
        <v>1.3686965966123877E-4</v>
      </c>
      <c r="AA282" s="8">
        <f t="shared" ca="1" si="234"/>
        <v>6.7662087535995925E-5</v>
      </c>
      <c r="AB282" s="9">
        <f t="shared" ca="1" si="234"/>
        <v>0</v>
      </c>
    </row>
    <row r="283" spans="5:28" x14ac:dyDescent="0.25">
      <c r="E283" s="2">
        <f t="shared" si="209"/>
        <v>1.5000000000000002</v>
      </c>
      <c r="H283" s="9">
        <f t="shared" ref="H283:AB283" ca="1" si="235" xml:space="preserve"> (H83+G82+H81+I82-4*H82)/delta^2</f>
        <v>0</v>
      </c>
      <c r="I283" s="8">
        <f t="shared" ca="1" si="235"/>
        <v>3.2004209991450058E-5</v>
      </c>
      <c r="J283" s="8">
        <f t="shared" ca="1" si="235"/>
        <v>6.4510953180810734E-5</v>
      </c>
      <c r="K283" s="8">
        <f t="shared" ca="1" si="235"/>
        <v>9.8047673764922941E-5</v>
      </c>
      <c r="L283" s="8">
        <f t="shared" ca="1" si="235"/>
        <v>1.3319339799470974E-4</v>
      </c>
      <c r="M283" s="8">
        <f t="shared" ca="1" si="235"/>
        <v>1.706086302207866E-4</v>
      </c>
      <c r="N283" s="8">
        <f t="shared" ca="1" si="235"/>
        <v>2.1106898914816612E-4</v>
      </c>
      <c r="O283" s="8">
        <f t="shared" ca="1" si="235"/>
        <v>2.555006197863733E-4</v>
      </c>
      <c r="P283" s="8">
        <f t="shared" ca="1" si="235"/>
        <v>3.0500980947143641E-4</v>
      </c>
      <c r="Q283" s="8">
        <f t="shared" ca="1" si="235"/>
        <v>3.6088847104295867E-4</v>
      </c>
      <c r="R283" s="10">
        <f t="shared" ca="1" si="235"/>
        <v>4.2456139839066817E-4</v>
      </c>
      <c r="S283" s="10">
        <f t="shared" ca="1" si="235"/>
        <v>4.7663176040317384E-4</v>
      </c>
      <c r="T283" s="10">
        <f t="shared" ca="1" si="235"/>
        <v>4.9741593313650326E-4</v>
      </c>
      <c r="U283" s="10">
        <f t="shared" ca="1" si="235"/>
        <v>4.8747734614073689E-4</v>
      </c>
      <c r="V283" s="10">
        <f t="shared" ca="1" si="235"/>
        <v>4.4667939947365561E-4</v>
      </c>
      <c r="W283" s="10">
        <f t="shared" ca="1" si="235"/>
        <v>3.7417968581644989E-4</v>
      </c>
      <c r="X283" s="8">
        <f t="shared" ca="1" si="235"/>
        <v>2.8936503745319672E-4</v>
      </c>
      <c r="Y283" s="8">
        <f t="shared" ca="1" si="235"/>
        <v>2.1130417552793669E-4</v>
      </c>
      <c r="Z283" s="8">
        <f t="shared" ca="1" si="235"/>
        <v>1.3819685225452912E-4</v>
      </c>
      <c r="AA283" s="8">
        <f t="shared" ca="1" si="235"/>
        <v>6.8308728484670194E-5</v>
      </c>
      <c r="AB283" s="9">
        <f t="shared" ca="1" si="235"/>
        <v>0</v>
      </c>
    </row>
    <row r="284" spans="5:28" x14ac:dyDescent="0.25">
      <c r="E284" s="2">
        <f t="shared" si="209"/>
        <v>1.4000000000000001</v>
      </c>
      <c r="H284" s="9">
        <f t="shared" ref="H284:AB284" ca="1" si="236" xml:space="preserve"> (H84+G83+H82+I83-4*H83)/delta^2</f>
        <v>0</v>
      </c>
      <c r="I284" s="8">
        <f t="shared" ca="1" si="236"/>
        <v>3.1615064960736031E-5</v>
      </c>
      <c r="J284" s="8">
        <f t="shared" ca="1" si="236"/>
        <v>6.3723407855345688E-5</v>
      </c>
      <c r="K284" s="8">
        <f t="shared" ca="1" si="236"/>
        <v>9.6842278365222547E-5</v>
      </c>
      <c r="L284" s="8">
        <f t="shared" ca="1" si="236"/>
        <v>1.3153877673939831E-4</v>
      </c>
      <c r="M284" s="8">
        <f t="shared" ca="1" si="236"/>
        <v>1.684594315930134E-4</v>
      </c>
      <c r="N284" s="8">
        <f t="shared" ca="1" si="236"/>
        <v>2.0836475699978417E-4</v>
      </c>
      <c r="O284" s="8">
        <f t="shared" ca="1" si="236"/>
        <v>2.5216838870387534E-4</v>
      </c>
      <c r="P284" s="8">
        <f t="shared" ca="1" si="236"/>
        <v>3.0097580820872275E-4</v>
      </c>
      <c r="Q284" s="8">
        <f t="shared" ca="1" si="236"/>
        <v>3.5610681603904869E-4</v>
      </c>
      <c r="R284" s="10">
        <f t="shared" ca="1" si="236"/>
        <v>4.1906450251197401E-4</v>
      </c>
      <c r="S284" s="10">
        <f t="shared" ca="1" si="236"/>
        <v>4.7058514838999651E-4</v>
      </c>
      <c r="T284" s="10">
        <f t="shared" ca="1" si="236"/>
        <v>4.9111818699834489E-4</v>
      </c>
      <c r="U284" s="10">
        <f t="shared" ca="1" si="236"/>
        <v>4.8130000426329386E-4</v>
      </c>
      <c r="V284" s="10">
        <f t="shared" ca="1" si="236"/>
        <v>4.4099573683453839E-4</v>
      </c>
      <c r="W284" s="10">
        <f t="shared" ca="1" si="236"/>
        <v>3.692937505362205E-4</v>
      </c>
      <c r="X284" s="8">
        <f t="shared" ca="1" si="236"/>
        <v>2.8545233341062442E-4</v>
      </c>
      <c r="Y284" s="8">
        <f t="shared" ca="1" si="236"/>
        <v>2.0841295262393592E-4</v>
      </c>
      <c r="Z284" s="8">
        <f t="shared" ca="1" si="236"/>
        <v>1.3630484534427487E-4</v>
      </c>
      <c r="AA284" s="8">
        <f t="shared" ca="1" si="236"/>
        <v>6.7375974148150313E-5</v>
      </c>
      <c r="AB284" s="9">
        <f t="shared" ca="1" si="236"/>
        <v>0</v>
      </c>
    </row>
    <row r="285" spans="5:28" x14ac:dyDescent="0.25">
      <c r="E285" s="2">
        <f t="shared" si="209"/>
        <v>1.3</v>
      </c>
      <c r="H285" s="9">
        <f t="shared" ref="H285:AB285" ca="1" si="237" xml:space="preserve"> (H85+G84+H83+I84-4*H84)/delta^2</f>
        <v>0</v>
      </c>
      <c r="I285" s="8">
        <f t="shared" ca="1" si="237"/>
        <v>3.0732641996147023E-5</v>
      </c>
      <c r="J285" s="8">
        <f t="shared" ca="1" si="237"/>
        <v>6.1925334914622932E-5</v>
      </c>
      <c r="K285" s="8">
        <f t="shared" ca="1" si="237"/>
        <v>9.4059255101221887E-5</v>
      </c>
      <c r="L285" s="8">
        <f t="shared" ca="1" si="237"/>
        <v>1.2765999900464755E-4</v>
      </c>
      <c r="M285" s="8">
        <f t="shared" ca="1" si="237"/>
        <v>1.6332556241207909E-4</v>
      </c>
      <c r="N285" s="8">
        <f t="shared" ca="1" si="237"/>
        <v>2.0176221855410347E-4</v>
      </c>
      <c r="O285" s="8">
        <f t="shared" ca="1" si="237"/>
        <v>2.4383236982061573E-4</v>
      </c>
      <c r="P285" s="8">
        <f t="shared" ca="1" si="237"/>
        <v>2.9061821862050888E-4</v>
      </c>
      <c r="Q285" s="8">
        <f t="shared" ca="1" si="237"/>
        <v>3.4349848239256098E-4</v>
      </c>
      <c r="R285" s="10">
        <f t="shared" ca="1" si="237"/>
        <v>4.0420464722821305E-4</v>
      </c>
      <c r="S285" s="10">
        <f t="shared" ca="1" si="237"/>
        <v>4.5392614364648338E-4</v>
      </c>
      <c r="T285" s="10">
        <f t="shared" ca="1" si="237"/>
        <v>4.7357166220360315E-4</v>
      </c>
      <c r="U285" s="10">
        <f t="shared" ca="1" si="237"/>
        <v>4.6400874707955622E-4</v>
      </c>
      <c r="V285" s="10">
        <f t="shared" ca="1" si="237"/>
        <v>4.2510979306498999E-4</v>
      </c>
      <c r="W285" s="10">
        <f t="shared" ca="1" si="237"/>
        <v>3.5574724608327784E-4</v>
      </c>
      <c r="X285" s="8">
        <f t="shared" ca="1" si="237"/>
        <v>2.7473759302912287E-4</v>
      </c>
      <c r="Y285" s="8">
        <f t="shared" ca="1" si="237"/>
        <v>2.0059045621292391E-4</v>
      </c>
      <c r="Z285" s="8">
        <f t="shared" ca="1" si="237"/>
        <v>1.3123360235047603E-4</v>
      </c>
      <c r="AA285" s="8">
        <f t="shared" ca="1" si="237"/>
        <v>6.4890322763656185E-5</v>
      </c>
      <c r="AB285" s="9">
        <f t="shared" ca="1" si="237"/>
        <v>0</v>
      </c>
    </row>
    <row r="286" spans="5:28" x14ac:dyDescent="0.25">
      <c r="E286" s="2">
        <f t="shared" si="209"/>
        <v>1.2</v>
      </c>
      <c r="H286" s="9">
        <f t="shared" ref="H286:AB286" ca="1" si="238" xml:space="preserve"> (H86+G85+H84+I85-4*H85)/delta^2</f>
        <v>0</v>
      </c>
      <c r="I286" s="8">
        <f t="shared" ca="1" si="238"/>
        <v>2.9390168109227773E-5</v>
      </c>
      <c r="J286" s="8">
        <f t="shared" ca="1" si="238"/>
        <v>5.9186034705771039E-5</v>
      </c>
      <c r="K286" s="8">
        <f t="shared" ca="1" si="238"/>
        <v>8.9809408120397212E-5</v>
      </c>
      <c r="L286" s="8">
        <f t="shared" ca="1" si="238"/>
        <v>1.2171640176589094E-4</v>
      </c>
      <c r="M286" s="8">
        <f t="shared" ca="1" si="238"/>
        <v>1.5542060049655737E-4</v>
      </c>
      <c r="N286" s="8">
        <f t="shared" ca="1" si="238"/>
        <v>1.9152618498392943E-4</v>
      </c>
      <c r="O286" s="8">
        <f t="shared" ca="1" si="238"/>
        <v>2.3078065340395359E-4</v>
      </c>
      <c r="P286" s="8">
        <f t="shared" ca="1" si="238"/>
        <v>2.7416621406015773E-4</v>
      </c>
      <c r="Q286" s="8">
        <f t="shared" ca="1" si="238"/>
        <v>3.2306424768246245E-4</v>
      </c>
      <c r="R286" s="10">
        <f t="shared" ca="1" si="238"/>
        <v>3.7952946036185316E-4</v>
      </c>
      <c r="S286" s="10">
        <f t="shared" ca="1" si="238"/>
        <v>4.2574311676409472E-4</v>
      </c>
      <c r="T286" s="10">
        <f t="shared" ca="1" si="238"/>
        <v>4.4363357109006155E-4</v>
      </c>
      <c r="U286" s="10">
        <f t="shared" ca="1" si="238"/>
        <v>4.3445352878632799E-4</v>
      </c>
      <c r="V286" s="10">
        <f t="shared" ca="1" si="238"/>
        <v>3.9808744226256689E-4</v>
      </c>
      <c r="W286" s="10">
        <f t="shared" ca="1" si="238"/>
        <v>3.3304784770278654E-4</v>
      </c>
      <c r="X286" s="8">
        <f t="shared" ca="1" si="238"/>
        <v>2.5716033640966264E-4</v>
      </c>
      <c r="Y286" s="8">
        <f t="shared" ca="1" si="238"/>
        <v>1.8797767684815538E-4</v>
      </c>
      <c r="Z286" s="8">
        <f t="shared" ca="1" si="238"/>
        <v>1.2314878508105592E-4</v>
      </c>
      <c r="AA286" s="8">
        <f t="shared" ca="1" si="238"/>
        <v>6.0951714555997047E-5</v>
      </c>
      <c r="AB286" s="9">
        <f t="shared" ca="1" si="238"/>
        <v>0</v>
      </c>
    </row>
    <row r="287" spans="5:28" x14ac:dyDescent="0.25">
      <c r="E287" s="2">
        <f t="shared" si="209"/>
        <v>1.0999999999999999</v>
      </c>
      <c r="H287" s="9">
        <f t="shared" ref="H287:AB287" ca="1" si="239" xml:space="preserve"> (H87+G86+H85+I86-4*H86)/delta^2</f>
        <v>0</v>
      </c>
      <c r="I287" s="8">
        <f t="shared" ca="1" si="239"/>
        <v>2.7641995734988964E-5</v>
      </c>
      <c r="J287" s="8">
        <f t="shared" ca="1" si="239"/>
        <v>5.561922767884031E-5</v>
      </c>
      <c r="K287" s="8">
        <f t="shared" ca="1" si="239"/>
        <v>8.4275940908704969E-5</v>
      </c>
      <c r="L287" s="8">
        <f t="shared" ca="1" si="239"/>
        <v>1.1397559944195893E-4</v>
      </c>
      <c r="M287" s="8">
        <f t="shared" ca="1" si="239"/>
        <v>1.451142528243219E-4</v>
      </c>
      <c r="N287" s="8">
        <f t="shared" ca="1" si="239"/>
        <v>1.7814126748111681E-4</v>
      </c>
      <c r="O287" s="8">
        <f t="shared" ca="1" si="239"/>
        <v>2.1359784475110608E-4</v>
      </c>
      <c r="P287" s="8">
        <f t="shared" ca="1" si="239"/>
        <v>2.5220173653372227E-4</v>
      </c>
      <c r="Q287" s="8">
        <f t="shared" ca="1" si="239"/>
        <v>2.9506283391526168E-4</v>
      </c>
      <c r="R287" s="10">
        <f t="shared" ca="1" si="239"/>
        <v>3.4430582977266181E-4</v>
      </c>
      <c r="S287" s="10">
        <f t="shared" ca="1" si="239"/>
        <v>3.8428329195798727E-4</v>
      </c>
      <c r="T287" s="10">
        <f t="shared" ca="1" si="239"/>
        <v>3.9916597660620508E-4</v>
      </c>
      <c r="U287" s="10">
        <f t="shared" ca="1" si="239"/>
        <v>3.9048435471311752E-4</v>
      </c>
      <c r="V287" s="10">
        <f t="shared" ca="1" si="239"/>
        <v>3.5813859949619637E-4</v>
      </c>
      <c r="W287" s="10">
        <f t="shared" ca="1" si="239"/>
        <v>3.0039636605561489E-4</v>
      </c>
      <c r="X287" s="8">
        <f t="shared" ca="1" si="239"/>
        <v>2.3287822805860477E-4</v>
      </c>
      <c r="Y287" s="8">
        <f t="shared" ca="1" si="239"/>
        <v>1.7101112968899258E-4</v>
      </c>
      <c r="Z287" s="8">
        <f t="shared" ca="1" si="239"/>
        <v>1.1243214656958845E-4</v>
      </c>
      <c r="AA287" s="8">
        <f t="shared" ca="1" si="239"/>
        <v>5.5767750379280152E-5</v>
      </c>
      <c r="AB287" s="9">
        <f t="shared" ca="1" si="239"/>
        <v>0</v>
      </c>
    </row>
    <row r="288" spans="5:28" x14ac:dyDescent="0.25">
      <c r="E288" s="2">
        <f t="shared" si="209"/>
        <v>0.99999999999999989</v>
      </c>
      <c r="H288" s="9">
        <f t="shared" ref="H288:AB288" ca="1" si="240" xml:space="preserve"> (H88+G87+H86+I87-4*H87)/delta^2</f>
        <v>0</v>
      </c>
      <c r="I288" s="8">
        <f t="shared" ca="1" si="240"/>
        <v>2.5558587151887777E-5</v>
      </c>
      <c r="J288" s="8">
        <f t="shared" ca="1" si="240"/>
        <v>5.1372939365898315E-5</v>
      </c>
      <c r="K288" s="8">
        <f t="shared" ca="1" si="240"/>
        <v>7.7699528393628835E-5</v>
      </c>
      <c r="L288" s="8">
        <f t="shared" ca="1" si="240"/>
        <v>1.0479580226892876E-4</v>
      </c>
      <c r="M288" s="8">
        <f t="shared" ca="1" si="240"/>
        <v>1.329195438776599E-4</v>
      </c>
      <c r="N288" s="8">
        <f t="shared" ca="1" si="240"/>
        <v>1.6232678736513418E-4</v>
      </c>
      <c r="O288" s="8">
        <f t="shared" ca="1" si="240"/>
        <v>1.9326772158563714E-4</v>
      </c>
      <c r="P288" s="8">
        <f t="shared" ca="1" si="240"/>
        <v>2.2598005340839612E-4</v>
      </c>
      <c r="Q288" s="8">
        <f t="shared" ca="1" si="240"/>
        <v>2.6067952167216764E-4</v>
      </c>
      <c r="R288" s="10">
        <f t="shared" ca="1" si="240"/>
        <v>2.9754773285556459E-4</v>
      </c>
      <c r="S288" s="10">
        <f t="shared" ca="1" si="240"/>
        <v>3.2631824468899918E-4</v>
      </c>
      <c r="T288" s="10">
        <f t="shared" ca="1" si="240"/>
        <v>3.3666268866364943E-4</v>
      </c>
      <c r="U288" s="10">
        <f t="shared" ca="1" si="240"/>
        <v>3.2857931396374152E-4</v>
      </c>
      <c r="V288" s="10">
        <f t="shared" ca="1" si="240"/>
        <v>3.0198623495350882E-4</v>
      </c>
      <c r="W288" s="10">
        <f t="shared" ca="1" si="240"/>
        <v>2.567207889648669E-4</v>
      </c>
      <c r="X288" s="8">
        <f t="shared" ca="1" si="240"/>
        <v>2.0294508008013006E-4</v>
      </c>
      <c r="Y288" s="8">
        <f t="shared" ca="1" si="240"/>
        <v>1.5075646727960544E-4</v>
      </c>
      <c r="Z288" s="8">
        <f t="shared" ca="1" si="240"/>
        <v>9.9800921129027898E-5</v>
      </c>
      <c r="AA288" s="8">
        <f t="shared" ca="1" si="240"/>
        <v>4.9687140391541214E-5</v>
      </c>
      <c r="AB288" s="9">
        <f t="shared" ca="1" si="240"/>
        <v>0</v>
      </c>
    </row>
    <row r="289" spans="5:28" x14ac:dyDescent="0.25">
      <c r="E289" s="2">
        <f t="shared" si="209"/>
        <v>0.89999999999999991</v>
      </c>
      <c r="H289" s="9">
        <f t="shared" ref="H289:AB289" ca="1" si="241" xml:space="preserve"> (H89+G88+H87+I88-4*H88)/delta^2</f>
        <v>0</v>
      </c>
      <c r="I289" s="8">
        <f t="shared" ca="1" si="241"/>
        <v>2.3219413506661792E-5</v>
      </c>
      <c r="J289" s="8">
        <f t="shared" ca="1" si="241"/>
        <v>4.6614414239243105E-5</v>
      </c>
      <c r="K289" s="8">
        <f t="shared" ca="1" si="241"/>
        <v>7.0353431030976518E-5</v>
      </c>
      <c r="L289" s="8">
        <f t="shared" ca="1" si="241"/>
        <v>9.4588537362467386E-5</v>
      </c>
      <c r="M289" s="8">
        <f t="shared" ca="1" si="241"/>
        <v>1.1944133305224664E-4</v>
      </c>
      <c r="N289" s="8">
        <f t="shared" ca="1" si="241"/>
        <v>1.4497861651611475E-4</v>
      </c>
      <c r="O289" s="8">
        <f t="shared" ca="1" si="241"/>
        <v>1.711662008179067E-4</v>
      </c>
      <c r="P289" s="8">
        <f t="shared" ca="1" si="241"/>
        <v>1.9777123384203036E-4</v>
      </c>
      <c r="Q289" s="8">
        <f t="shared" ca="1" si="241"/>
        <v>2.2412746650945901E-4</v>
      </c>
      <c r="R289" s="8">
        <f t="shared" ca="1" si="241"/>
        <v>2.4848733528841778E-4</v>
      </c>
      <c r="S289" s="8">
        <f t="shared" ca="1" si="241"/>
        <v>2.6597926527879861E-4</v>
      </c>
      <c r="T289" s="8">
        <f t="shared" ca="1" si="241"/>
        <v>2.7178721939564971E-4</v>
      </c>
      <c r="U289" s="8">
        <f t="shared" ca="1" si="241"/>
        <v>2.6438397752469349E-4</v>
      </c>
      <c r="V289" s="8">
        <f t="shared" ca="1" si="241"/>
        <v>2.4370623738922823E-4</v>
      </c>
      <c r="W289" s="8">
        <f t="shared" ca="1" si="241"/>
        <v>2.1115547477022631E-4</v>
      </c>
      <c r="X289" s="8">
        <f t="shared" ca="1" si="241"/>
        <v>1.7142483601744577E-4</v>
      </c>
      <c r="Y289" s="8">
        <f t="shared" ca="1" si="241"/>
        <v>1.2926873822028477E-4</v>
      </c>
      <c r="Z289" s="8">
        <f t="shared" ca="1" si="241"/>
        <v>8.6327930275378501E-5</v>
      </c>
      <c r="AA289" s="8">
        <f t="shared" ca="1" si="241"/>
        <v>4.3179890057852732E-5</v>
      </c>
      <c r="AB289" s="9">
        <f t="shared" ca="1" si="241"/>
        <v>0</v>
      </c>
    </row>
    <row r="290" spans="5:28" x14ac:dyDescent="0.25">
      <c r="E290" s="2">
        <f t="shared" si="209"/>
        <v>0.79999999999999993</v>
      </c>
      <c r="H290" s="9">
        <f t="shared" ref="H290:AB290" ca="1" si="242" xml:space="preserve"> (H90+G89+H88+I89-4*H89)/delta^2</f>
        <v>0</v>
      </c>
      <c r="I290" s="8">
        <f t="shared" ca="1" si="242"/>
        <v>2.0704652635513578E-5</v>
      </c>
      <c r="J290" s="8">
        <f t="shared" ca="1" si="242"/>
        <v>4.1511873053431724E-5</v>
      </c>
      <c r="K290" s="8">
        <f t="shared" ca="1" si="242"/>
        <v>6.2511244128572174E-5</v>
      </c>
      <c r="L290" s="8">
        <f t="shared" ca="1" si="242"/>
        <v>8.3763583097717603E-5</v>
      </c>
      <c r="M290" s="8">
        <f t="shared" ca="1" si="242"/>
        <v>1.052786344527364E-4</v>
      </c>
      <c r="N290" s="8">
        <f t="shared" ca="1" si="242"/>
        <v>1.2698014482917148E-4</v>
      </c>
      <c r="O290" s="8">
        <f t="shared" ca="1" si="242"/>
        <v>1.4864723132786083E-4</v>
      </c>
      <c r="P290" s="8">
        <f t="shared" ca="1" si="242"/>
        <v>1.6981121463237041E-4</v>
      </c>
      <c r="Q290" s="8">
        <f t="shared" ca="1" si="242"/>
        <v>1.8957177523523116E-4</v>
      </c>
      <c r="R290" s="8">
        <f t="shared" ca="1" si="242"/>
        <v>2.0629487650983809E-4</v>
      </c>
      <c r="S290" s="8">
        <f t="shared" ca="1" si="242"/>
        <v>2.1732426174212778E-4</v>
      </c>
      <c r="T290" s="8">
        <f t="shared" ca="1" si="242"/>
        <v>2.2012294611544646E-4</v>
      </c>
      <c r="U290" s="8">
        <f t="shared" ca="1" si="242"/>
        <v>2.1346313935016536E-4</v>
      </c>
      <c r="V290" s="8">
        <f t="shared" ca="1" si="242"/>
        <v>1.9729926230848432E-4</v>
      </c>
      <c r="W290" s="8">
        <f t="shared" ca="1" si="242"/>
        <v>1.7277003670937525E-4</v>
      </c>
      <c r="X290" s="8">
        <f t="shared" ca="1" si="242"/>
        <v>1.4233005099912566E-4</v>
      </c>
      <c r="Y290" s="8">
        <f t="shared" ca="1" si="242"/>
        <v>1.0856571930871481E-4</v>
      </c>
      <c r="Z290" s="8">
        <f t="shared" ca="1" si="242"/>
        <v>7.3062171694344532E-5</v>
      </c>
      <c r="AA290" s="8">
        <f t="shared" ca="1" si="242"/>
        <v>3.6704489564490536E-5</v>
      </c>
      <c r="AB290" s="9">
        <f t="shared" ca="1" si="242"/>
        <v>0</v>
      </c>
    </row>
    <row r="291" spans="5:28" x14ac:dyDescent="0.25">
      <c r="E291" s="2">
        <f t="shared" si="209"/>
        <v>0.7</v>
      </c>
      <c r="H291" s="9">
        <f t="shared" ref="H291:AB291" ca="1" si="243" xml:space="preserve"> (H91+G90+H89+I90-4*H90)/delta^2</f>
        <v>0</v>
      </c>
      <c r="I291" s="8">
        <f t="shared" ca="1" si="243"/>
        <v>1.8087323981962828E-5</v>
      </c>
      <c r="J291" s="8">
        <f t="shared" ca="1" si="243"/>
        <v>3.6217181210406166E-5</v>
      </c>
      <c r="K291" s="8">
        <f t="shared" ca="1" si="243"/>
        <v>5.4416089332153371E-5</v>
      </c>
      <c r="L291" s="8">
        <f t="shared" ca="1" si="243"/>
        <v>7.2675916447102564E-5</v>
      </c>
      <c r="M291" s="8">
        <f t="shared" ca="1" si="243"/>
        <v>9.0929476831812638E-5</v>
      </c>
      <c r="N291" s="8">
        <f t="shared" ca="1" si="243"/>
        <v>1.0901609701997663E-4</v>
      </c>
      <c r="O291" s="8">
        <f t="shared" ca="1" si="243"/>
        <v>1.2663136503199743E-4</v>
      </c>
      <c r="P291" s="8">
        <f t="shared" ca="1" si="243"/>
        <v>1.4325461812436199E-4</v>
      </c>
      <c r="Q291" s="8">
        <f t="shared" ca="1" si="243"/>
        <v>1.5805354328927065E-4</v>
      </c>
      <c r="R291" s="8">
        <f t="shared" ca="1" si="243"/>
        <v>1.6979613377358371E-4</v>
      </c>
      <c r="S291" s="8">
        <f t="shared" ca="1" si="243"/>
        <v>1.7689995906441987E-4</v>
      </c>
      <c r="T291" s="8">
        <f t="shared" ca="1" si="243"/>
        <v>1.7791716397385116E-4</v>
      </c>
      <c r="U291" s="8">
        <f t="shared" ca="1" si="243"/>
        <v>1.7204637145204805E-4</v>
      </c>
      <c r="V291" s="8">
        <f t="shared" ca="1" si="243"/>
        <v>1.5925763578517383E-4</v>
      </c>
      <c r="W291" s="8">
        <f t="shared" ca="1" si="243"/>
        <v>1.4029535875966195E-4</v>
      </c>
      <c r="X291" s="8">
        <f t="shared" ca="1" si="243"/>
        <v>1.1655961196096952E-4</v>
      </c>
      <c r="Y291" s="8">
        <f t="shared" ca="1" si="243"/>
        <v>8.9601916321105647E-5</v>
      </c>
      <c r="Z291" s="8">
        <f t="shared" ca="1" si="243"/>
        <v>6.0650547628798344E-5</v>
      </c>
      <c r="AA291" s="8">
        <f t="shared" ca="1" si="243"/>
        <v>3.05758965057703E-5</v>
      </c>
      <c r="AB291" s="9">
        <f t="shared" ca="1" si="243"/>
        <v>0</v>
      </c>
    </row>
    <row r="292" spans="5:28" x14ac:dyDescent="0.25">
      <c r="E292" s="2">
        <f t="shared" si="209"/>
        <v>0.6</v>
      </c>
      <c r="H292" s="9">
        <f t="shared" ref="H292:AB292" ca="1" si="244" xml:space="preserve"> (H92+G91+H90+I91-4*H91)/delta^2</f>
        <v>0</v>
      </c>
      <c r="I292" s="8">
        <f t="shared" ca="1" si="244"/>
        <v>1.5427462081931905E-5</v>
      </c>
      <c r="J292" s="8">
        <f t="shared" ca="1" si="244"/>
        <v>3.085343847407674E-5</v>
      </c>
      <c r="K292" s="8">
        <f t="shared" ca="1" si="244"/>
        <v>4.6260015542538015E-5</v>
      </c>
      <c r="L292" s="8">
        <f t="shared" ca="1" si="244"/>
        <v>6.159451652673342E-5</v>
      </c>
      <c r="M292" s="8">
        <f t="shared" ca="1" si="244"/>
        <v>7.6747259407429499E-5</v>
      </c>
      <c r="N292" s="8">
        <f t="shared" ca="1" si="244"/>
        <v>9.1523401386935866E-5</v>
      </c>
      <c r="O292" s="8">
        <f t="shared" ca="1" si="244"/>
        <v>1.0560751365579839E-4</v>
      </c>
      <c r="P292" s="8">
        <f t="shared" ca="1" si="244"/>
        <v>1.1852234954379593E-4</v>
      </c>
      <c r="Q292" s="8">
        <f t="shared" ca="1" si="244"/>
        <v>1.2959164602392202E-4</v>
      </c>
      <c r="R292" s="8">
        <f t="shared" ca="1" si="244"/>
        <v>1.3793615623078454E-4</v>
      </c>
      <c r="S292" s="8">
        <f t="shared" ca="1" si="244"/>
        <v>1.425622767681168E-4</v>
      </c>
      <c r="T292" s="8">
        <f t="shared" ca="1" si="244"/>
        <v>1.4259937926348483E-4</v>
      </c>
      <c r="U292" s="8">
        <f t="shared" ca="1" si="244"/>
        <v>1.3754754669899639E-4</v>
      </c>
      <c r="V292" s="8">
        <f t="shared" ca="1" si="244"/>
        <v>1.2738955062051454E-4</v>
      </c>
      <c r="W292" s="8">
        <f t="shared" ca="1" si="244"/>
        <v>1.1259415058311294E-4</v>
      </c>
      <c r="X292" s="8">
        <f t="shared" ca="1" si="244"/>
        <v>9.4011121763980793E-5</v>
      </c>
      <c r="Y292" s="8">
        <f t="shared" ca="1" si="244"/>
        <v>7.2631786385943955E-5</v>
      </c>
      <c r="Z292" s="8">
        <f t="shared" ca="1" si="244"/>
        <v>4.936220599397562E-5</v>
      </c>
      <c r="AA292" s="8">
        <f t="shared" ca="1" si="244"/>
        <v>2.4948548829791647E-5</v>
      </c>
      <c r="AB292" s="9">
        <f t="shared" ca="1" si="244"/>
        <v>0</v>
      </c>
    </row>
    <row r="293" spans="5:28" x14ac:dyDescent="0.25">
      <c r="E293" s="2">
        <f t="shared" si="209"/>
        <v>0.5</v>
      </c>
      <c r="H293" s="9">
        <f t="shared" ref="H293:AB293" ca="1" si="245" xml:space="preserve"> (H93+G92+H91+I92-4*H92)/delta^2</f>
        <v>0</v>
      </c>
      <c r="I293" s="8">
        <f t="shared" ca="1" si="245"/>
        <v>1.2769085871688731E-5</v>
      </c>
      <c r="J293" s="8">
        <f t="shared" ca="1" si="245"/>
        <v>2.5509095061431219E-5</v>
      </c>
      <c r="K293" s="8">
        <f t="shared" ca="1" si="245"/>
        <v>3.8176017837182416E-5</v>
      </c>
      <c r="L293" s="8">
        <f t="shared" ca="1" si="245"/>
        <v>5.0694874709864971E-5</v>
      </c>
      <c r="M293" s="8">
        <f t="shared" ca="1" si="245"/>
        <v>6.2941642884234718E-5</v>
      </c>
      <c r="N293" s="8">
        <f t="shared" ca="1" si="245"/>
        <v>7.4722735464533493E-5</v>
      </c>
      <c r="O293" s="8">
        <f t="shared" ca="1" si="245"/>
        <v>8.5752938660467077E-5</v>
      </c>
      <c r="P293" s="8">
        <f t="shared" ca="1" si="245"/>
        <v>9.5635620371104031E-5</v>
      </c>
      <c r="Q293" s="8">
        <f t="shared" ca="1" si="245"/>
        <v>1.038545350318424E-4</v>
      </c>
      <c r="R293" s="8">
        <f t="shared" ca="1" si="245"/>
        <v>1.0979456835752375E-4</v>
      </c>
      <c r="S293" s="8">
        <f t="shared" ca="1" si="245"/>
        <v>1.128136125137861E-4</v>
      </c>
      <c r="T293" s="8">
        <f t="shared" ca="1" si="245"/>
        <v>1.1237052961297225E-4</v>
      </c>
      <c r="U293" s="8">
        <f t="shared" ca="1" si="245"/>
        <v>1.0815488545992731E-4</v>
      </c>
      <c r="V293" s="8">
        <f t="shared" ca="1" si="245"/>
        <v>1.0015886941478043E-4</v>
      </c>
      <c r="W293" s="8">
        <f t="shared" ca="1" si="245"/>
        <v>8.8680571188286378E-5</v>
      </c>
      <c r="X293" s="8">
        <f t="shared" ca="1" si="245"/>
        <v>7.425893812590486E-5</v>
      </c>
      <c r="Y293" s="8">
        <f t="shared" ca="1" si="245"/>
        <v>5.7551901464708346E-5</v>
      </c>
      <c r="Z293" s="8">
        <f t="shared" ca="1" si="245"/>
        <v>3.9217941131365813E-5</v>
      </c>
      <c r="AA293" s="8">
        <f t="shared" ca="1" si="245"/>
        <v>1.9856092819421682E-5</v>
      </c>
      <c r="AB293" s="9">
        <f t="shared" ca="1" si="245"/>
        <v>0</v>
      </c>
    </row>
    <row r="294" spans="5:28" x14ac:dyDescent="0.25">
      <c r="E294" s="2">
        <f t="shared" si="209"/>
        <v>0.4</v>
      </c>
      <c r="H294" s="9">
        <f t="shared" ref="H294:AB294" ca="1" si="246" xml:space="preserve"> (H94+G93+H92+I93-4*H93)/delta^2</f>
        <v>0</v>
      </c>
      <c r="I294" s="8">
        <f t="shared" ca="1" si="246"/>
        <v>1.0139786343392477E-5</v>
      </c>
      <c r="J294" s="8">
        <f t="shared" ca="1" si="246"/>
        <v>2.0237838062777662E-5</v>
      </c>
      <c r="K294" s="8">
        <f t="shared" ca="1" si="246"/>
        <v>3.0240086034898175E-5</v>
      </c>
      <c r="L294" s="8">
        <f t="shared" ca="1" si="246"/>
        <v>4.0067321591309315E-5</v>
      </c>
      <c r="M294" s="8">
        <f t="shared" ca="1" si="246"/>
        <v>4.9601701955113632E-5</v>
      </c>
      <c r="N294" s="8">
        <f t="shared" ca="1" si="246"/>
        <v>5.867295892649631E-5</v>
      </c>
      <c r="O294" s="8">
        <f t="shared" ca="1" si="246"/>
        <v>6.7045885150436447E-5</v>
      </c>
      <c r="P294" s="8">
        <f t="shared" ca="1" si="246"/>
        <v>7.4412658248305288E-5</v>
      </c>
      <c r="Q294" s="8">
        <f t="shared" ca="1" si="246"/>
        <v>8.0396305374833311E-5</v>
      </c>
      <c r="R294" s="8">
        <f t="shared" ca="1" si="246"/>
        <v>8.4573969653673861E-5</v>
      </c>
      <c r="S294" s="8">
        <f t="shared" ca="1" si="246"/>
        <v>8.6527075316531623E-5</v>
      </c>
      <c r="T294" s="8">
        <f t="shared" ca="1" si="246"/>
        <v>8.5914241214696184E-5</v>
      </c>
      <c r="U294" s="8">
        <f t="shared" ca="1" si="246"/>
        <v>8.2542596112968337E-5</v>
      </c>
      <c r="V294" s="8">
        <f t="shared" ca="1" si="246"/>
        <v>7.6410470390386685E-5</v>
      </c>
      <c r="W294" s="8">
        <f t="shared" ca="1" si="246"/>
        <v>6.7710326629362175E-5</v>
      </c>
      <c r="X294" s="8">
        <f t="shared" ca="1" si="246"/>
        <v>5.6792158086639856E-5</v>
      </c>
      <c r="Y294" s="8">
        <f t="shared" ca="1" si="246"/>
        <v>4.4098940215624869E-5</v>
      </c>
      <c r="Z294" s="8">
        <f t="shared" ca="1" si="246"/>
        <v>3.0101564247357939E-5</v>
      </c>
      <c r="AA294" s="8">
        <f t="shared" ca="1" si="246"/>
        <v>1.5257881316529944E-5</v>
      </c>
      <c r="AB294" s="9">
        <f t="shared" ca="1" si="246"/>
        <v>0</v>
      </c>
    </row>
    <row r="295" spans="5:28" x14ac:dyDescent="0.25">
      <c r="E295" s="2">
        <f t="shared" si="209"/>
        <v>0.30000000000000004</v>
      </c>
      <c r="H295" s="9">
        <f t="shared" ref="H295:AB295" ca="1" si="247" xml:space="preserve"> (H95+G94+H93+I94-4*H94)/delta^2</f>
        <v>0</v>
      </c>
      <c r="I295" s="8">
        <f t="shared" ca="1" si="247"/>
        <v>7.5522214391036834E-6</v>
      </c>
      <c r="J295" s="8">
        <f t="shared" ca="1" si="247"/>
        <v>1.5062384811387083E-5</v>
      </c>
      <c r="K295" s="8">
        <f t="shared" ca="1" si="247"/>
        <v>2.2479166648321956E-5</v>
      </c>
      <c r="L295" s="8">
        <f t="shared" ca="1" si="247"/>
        <v>2.973262366536726E-5</v>
      </c>
      <c r="M295" s="8">
        <f t="shared" ca="1" si="247"/>
        <v>3.6724884418408751E-5</v>
      </c>
      <c r="N295" s="8">
        <f t="shared" ca="1" si="247"/>
        <v>4.3321513135903039E-5</v>
      </c>
      <c r="O295" s="8">
        <f t="shared" ca="1" si="247"/>
        <v>4.9344984766477118E-5</v>
      </c>
      <c r="P295" s="8">
        <f t="shared" ca="1" si="247"/>
        <v>5.4572822096852783E-5</v>
      </c>
      <c r="Q295" s="8">
        <f t="shared" ca="1" si="247"/>
        <v>5.8744058565504922E-5</v>
      </c>
      <c r="R295" s="8">
        <f t="shared" ca="1" si="247"/>
        <v>6.1577929565809455E-5</v>
      </c>
      <c r="S295" s="8">
        <f t="shared" ca="1" si="247"/>
        <v>6.2806477883981174E-5</v>
      </c>
      <c r="T295" s="8">
        <f t="shared" ca="1" si="247"/>
        <v>6.2216763816307094E-5</v>
      </c>
      <c r="U295" s="8">
        <f t="shared" ca="1" si="247"/>
        <v>5.9690787386879418E-5</v>
      </c>
      <c r="V295" s="8">
        <f t="shared" ca="1" si="247"/>
        <v>5.5230089404438508E-5</v>
      </c>
      <c r="W295" s="8">
        <f t="shared" ca="1" si="247"/>
        <v>4.895810685213579E-5</v>
      </c>
      <c r="X295" s="8">
        <f t="shared" ca="1" si="247"/>
        <v>4.1100427375666177E-5</v>
      </c>
      <c r="Y295" s="8">
        <f t="shared" ca="1" si="247"/>
        <v>3.1950137063794001E-5</v>
      </c>
      <c r="Z295" s="8">
        <f t="shared" ca="1" si="247"/>
        <v>2.183149432590978E-5</v>
      </c>
      <c r="AA295" s="8">
        <f t="shared" ca="1" si="247"/>
        <v>1.1073868199339141E-5</v>
      </c>
      <c r="AB295" s="9">
        <f t="shared" ca="1" si="247"/>
        <v>0</v>
      </c>
    </row>
    <row r="296" spans="5:28" x14ac:dyDescent="0.25">
      <c r="E296" s="2">
        <f t="shared" si="209"/>
        <v>0.2</v>
      </c>
      <c r="H296" s="9">
        <f t="shared" ref="H296:AB296" ca="1" si="248" xml:space="preserve"> (H96+G95+H94+I95-4*H95)/delta^2</f>
        <v>0</v>
      </c>
      <c r="I296" s="8">
        <f t="shared" ca="1" si="248"/>
        <v>5.0067146016343275E-6</v>
      </c>
      <c r="J296" s="8">
        <f t="shared" ca="1" si="248"/>
        <v>9.980313095344865E-6</v>
      </c>
      <c r="K296" s="8">
        <f t="shared" ca="1" si="248"/>
        <v>1.4881572081636991E-5</v>
      </c>
      <c r="L296" s="8">
        <f t="shared" ca="1" si="248"/>
        <v>1.9659122003427671E-5</v>
      </c>
      <c r="M296" s="8">
        <f t="shared" ca="1" si="248"/>
        <v>2.424369891725243E-5</v>
      </c>
      <c r="N296" s="8">
        <f t="shared" ca="1" si="248"/>
        <v>2.8543224432232003E-5</v>
      </c>
      <c r="O296" s="8">
        <f t="shared" ca="1" si="248"/>
        <v>3.2439718682716866E-5</v>
      </c>
      <c r="P296" s="8">
        <f t="shared" ca="1" si="248"/>
        <v>3.578958680712382E-5</v>
      </c>
      <c r="Q296" s="8">
        <f t="shared" ca="1" si="248"/>
        <v>3.8429177224526857E-5</v>
      </c>
      <c r="R296" s="8">
        <f t="shared" ca="1" si="248"/>
        <v>4.0187212160073804E-5</v>
      </c>
      <c r="S296" s="8">
        <f t="shared" ca="1" si="248"/>
        <v>4.0904142837261624E-5</v>
      </c>
      <c r="T296" s="8">
        <f t="shared" ca="1" si="248"/>
        <v>4.0455548779674316E-5</v>
      </c>
      <c r="U296" s="8">
        <f t="shared" ca="1" si="248"/>
        <v>3.8773700213803738E-5</v>
      </c>
      <c r="V296" s="8">
        <f t="shared" ca="1" si="248"/>
        <v>3.5860992988350798E-5</v>
      </c>
      <c r="W296" s="8">
        <f t="shared" ca="1" si="248"/>
        <v>3.179158399907222E-5</v>
      </c>
      <c r="X296" s="8">
        <f t="shared" ca="1" si="248"/>
        <v>2.6701307500094378E-5</v>
      </c>
      <c r="Y296" s="8">
        <f t="shared" ca="1" si="248"/>
        <v>2.0769686337973827E-5</v>
      </c>
      <c r="Z296" s="8">
        <f t="shared" ca="1" si="248"/>
        <v>1.4200407793149051E-5</v>
      </c>
      <c r="AA296" s="8">
        <f t="shared" ca="1" si="248"/>
        <v>7.2060971549168394E-6</v>
      </c>
      <c r="AB296" s="9">
        <f t="shared" ca="1" si="248"/>
        <v>0</v>
      </c>
    </row>
    <row r="297" spans="5:28" x14ac:dyDescent="0.25">
      <c r="E297" s="2">
        <f t="shared" si="209"/>
        <v>0.1</v>
      </c>
      <c r="H297" s="9">
        <f t="shared" ref="H297:AB297" ca="1" si="249" xml:space="preserve"> (H97+G96+H95+I96-4*H96)/delta^2</f>
        <v>0</v>
      </c>
      <c r="I297" s="8">
        <f t="shared" ca="1" si="249"/>
        <v>2.4943238720891E-6</v>
      </c>
      <c r="J297" s="8">
        <f t="shared" ca="1" si="249"/>
        <v>4.9705808867219031E-6</v>
      </c>
      <c r="K297" s="8">
        <f t="shared" ca="1" si="249"/>
        <v>7.4076865794536471E-6</v>
      </c>
      <c r="L297" s="8">
        <f t="shared" ca="1" si="249"/>
        <v>9.7785933494556946E-6</v>
      </c>
      <c r="M297" s="8">
        <f t="shared" ca="1" si="249"/>
        <v>1.2047564814940274E-5</v>
      </c>
      <c r="N297" s="8">
        <f t="shared" ca="1" si="249"/>
        <v>1.4167966993052971E-5</v>
      </c>
      <c r="O297" s="8">
        <f t="shared" ca="1" si="249"/>
        <v>1.6081078725040288E-5</v>
      </c>
      <c r="P297" s="8">
        <f t="shared" ca="1" si="249"/>
        <v>1.771662922439267E-5</v>
      </c>
      <c r="Q297" s="8">
        <f t="shared" ca="1" si="249"/>
        <v>1.8995851365404879E-5</v>
      </c>
      <c r="R297" s="8">
        <f t="shared" ca="1" si="249"/>
        <v>1.9837599012701342E-5</v>
      </c>
      <c r="S297" s="8">
        <f t="shared" ca="1" si="249"/>
        <v>2.0167332525321943E-5</v>
      </c>
      <c r="T297" s="8">
        <f t="shared" ca="1" si="249"/>
        <v>1.9927588251324805E-5</v>
      </c>
      <c r="U297" s="8">
        <f t="shared" ca="1" si="249"/>
        <v>1.9087471700304995E-5</v>
      </c>
      <c r="V297" s="8">
        <f t="shared" ca="1" si="249"/>
        <v>1.764859833609008E-5</v>
      </c>
      <c r="W297" s="8">
        <f t="shared" ca="1" si="249"/>
        <v>1.5645928655706899E-5</v>
      </c>
      <c r="X297" s="8">
        <f t="shared" ca="1" si="249"/>
        <v>1.3143532287665296E-5</v>
      </c>
      <c r="Y297" s="8">
        <f t="shared" ca="1" si="249"/>
        <v>1.0226892994859229E-5</v>
      </c>
      <c r="Z297" s="8">
        <f t="shared" ca="1" si="249"/>
        <v>6.9943533537966074E-6</v>
      </c>
      <c r="AA297" s="8">
        <f t="shared" ca="1" si="249"/>
        <v>3.5501126271783194E-6</v>
      </c>
      <c r="AB297" s="9">
        <f t="shared" ca="1" si="249"/>
        <v>0</v>
      </c>
    </row>
    <row r="298" spans="5:28" x14ac:dyDescent="0.25">
      <c r="E298" s="2">
        <v>0</v>
      </c>
      <c r="H298" s="9">
        <f t="shared" ref="H298:AB298" si="250" xml:space="preserve"> (H98+G97+H96+I97-4*H97)/delta^2</f>
        <v>0</v>
      </c>
      <c r="I298" s="9">
        <f t="shared" ca="1" si="250"/>
        <v>0</v>
      </c>
      <c r="J298" s="9">
        <f t="shared" ca="1" si="250"/>
        <v>0</v>
      </c>
      <c r="K298" s="9">
        <f t="shared" ca="1" si="250"/>
        <v>0</v>
      </c>
      <c r="L298" s="9">
        <f t="shared" ca="1" si="250"/>
        <v>0</v>
      </c>
      <c r="M298" s="9">
        <f t="shared" ca="1" si="250"/>
        <v>0</v>
      </c>
      <c r="N298" s="9">
        <f t="shared" ca="1" si="250"/>
        <v>0</v>
      </c>
      <c r="O298" s="9">
        <f t="shared" ca="1" si="250"/>
        <v>0</v>
      </c>
      <c r="P298" s="9">
        <f t="shared" ca="1" si="250"/>
        <v>0</v>
      </c>
      <c r="Q298" s="9">
        <f t="shared" ca="1" si="250"/>
        <v>0</v>
      </c>
      <c r="R298" s="9">
        <f t="shared" ca="1" si="250"/>
        <v>0</v>
      </c>
      <c r="S298" s="9">
        <f t="shared" ca="1" si="250"/>
        <v>0</v>
      </c>
      <c r="T298" s="9">
        <f t="shared" ca="1" si="250"/>
        <v>0</v>
      </c>
      <c r="U298" s="9">
        <f t="shared" ca="1" si="250"/>
        <v>0</v>
      </c>
      <c r="V298" s="9">
        <f t="shared" ca="1" si="250"/>
        <v>0</v>
      </c>
      <c r="W298" s="9">
        <f t="shared" ca="1" si="250"/>
        <v>0</v>
      </c>
      <c r="X298" s="9">
        <f t="shared" ca="1" si="250"/>
        <v>0</v>
      </c>
      <c r="Y298" s="9">
        <f t="shared" ca="1" si="250"/>
        <v>0</v>
      </c>
      <c r="Z298" s="9">
        <f t="shared" ca="1" si="250"/>
        <v>0</v>
      </c>
      <c r="AA298" s="9">
        <f t="shared" ca="1" si="250"/>
        <v>0</v>
      </c>
      <c r="AB298" s="9">
        <f t="shared" si="250"/>
        <v>0</v>
      </c>
    </row>
    <row r="303" spans="5:28" ht="18.75" x14ac:dyDescent="0.3">
      <c r="E303" s="1" t="s">
        <v>45</v>
      </c>
    </row>
    <row r="304" spans="5:28" x14ac:dyDescent="0.25">
      <c r="H304" s="18" t="s">
        <v>17</v>
      </c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</row>
    <row r="305" spans="4:28" x14ac:dyDescent="0.25">
      <c r="H305" s="2">
        <v>0</v>
      </c>
      <c r="I305" s="2">
        <f t="shared" ref="I305:AB305" si="251">+H305+delta</f>
        <v>0.1</v>
      </c>
      <c r="J305" s="2">
        <f t="shared" si="251"/>
        <v>0.2</v>
      </c>
      <c r="K305" s="2">
        <f t="shared" si="251"/>
        <v>0.30000000000000004</v>
      </c>
      <c r="L305" s="2">
        <f t="shared" si="251"/>
        <v>0.4</v>
      </c>
      <c r="M305" s="2">
        <f t="shared" si="251"/>
        <v>0.5</v>
      </c>
      <c r="N305" s="2">
        <f t="shared" si="251"/>
        <v>0.6</v>
      </c>
      <c r="O305" s="2">
        <f t="shared" si="251"/>
        <v>0.7</v>
      </c>
      <c r="P305" s="2">
        <f t="shared" si="251"/>
        <v>0.79999999999999993</v>
      </c>
      <c r="Q305" s="2">
        <f t="shared" si="251"/>
        <v>0.89999999999999991</v>
      </c>
      <c r="R305" s="2">
        <f t="shared" si="251"/>
        <v>0.99999999999999989</v>
      </c>
      <c r="S305" s="2">
        <f t="shared" si="251"/>
        <v>1.0999999999999999</v>
      </c>
      <c r="T305" s="2">
        <f t="shared" si="251"/>
        <v>1.2</v>
      </c>
      <c r="U305" s="2">
        <f t="shared" si="251"/>
        <v>1.3</v>
      </c>
      <c r="V305" s="2">
        <f t="shared" si="251"/>
        <v>1.4000000000000001</v>
      </c>
      <c r="W305" s="2">
        <f t="shared" si="251"/>
        <v>1.5000000000000002</v>
      </c>
      <c r="X305" s="2">
        <f t="shared" si="251"/>
        <v>1.6000000000000003</v>
      </c>
      <c r="Y305" s="2">
        <f t="shared" si="251"/>
        <v>1.7000000000000004</v>
      </c>
      <c r="Z305" s="2">
        <f t="shared" si="251"/>
        <v>1.8000000000000005</v>
      </c>
      <c r="AA305" s="2">
        <f t="shared" si="251"/>
        <v>1.9000000000000006</v>
      </c>
      <c r="AB305" s="2">
        <f t="shared" si="251"/>
        <v>2.0000000000000004</v>
      </c>
    </row>
    <row r="308" spans="4:28" x14ac:dyDescent="0.25">
      <c r="D308" s="17" t="s">
        <v>16</v>
      </c>
      <c r="E308" s="2">
        <f t="shared" ref="E308:E347" si="252">E309+delta</f>
        <v>4.0000000000000018</v>
      </c>
      <c r="H308" s="11">
        <f t="shared" ref="H308:H348" ca="1" si="253">-D*(I258-H258)/delta</f>
        <v>5.0903422310955557E-13</v>
      </c>
      <c r="I308" s="3">
        <f t="shared" ref="I308:AA308" ca="1" si="254">-D*(J258-H258)/(2*delta)</f>
        <v>3.8177566733216658E-13</v>
      </c>
      <c r="J308" s="3">
        <f t="shared" ca="1" si="254"/>
        <v>5.0903422310955547E-13</v>
      </c>
      <c r="K308" s="3">
        <f t="shared" ca="1" si="254"/>
        <v>1.2725855577738889E-13</v>
      </c>
      <c r="L308" s="3">
        <f t="shared" ca="1" si="254"/>
        <v>-7.6355133466433315E-13</v>
      </c>
      <c r="M308" s="3">
        <f t="shared" ca="1" si="254"/>
        <v>-5.0903422310955557E-13</v>
      </c>
      <c r="N308" s="3">
        <f t="shared" ca="1" si="254"/>
        <v>-5.0903422310955557E-13</v>
      </c>
      <c r="O308" s="3">
        <f t="shared" ca="1" si="254"/>
        <v>0</v>
      </c>
      <c r="P308" s="3">
        <f t="shared" ca="1" si="254"/>
        <v>5.0903422310955557E-13</v>
      </c>
      <c r="Q308" s="3">
        <f t="shared" ca="1" si="254"/>
        <v>0</v>
      </c>
      <c r="R308" s="3">
        <f t="shared" ca="1" si="254"/>
        <v>0</v>
      </c>
      <c r="S308" s="3">
        <f t="shared" ca="1" si="254"/>
        <v>1.5271026693286663E-12</v>
      </c>
      <c r="T308" s="3">
        <f t="shared" ca="1" si="254"/>
        <v>2.0361368924382223E-12</v>
      </c>
      <c r="U308" s="3">
        <f t="shared" ca="1" si="254"/>
        <v>-1.0180684462191109E-12</v>
      </c>
      <c r="V308" s="3">
        <f t="shared" ca="1" si="254"/>
        <v>-2.0361368924382223E-12</v>
      </c>
      <c r="W308" s="3">
        <f t="shared" ca="1" si="254"/>
        <v>-5.0903422310955557E-13</v>
      </c>
      <c r="X308" s="3">
        <f t="shared" ca="1" si="254"/>
        <v>0</v>
      </c>
      <c r="Y308" s="3">
        <f t="shared" ca="1" si="254"/>
        <v>0</v>
      </c>
      <c r="Z308" s="3">
        <f t="shared" ca="1" si="254"/>
        <v>-1.2725855577738889E-13</v>
      </c>
      <c r="AA308" s="3">
        <f t="shared" ca="1" si="254"/>
        <v>0</v>
      </c>
      <c r="AB308" s="11">
        <f t="shared" ref="AB308:AB348" ca="1" si="255">-D*(AB258-AA258)/delta</f>
        <v>2.5451711155477778E-13</v>
      </c>
    </row>
    <row r="309" spans="4:28" x14ac:dyDescent="0.25">
      <c r="D309" s="17"/>
      <c r="E309" s="2">
        <f t="shared" si="252"/>
        <v>3.9000000000000021</v>
      </c>
      <c r="H309" s="11">
        <f t="shared" ca="1" si="253"/>
        <v>-14.71820255345791</v>
      </c>
      <c r="I309" s="4">
        <f t="shared" ref="I309:AA309" ca="1" si="256">-D*(J259-H259)/(2*delta)</f>
        <v>-14.559779877014728</v>
      </c>
      <c r="J309" s="4">
        <f t="shared" ca="1" si="256"/>
        <v>-14.086096902861366</v>
      </c>
      <c r="K309" s="4">
        <f t="shared" ca="1" si="256"/>
        <v>-13.302103671459928</v>
      </c>
      <c r="L309" s="4">
        <f t="shared" ca="1" si="256"/>
        <v>-12.216674534274212</v>
      </c>
      <c r="M309" s="4">
        <f t="shared" ca="1" si="256"/>
        <v>-10.843456887768591</v>
      </c>
      <c r="N309" s="4">
        <f t="shared" ca="1" si="256"/>
        <v>-9.2018877489558815</v>
      </c>
      <c r="O309" s="4">
        <f t="shared" ca="1" si="256"/>
        <v>-7.3182173797388099</v>
      </c>
      <c r="P309" s="4">
        <f t="shared" ca="1" si="256"/>
        <v>-5.2263533489390861</v>
      </c>
      <c r="Q309" s="4">
        <f t="shared" ca="1" si="256"/>
        <v>-2.9683333354405752</v>
      </c>
      <c r="R309" s="4">
        <f t="shared" ca="1" si="256"/>
        <v>-0.5942570922795376</v>
      </c>
      <c r="S309" s="4">
        <f t="shared" ca="1" si="256"/>
        <v>1.838440012626585</v>
      </c>
      <c r="T309" s="4">
        <f t="shared" ca="1" si="256"/>
        <v>4.2664114778816913</v>
      </c>
      <c r="U309" s="4">
        <f t="shared" ca="1" si="256"/>
        <v>6.6224694071742389</v>
      </c>
      <c r="V309" s="4">
        <f t="shared" ca="1" si="256"/>
        <v>8.8381576407528684</v>
      </c>
      <c r="W309" s="4">
        <f t="shared" ca="1" si="256"/>
        <v>10.846619612516939</v>
      </c>
      <c r="X309" s="4">
        <f t="shared" ca="1" si="256"/>
        <v>12.585522038588403</v>
      </c>
      <c r="Y309" s="4">
        <f t="shared" ca="1" si="256"/>
        <v>13.99980631538326</v>
      </c>
      <c r="Z309" s="4">
        <f t="shared" ca="1" si="256"/>
        <v>15.044084102555932</v>
      </c>
      <c r="AA309" s="4">
        <f t="shared" ca="1" si="256"/>
        <v>15.684555803721357</v>
      </c>
      <c r="AB309" s="11">
        <f t="shared" ca="1" si="255"/>
        <v>15.900391288519774</v>
      </c>
    </row>
    <row r="310" spans="4:28" x14ac:dyDescent="0.25">
      <c r="D310" s="17"/>
      <c r="E310" s="2">
        <f t="shared" si="252"/>
        <v>3.800000000000002</v>
      </c>
      <c r="H310" s="11">
        <f t="shared" ca="1" si="253"/>
        <v>-29.753250459812868</v>
      </c>
      <c r="I310" s="4">
        <f t="shared" ref="I310:AA310" ca="1" si="257">-D*(J260-H260)/(2*delta)</f>
        <v>-29.434820051743198</v>
      </c>
      <c r="J310" s="4">
        <f t="shared" ca="1" si="257"/>
        <v>-28.482504062969539</v>
      </c>
      <c r="K310" s="4">
        <f t="shared" ca="1" si="257"/>
        <v>-26.905643248697519</v>
      </c>
      <c r="L310" s="4">
        <f t="shared" ca="1" si="257"/>
        <v>-24.721137577858137</v>
      </c>
      <c r="M310" s="4">
        <f t="shared" ca="1" si="257"/>
        <v>-21.955265267824927</v>
      </c>
      <c r="N310" s="4">
        <f t="shared" ca="1" si="257"/>
        <v>-18.645876728328343</v>
      </c>
      <c r="O310" s="4">
        <f t="shared" ca="1" si="257"/>
        <v>-14.84462842108471</v>
      </c>
      <c r="P310" s="4">
        <f t="shared" ca="1" si="257"/>
        <v>-10.618862680570848</v>
      </c>
      <c r="Q310" s="4">
        <f t="shared" ca="1" si="257"/>
        <v>-6.0527229005253531</v>
      </c>
      <c r="R310" s="4">
        <f t="shared" ca="1" si="257"/>
        <v>-1.2471350463061959</v>
      </c>
      <c r="S310" s="4">
        <f t="shared" ca="1" si="257"/>
        <v>3.681605664861427</v>
      </c>
      <c r="T310" s="4">
        <f t="shared" ca="1" si="257"/>
        <v>8.6047364917116909</v>
      </c>
      <c r="U310" s="4">
        <f t="shared" ca="1" si="257"/>
        <v>13.38530851007461</v>
      </c>
      <c r="V310" s="4">
        <f t="shared" ca="1" si="257"/>
        <v>17.883541543346766</v>
      </c>
      <c r="W310" s="4">
        <f t="shared" ca="1" si="257"/>
        <v>21.962798770735649</v>
      </c>
      <c r="X310" s="4">
        <f t="shared" ca="1" si="257"/>
        <v>25.495662226439155</v>
      </c>
      <c r="Y310" s="4">
        <f t="shared" ca="1" si="257"/>
        <v>28.369619120393285</v>
      </c>
      <c r="Z310" s="4">
        <f t="shared" ca="1" si="257"/>
        <v>30.491974291125228</v>
      </c>
      <c r="AA310" s="4">
        <f t="shared" ca="1" si="257"/>
        <v>31.793747823810232</v>
      </c>
      <c r="AB310" s="11">
        <f t="shared" ca="1" si="255"/>
        <v>32.232453546632307</v>
      </c>
    </row>
    <row r="311" spans="4:28" x14ac:dyDescent="0.25">
      <c r="D311" s="17"/>
      <c r="E311" s="2">
        <f t="shared" si="252"/>
        <v>3.700000000000002</v>
      </c>
      <c r="H311" s="11">
        <f t="shared" ca="1" si="253"/>
        <v>-45.425159182307674</v>
      </c>
      <c r="I311" s="4">
        <f t="shared" ref="I311:AA311" ca="1" si="258">-D*(J261-H261)/(2*delta)</f>
        <v>-44.943745807170309</v>
      </c>
      <c r="J311" s="4">
        <f t="shared" ca="1" si="258"/>
        <v>-43.503456048583224</v>
      </c>
      <c r="K311" s="4">
        <f t="shared" ca="1" si="258"/>
        <v>-41.116827682490758</v>
      </c>
      <c r="L311" s="4">
        <f t="shared" ca="1" si="258"/>
        <v>-37.806967260644029</v>
      </c>
      <c r="M311" s="4">
        <f t="shared" ca="1" si="258"/>
        <v>-33.61058987737313</v>
      </c>
      <c r="N311" s="4">
        <f t="shared" ca="1" si="258"/>
        <v>-28.581725475453993</v>
      </c>
      <c r="O311" s="4">
        <f t="shared" ca="1" si="258"/>
        <v>-22.795556895694759</v>
      </c>
      <c r="P311" s="4">
        <f t="shared" ca="1" si="258"/>
        <v>-16.351746051728121</v>
      </c>
      <c r="Q311" s="4">
        <f t="shared" ca="1" si="258"/>
        <v>-9.37656053976343</v>
      </c>
      <c r="R311" s="4">
        <f t="shared" ca="1" si="258"/>
        <v>-2.0231658573098263</v>
      </c>
      <c r="S311" s="4">
        <f t="shared" ca="1" si="258"/>
        <v>5.5303812014278817</v>
      </c>
      <c r="T311" s="4">
        <f t="shared" ca="1" si="258"/>
        <v>13.085620314079934</v>
      </c>
      <c r="U311" s="4">
        <f t="shared" ca="1" si="258"/>
        <v>20.430486598049445</v>
      </c>
      <c r="V311" s="4">
        <f t="shared" ca="1" si="258"/>
        <v>27.347901251779174</v>
      </c>
      <c r="W311" s="4">
        <f t="shared" ca="1" si="258"/>
        <v>33.625371700631611</v>
      </c>
      <c r="X311" s="4">
        <f t="shared" ca="1" si="258"/>
        <v>39.064708976074897</v>
      </c>
      <c r="Y311" s="4">
        <f t="shared" ca="1" si="258"/>
        <v>43.491033648633646</v>
      </c>
      <c r="Z311" s="4">
        <f t="shared" ca="1" si="258"/>
        <v>46.760446117746056</v>
      </c>
      <c r="AA311" s="4">
        <f t="shared" ca="1" si="258"/>
        <v>48.76600765374981</v>
      </c>
      <c r="AB311" s="11">
        <f t="shared" ca="1" si="255"/>
        <v>49.441927250385945</v>
      </c>
    </row>
    <row r="312" spans="4:28" x14ac:dyDescent="0.25">
      <c r="D312" s="17"/>
      <c r="E312" s="2">
        <f t="shared" si="252"/>
        <v>3.6000000000000019</v>
      </c>
      <c r="H312" s="11">
        <f t="shared" ca="1" si="253"/>
        <v>-62.059894655079262</v>
      </c>
      <c r="I312" s="4">
        <f t="shared" ref="I312:AA312" ca="1" si="259">-D*(J262-H262)/(2*delta)</f>
        <v>-61.411547946047669</v>
      </c>
      <c r="J312" s="4">
        <f t="shared" ca="1" si="259"/>
        <v>-59.470746641697659</v>
      </c>
      <c r="K312" s="4">
        <f t="shared" ca="1" si="259"/>
        <v>-56.251244172066784</v>
      </c>
      <c r="L312" s="4">
        <f t="shared" ca="1" si="259"/>
        <v>-51.779313904837835</v>
      </c>
      <c r="M312" s="4">
        <f t="shared" ca="1" si="259"/>
        <v>-46.098401505565469</v>
      </c>
      <c r="N312" s="4">
        <f t="shared" ca="1" si="259"/>
        <v>-39.274878400411566</v>
      </c>
      <c r="O312" s="4">
        <f t="shared" ca="1" si="259"/>
        <v>-31.404127634532561</v>
      </c>
      <c r="P312" s="4">
        <f t="shared" ca="1" si="259"/>
        <v>-22.61600409089974</v>
      </c>
      <c r="Q312" s="4">
        <f t="shared" ca="1" si="259"/>
        <v>-13.078607349465987</v>
      </c>
      <c r="R312" s="4">
        <f t="shared" ca="1" si="259"/>
        <v>-2.9993490445772002</v>
      </c>
      <c r="S312" s="4">
        <f t="shared" ca="1" si="259"/>
        <v>7.3774646840555587</v>
      </c>
      <c r="T312" s="4">
        <f t="shared" ca="1" si="259"/>
        <v>17.77687696509</v>
      </c>
      <c r="U312" s="4">
        <f t="shared" ca="1" si="259"/>
        <v>27.903116316296632</v>
      </c>
      <c r="V312" s="4">
        <f t="shared" ca="1" si="259"/>
        <v>37.452205165109213</v>
      </c>
      <c r="W312" s="4">
        <f t="shared" ca="1" si="259"/>
        <v>46.126077803959063</v>
      </c>
      <c r="X312" s="4">
        <f t="shared" ca="1" si="259"/>
        <v>53.646768328570772</v>
      </c>
      <c r="Y312" s="4">
        <f t="shared" ca="1" si="259"/>
        <v>59.769360380315263</v>
      </c>
      <c r="Z312" s="4">
        <f t="shared" ca="1" si="259"/>
        <v>64.292768877479574</v>
      </c>
      <c r="AA312" s="4">
        <f t="shared" ca="1" si="259"/>
        <v>67.06790942305193</v>
      </c>
      <c r="AB312" s="11">
        <f t="shared" ca="1" si="255"/>
        <v>68.00324014742813</v>
      </c>
    </row>
    <row r="313" spans="4:28" x14ac:dyDescent="0.25">
      <c r="D313" s="17"/>
      <c r="E313" s="2">
        <f t="shared" si="252"/>
        <v>3.5000000000000018</v>
      </c>
      <c r="H313" s="11">
        <f t="shared" ca="1" si="253"/>
        <v>-79.991323545908912</v>
      </c>
      <c r="I313" s="4">
        <f t="shared" ref="I313:AA313" ca="1" si="260">-D*(J263-H263)/(2*delta)</f>
        <v>-79.171804680249025</v>
      </c>
      <c r="J313" s="4">
        <f t="shared" ca="1" si="260"/>
        <v>-76.716738400104219</v>
      </c>
      <c r="K313" s="4">
        <f t="shared" ca="1" si="260"/>
        <v>-72.638088459252074</v>
      </c>
      <c r="L313" s="4">
        <f t="shared" ca="1" si="260"/>
        <v>-66.960642681083144</v>
      </c>
      <c r="M313" s="4">
        <f t="shared" ca="1" si="260"/>
        <v>-59.728823839623089</v>
      </c>
      <c r="N313" s="4">
        <f t="shared" ca="1" si="260"/>
        <v>-51.015258986135024</v>
      </c>
      <c r="O313" s="4">
        <f t="shared" ca="1" si="260"/>
        <v>-40.930071151026418</v>
      </c>
      <c r="P313" s="4">
        <f t="shared" ca="1" si="260"/>
        <v>-29.629535327839715</v>
      </c>
      <c r="Q313" s="4">
        <f t="shared" ca="1" si="260"/>
        <v>-17.322515722762031</v>
      </c>
      <c r="R313" s="4">
        <f t="shared" ca="1" si="260"/>
        <v>-4.2730876556618487</v>
      </c>
      <c r="S313" s="4">
        <f t="shared" ca="1" si="260"/>
        <v>9.2019496143304202</v>
      </c>
      <c r="T313" s="4">
        <f t="shared" ca="1" si="260"/>
        <v>22.741306546033758</v>
      </c>
      <c r="U313" s="4">
        <f t="shared" ca="1" si="260"/>
        <v>35.952896536888979</v>
      </c>
      <c r="V313" s="4">
        <f t="shared" ca="1" si="260"/>
        <v>48.431725288369471</v>
      </c>
      <c r="W313" s="4">
        <f t="shared" ca="1" si="260"/>
        <v>59.779966021585821</v>
      </c>
      <c r="X313" s="4">
        <f t="shared" ca="1" si="260"/>
        <v>69.626926153941938</v>
      </c>
      <c r="Y313" s="4">
        <f t="shared" ca="1" si="260"/>
        <v>77.64687066653633</v>
      </c>
      <c r="Z313" s="4">
        <f t="shared" ca="1" si="260"/>
        <v>83.573359588824417</v>
      </c>
      <c r="AA313" s="4">
        <f t="shared" ca="1" si="260"/>
        <v>87.209621013570569</v>
      </c>
      <c r="AB313" s="11">
        <f t="shared" ca="1" si="255"/>
        <v>88.435214493216577</v>
      </c>
    </row>
    <row r="314" spans="4:28" x14ac:dyDescent="0.25">
      <c r="D314" s="17"/>
      <c r="E314" s="2">
        <f t="shared" si="252"/>
        <v>3.4000000000000017</v>
      </c>
      <c r="H314" s="11">
        <f t="shared" ca="1" si="253"/>
        <v>-99.561790168069564</v>
      </c>
      <c r="I314" s="4">
        <f t="shared" ref="I314:AA314" ca="1" si="261">-D*(J264-H264)/(2*delta)</f>
        <v>-98.56760882890984</v>
      </c>
      <c r="J314" s="4">
        <f t="shared" ca="1" si="261"/>
        <v>-95.586313819244069</v>
      </c>
      <c r="K314" s="4">
        <f t="shared" ca="1" si="261"/>
        <v>-90.623728583802958</v>
      </c>
      <c r="L314" s="4">
        <f t="shared" ca="1" si="261"/>
        <v>-83.696344520570747</v>
      </c>
      <c r="M314" s="4">
        <f t="shared" ca="1" si="261"/>
        <v>-74.8409921857169</v>
      </c>
      <c r="N314" s="4">
        <f t="shared" ca="1" si="261"/>
        <v>-64.127262553462685</v>
      </c>
      <c r="O314" s="4">
        <f t="shared" ca="1" si="261"/>
        <v>-51.671362655582044</v>
      </c>
      <c r="P314" s="4">
        <f t="shared" ca="1" si="261"/>
        <v>-37.64955034678465</v>
      </c>
      <c r="Q314" s="4">
        <f t="shared" ca="1" si="261"/>
        <v>-22.308832558031703</v>
      </c>
      <c r="R314" s="4">
        <f t="shared" ca="1" si="261"/>
        <v>-5.972435469491983</v>
      </c>
      <c r="S314" s="4">
        <f t="shared" ca="1" si="261"/>
        <v>10.962114882869784</v>
      </c>
      <c r="T314" s="4">
        <f t="shared" ca="1" si="261"/>
        <v>28.033503067793006</v>
      </c>
      <c r="U314" s="4">
        <f t="shared" ca="1" si="261"/>
        <v>44.735437996823435</v>
      </c>
      <c r="V314" s="4">
        <f t="shared" ca="1" si="261"/>
        <v>60.541833429861271</v>
      </c>
      <c r="W314" s="4">
        <f t="shared" ca="1" si="261"/>
        <v>74.935134840105334</v>
      </c>
      <c r="X314" s="4">
        <f t="shared" ca="1" si="261"/>
        <v>87.434099599030148</v>
      </c>
      <c r="Y314" s="4">
        <f t="shared" ca="1" si="261"/>
        <v>97.617836543071817</v>
      </c>
      <c r="Z314" s="4">
        <f t="shared" ca="1" si="261"/>
        <v>105.14417779774172</v>
      </c>
      <c r="AA314" s="4">
        <f t="shared" ca="1" si="261"/>
        <v>109.7620005491731</v>
      </c>
      <c r="AB314" s="11">
        <f t="shared" ca="1" si="255"/>
        <v>111.31837579832553</v>
      </c>
    </row>
    <row r="315" spans="4:28" x14ac:dyDescent="0.25">
      <c r="D315" s="17"/>
      <c r="E315" s="2">
        <f t="shared" si="252"/>
        <v>3.3000000000000016</v>
      </c>
      <c r="H315" s="11">
        <f t="shared" ca="1" si="253"/>
        <v>-121.12061946852624</v>
      </c>
      <c r="I315" s="4">
        <f t="shared" ref="I315:AA315" ca="1" si="262">-D*(J265-H265)/(2*delta)</f>
        <v>-119.95052664807727</v>
      </c>
      <c r="J315" s="4">
        <f t="shared" ca="1" si="262"/>
        <v>-116.43717946419581</v>
      </c>
      <c r="K315" s="4">
        <f t="shared" ca="1" si="262"/>
        <v>-110.5741675361124</v>
      </c>
      <c r="L315" s="4">
        <f t="shared" ca="1" si="262"/>
        <v>-102.36001463172077</v>
      </c>
      <c r="M315" s="4">
        <f t="shared" ca="1" si="262"/>
        <v>-91.811537829219134</v>
      </c>
      <c r="N315" s="4">
        <f t="shared" ca="1" si="262"/>
        <v>-78.98143638635969</v>
      </c>
      <c r="O315" s="4">
        <f t="shared" ca="1" si="262"/>
        <v>-63.978566571209306</v>
      </c>
      <c r="P315" s="4">
        <f t="shared" ca="1" si="262"/>
        <v>-46.988470845579386</v>
      </c>
      <c r="Q315" s="4">
        <f t="shared" ca="1" si="262"/>
        <v>-28.290828692990384</v>
      </c>
      <c r="R315" s="4">
        <f t="shared" ca="1" si="262"/>
        <v>-8.2699365473070543</v>
      </c>
      <c r="S315" s="4">
        <f t="shared" ca="1" si="262"/>
        <v>12.585442318896524</v>
      </c>
      <c r="T315" s="4">
        <f t="shared" ca="1" si="262"/>
        <v>33.6951528454696</v>
      </c>
      <c r="U315" s="4">
        <f t="shared" ca="1" si="262"/>
        <v>54.413518952783171</v>
      </c>
      <c r="V315" s="4">
        <f t="shared" ca="1" si="262"/>
        <v>74.065035594122349</v>
      </c>
      <c r="W315" s="4">
        <f t="shared" ca="1" si="262"/>
        <v>91.984640309903327</v>
      </c>
      <c r="X315" s="4">
        <f t="shared" ca="1" si="262"/>
        <v>107.55650085908695</v>
      </c>
      <c r="Y315" s="4">
        <f t="shared" ca="1" si="262"/>
        <v>120.24619810895058</v>
      </c>
      <c r="Z315" s="4">
        <f t="shared" ca="1" si="262"/>
        <v>129.62351450989354</v>
      </c>
      <c r="AA315" s="4">
        <f t="shared" ca="1" si="262"/>
        <v>135.37582758707489</v>
      </c>
      <c r="AB315" s="11">
        <f t="shared" ca="1" si="255"/>
        <v>137.31428760170681</v>
      </c>
    </row>
    <row r="316" spans="4:28" x14ac:dyDescent="0.25">
      <c r="D316" s="17"/>
      <c r="E316" s="2">
        <f t="shared" si="252"/>
        <v>3.2000000000000015</v>
      </c>
      <c r="H316" s="11">
        <f t="shared" ca="1" si="253"/>
        <v>-145.01963440988899</v>
      </c>
      <c r="I316" s="4">
        <f t="shared" ref="I316:AA316" ca="1" si="263">-D*(J266-H266)/(2*delta)</f>
        <v>-143.67669883065273</v>
      </c>
      <c r="J316" s="4">
        <f t="shared" ca="1" si="263"/>
        <v>-139.63770985337405</v>
      </c>
      <c r="K316" s="4">
        <f t="shared" ca="1" si="263"/>
        <v>-132.87574746474633</v>
      </c>
      <c r="L316" s="4">
        <f t="shared" ca="1" si="263"/>
        <v>-123.35800864091965</v>
      </c>
      <c r="M316" s="4">
        <f t="shared" ca="1" si="263"/>
        <v>-111.0637081130874</v>
      </c>
      <c r="N316" s="4">
        <f t="shared" ca="1" si="263"/>
        <v>-96.008378591694353</v>
      </c>
      <c r="O316" s="4">
        <f t="shared" ca="1" si="263"/>
        <v>-78.27299639725085</v>
      </c>
      <c r="P316" s="4">
        <f t="shared" ca="1" si="263"/>
        <v>-58.034937771316869</v>
      </c>
      <c r="Q316" s="4">
        <f t="shared" ca="1" si="263"/>
        <v>-35.596074821092259</v>
      </c>
      <c r="R316" s="4">
        <f t="shared" ca="1" si="263"/>
        <v>-11.401924345512056</v>
      </c>
      <c r="S316" s="4">
        <f t="shared" ca="1" si="263"/>
        <v>13.954438094504887</v>
      </c>
      <c r="T316" s="4">
        <f t="shared" ca="1" si="263"/>
        <v>39.748147042373105</v>
      </c>
      <c r="U316" s="4">
        <f t="shared" ca="1" si="263"/>
        <v>65.158449374684622</v>
      </c>
      <c r="V316" s="4">
        <f t="shared" ca="1" si="263"/>
        <v>89.320149684047621</v>
      </c>
      <c r="W316" s="4">
        <f t="shared" ca="1" si="263"/>
        <v>111.38188994638023</v>
      </c>
      <c r="X316" s="4">
        <f t="shared" ca="1" si="263"/>
        <v>130.56106541833739</v>
      </c>
      <c r="Y316" s="4">
        <f t="shared" ca="1" si="263"/>
        <v>146.18694052372561</v>
      </c>
      <c r="Z316" s="4">
        <f t="shared" ca="1" si="263"/>
        <v>157.72785454581518</v>
      </c>
      <c r="AA316" s="4">
        <f t="shared" ca="1" si="263"/>
        <v>164.80350768753419</v>
      </c>
      <c r="AB316" s="11">
        <f t="shared" ca="1" si="255"/>
        <v>167.18711943437631</v>
      </c>
    </row>
    <row r="317" spans="4:28" x14ac:dyDescent="0.25">
      <c r="D317" s="17"/>
      <c r="E317" s="2">
        <f t="shared" si="252"/>
        <v>3.1000000000000014</v>
      </c>
      <c r="H317" s="11">
        <f t="shared" ca="1" si="253"/>
        <v>-171.60452050974052</v>
      </c>
      <c r="I317" s="4">
        <f t="shared" ref="I317:AA317" ca="1" si="264">-D*(J267-H267)/(2*delta)</f>
        <v>-170.09892441131132</v>
      </c>
      <c r="J317" s="4">
        <f t="shared" ca="1" si="264"/>
        <v>-165.56121365386875</v>
      </c>
      <c r="K317" s="4">
        <f t="shared" ca="1" si="264"/>
        <v>-157.93310382853841</v>
      </c>
      <c r="L317" s="4">
        <f t="shared" ca="1" si="264"/>
        <v>-147.13256435414854</v>
      </c>
      <c r="M317" s="4">
        <f t="shared" ca="1" si="264"/>
        <v>-133.07690739058171</v>
      </c>
      <c r="N317" s="4">
        <f t="shared" ca="1" si="264"/>
        <v>-115.7153734700631</v>
      </c>
      <c r="O317" s="4">
        <f t="shared" ca="1" si="264"/>
        <v>-95.070102654717729</v>
      </c>
      <c r="P317" s="4">
        <f t="shared" ca="1" si="264"/>
        <v>-71.282209021361254</v>
      </c>
      <c r="Q317" s="4">
        <f t="shared" ca="1" si="264"/>
        <v>-44.656608474728905</v>
      </c>
      <c r="R317" s="4">
        <f t="shared" ca="1" si="264"/>
        <v>-15.696124108137512</v>
      </c>
      <c r="S317" s="4">
        <f t="shared" ca="1" si="264"/>
        <v>14.886087362294562</v>
      </c>
      <c r="T317" s="4">
        <f t="shared" ca="1" si="264"/>
        <v>46.184547854800705</v>
      </c>
      <c r="U317" s="4">
        <f t="shared" ca="1" si="264"/>
        <v>77.151981819713811</v>
      </c>
      <c r="V317" s="4">
        <f t="shared" ca="1" si="264"/>
        <v>106.67522382097064</v>
      </c>
      <c r="W317" s="4">
        <f t="shared" ca="1" si="264"/>
        <v>133.66170437313485</v>
      </c>
      <c r="X317" s="4">
        <f t="shared" ca="1" si="264"/>
        <v>157.11893034416502</v>
      </c>
      <c r="Y317" s="4">
        <f t="shared" ca="1" si="264"/>
        <v>176.21264402188064</v>
      </c>
      <c r="Z317" s="4">
        <f t="shared" ca="1" si="264"/>
        <v>190.29745546213991</v>
      </c>
      <c r="AA317" s="4">
        <f t="shared" ca="1" si="264"/>
        <v>198.92322918285421</v>
      </c>
      <c r="AB317" s="11">
        <f t="shared" ca="1" si="255"/>
        <v>201.82717476074637</v>
      </c>
    </row>
    <row r="318" spans="4:28" x14ac:dyDescent="0.25">
      <c r="D318" s="17"/>
      <c r="E318" s="2">
        <f t="shared" si="252"/>
        <v>3.0000000000000013</v>
      </c>
      <c r="H318" s="11">
        <f t="shared" ca="1" si="253"/>
        <v>-201.20059880645263</v>
      </c>
      <c r="I318" s="4">
        <f t="shared" ref="I318:AA318" ca="1" si="265">-D*(J268-H268)/(2*delta)</f>
        <v>-199.55326465098835</v>
      </c>
      <c r="J318" s="4">
        <f t="shared" ca="1" si="265"/>
        <v>-194.57511652230821</v>
      </c>
      <c r="K318" s="4">
        <f t="shared" ca="1" si="265"/>
        <v>-186.16288984136975</v>
      </c>
      <c r="L318" s="4">
        <f t="shared" ca="1" si="265"/>
        <v>-174.16223755651376</v>
      </c>
      <c r="M318" s="4">
        <f t="shared" ca="1" si="265"/>
        <v>-158.39598362499515</v>
      </c>
      <c r="N318" s="4">
        <f t="shared" ca="1" si="265"/>
        <v>-138.70610524332375</v>
      </c>
      <c r="O318" s="4">
        <f t="shared" ca="1" si="265"/>
        <v>-115.00983173029334</v>
      </c>
      <c r="P318" s="4">
        <f t="shared" ca="1" si="265"/>
        <v>-87.367187184648884</v>
      </c>
      <c r="Q318" s="4">
        <f t="shared" ca="1" si="265"/>
        <v>-56.052025948210584</v>
      </c>
      <c r="R318" s="5">
        <f t="shared" ca="1" si="265"/>
        <v>-21.612050974457038</v>
      </c>
      <c r="S318" s="5">
        <f t="shared" ca="1" si="265"/>
        <v>15.101487607912427</v>
      </c>
      <c r="T318" s="5">
        <f t="shared" ca="1" si="265"/>
        <v>52.95197519480508</v>
      </c>
      <c r="U318" s="5">
        <f t="shared" ca="1" si="265"/>
        <v>90.589706228285124</v>
      </c>
      <c r="V318" s="5">
        <f t="shared" ca="1" si="265"/>
        <v>126.56705940698619</v>
      </c>
      <c r="W318" s="5">
        <f t="shared" ca="1" si="265"/>
        <v>159.4707733811864</v>
      </c>
      <c r="X318" s="4">
        <f t="shared" ca="1" si="265"/>
        <v>188.04030756320955</v>
      </c>
      <c r="Y318" s="4">
        <f t="shared" ca="1" si="265"/>
        <v>211.24724975751238</v>
      </c>
      <c r="Z318" s="4">
        <f t="shared" ca="1" si="265"/>
        <v>228.32609409804206</v>
      </c>
      <c r="AA318" s="4">
        <f t="shared" ca="1" si="265"/>
        <v>238.76477882095978</v>
      </c>
      <c r="AB318" s="11">
        <f t="shared" ca="1" si="255"/>
        <v>242.27512124286812</v>
      </c>
    </row>
    <row r="319" spans="4:28" x14ac:dyDescent="0.25">
      <c r="D319" s="17"/>
      <c r="E319" s="2">
        <f t="shared" si="252"/>
        <v>2.9000000000000012</v>
      </c>
      <c r="H319" s="11">
        <f t="shared" ca="1" si="253"/>
        <v>-234.09134541403833</v>
      </c>
      <c r="I319" s="4">
        <f t="shared" ref="I319:AA319" ca="1" si="266">-D*(J269-H269)/(2*delta)</f>
        <v>-232.33841886390769</v>
      </c>
      <c r="J319" s="4">
        <f t="shared" ca="1" si="266"/>
        <v>-227.02309794294172</v>
      </c>
      <c r="K319" s="4">
        <f t="shared" ca="1" si="266"/>
        <v>-217.98110145820417</v>
      </c>
      <c r="L319" s="4">
        <f t="shared" ca="1" si="266"/>
        <v>-204.95751240563126</v>
      </c>
      <c r="M319" s="4">
        <f t="shared" ca="1" si="266"/>
        <v>-187.63868430949614</v>
      </c>
      <c r="N319" s="4">
        <f t="shared" ca="1" si="266"/>
        <v>-165.7032321478618</v>
      </c>
      <c r="O319" s="4">
        <f t="shared" ca="1" si="266"/>
        <v>-138.89593183840182</v>
      </c>
      <c r="P319" s="4">
        <f t="shared" ca="1" si="266"/>
        <v>-107.1246820389098</v>
      </c>
      <c r="Q319" s="4">
        <f t="shared" ca="1" si="266"/>
        <v>-70.572257159235448</v>
      </c>
      <c r="R319" s="5">
        <f t="shared" ca="1" si="266"/>
        <v>-29.801541449164443</v>
      </c>
      <c r="S319" s="5">
        <f t="shared" ca="1" si="266"/>
        <v>14.179938849104838</v>
      </c>
      <c r="T319" s="5">
        <f t="shared" ca="1" si="266"/>
        <v>59.932159088107944</v>
      </c>
      <c r="U319" s="5">
        <f t="shared" ca="1" si="266"/>
        <v>105.68780849174972</v>
      </c>
      <c r="V319" s="5">
        <f t="shared" ca="1" si="266"/>
        <v>149.53253419740508</v>
      </c>
      <c r="W319" s="5">
        <f t="shared" ca="1" si="266"/>
        <v>189.61402218139861</v>
      </c>
      <c r="X319" s="4">
        <f t="shared" ca="1" si="266"/>
        <v>224.32427677004748</v>
      </c>
      <c r="Y319" s="4">
        <f t="shared" ca="1" si="266"/>
        <v>252.40995334688066</v>
      </c>
      <c r="Z319" s="4">
        <f t="shared" ca="1" si="266"/>
        <v>272.9948923515725</v>
      </c>
      <c r="AA319" s="4">
        <f t="shared" ca="1" si="266"/>
        <v>285.53467076011134</v>
      </c>
      <c r="AB319" s="11">
        <f t="shared" ca="1" si="255"/>
        <v>289.74375256879028</v>
      </c>
    </row>
    <row r="320" spans="4:28" x14ac:dyDescent="0.25">
      <c r="D320" s="17"/>
      <c r="E320" s="2">
        <f t="shared" si="252"/>
        <v>2.8000000000000012</v>
      </c>
      <c r="H320" s="11">
        <f t="shared" ca="1" si="253"/>
        <v>-270.48794512186288</v>
      </c>
      <c r="I320" s="4">
        <f t="shared" ref="I320:AA320" ca="1" si="267">-D*(J270-H270)/(2*delta)</f>
        <v>-268.68596744765114</v>
      </c>
      <c r="J320" s="4">
        <f t="shared" ca="1" si="267"/>
        <v>-263.19775492739171</v>
      </c>
      <c r="K320" s="4">
        <f t="shared" ca="1" si="267"/>
        <v>-253.78090564282093</v>
      </c>
      <c r="L320" s="4">
        <f t="shared" ca="1" si="267"/>
        <v>-240.0480262983433</v>
      </c>
      <c r="M320" s="4">
        <f t="shared" ca="1" si="267"/>
        <v>-221.49800905982221</v>
      </c>
      <c r="N320" s="4">
        <f t="shared" ca="1" si="267"/>
        <v>-197.57220720022582</v>
      </c>
      <c r="O320" s="4">
        <f t="shared" ca="1" si="267"/>
        <v>-167.74598143631408</v>
      </c>
      <c r="P320" s="4">
        <f t="shared" ca="1" si="267"/>
        <v>-131.66335197315746</v>
      </c>
      <c r="Q320" s="4">
        <f t="shared" ca="1" si="267"/>
        <v>-89.310779200591824</v>
      </c>
      <c r="R320" s="5">
        <f t="shared" ca="1" si="267"/>
        <v>-41.201796512330752</v>
      </c>
      <c r="S320" s="5">
        <f t="shared" ca="1" si="267"/>
        <v>11.487650149498267</v>
      </c>
      <c r="T320" s="5">
        <f t="shared" ca="1" si="267"/>
        <v>66.908913816772156</v>
      </c>
      <c r="U320" s="5">
        <f t="shared" ca="1" si="267"/>
        <v>122.69683445320062</v>
      </c>
      <c r="V320" s="5">
        <f t="shared" ca="1" si="267"/>
        <v>176.26124670948562</v>
      </c>
      <c r="W320" s="5">
        <f t="shared" ca="1" si="267"/>
        <v>225.1285043769883</v>
      </c>
      <c r="X320" s="4">
        <f t="shared" ca="1" si="267"/>
        <v>267.23282398878268</v>
      </c>
      <c r="Y320" s="4">
        <f t="shared" ca="1" si="267"/>
        <v>301.07339450845939</v>
      </c>
      <c r="Z320" s="4">
        <f t="shared" ca="1" si="267"/>
        <v>325.70885120126434</v>
      </c>
      <c r="AA320" s="4">
        <f t="shared" ca="1" si="267"/>
        <v>340.63525929905364</v>
      </c>
      <c r="AB320" s="11">
        <f t="shared" ca="1" si="255"/>
        <v>345.63054751215162</v>
      </c>
    </row>
    <row r="321" spans="4:28" x14ac:dyDescent="0.25">
      <c r="D321" s="17"/>
      <c r="E321" s="2">
        <f t="shared" si="252"/>
        <v>2.7000000000000011</v>
      </c>
      <c r="H321" s="11">
        <f t="shared" ca="1" si="253"/>
        <v>-310.48850017809468</v>
      </c>
      <c r="I321" s="4">
        <f t="shared" ref="I321:AA321" ca="1" si="268">-D*(J271-H271)/(2*delta)</f>
        <v>-308.71975087743414</v>
      </c>
      <c r="J321" s="4">
        <f t="shared" ca="1" si="268"/>
        <v>-303.30104867620207</v>
      </c>
      <c r="K321" s="4">
        <f t="shared" ca="1" si="268"/>
        <v>-293.89673988736888</v>
      </c>
      <c r="L321" s="4">
        <f t="shared" ca="1" si="268"/>
        <v>-279.95567808504194</v>
      </c>
      <c r="M321" s="4">
        <f t="shared" ca="1" si="268"/>
        <v>-260.73311843114215</v>
      </c>
      <c r="N321" s="4">
        <f t="shared" ca="1" si="268"/>
        <v>-235.34160615685624</v>
      </c>
      <c r="O321" s="4">
        <f t="shared" ca="1" si="268"/>
        <v>-202.85243473353631</v>
      </c>
      <c r="P321" s="4">
        <f t="shared" ca="1" si="268"/>
        <v>-162.47196521704228</v>
      </c>
      <c r="Q321" s="4">
        <f t="shared" ca="1" si="268"/>
        <v>-113.80571115757843</v>
      </c>
      <c r="R321" s="5">
        <f t="shared" ca="1" si="268"/>
        <v>-57.182515548836975</v>
      </c>
      <c r="S321" s="5">
        <f t="shared" ca="1" si="268"/>
        <v>6.0635444442839397</v>
      </c>
      <c r="T321" s="5">
        <f t="shared" ca="1" si="268"/>
        <v>73.519011576346941</v>
      </c>
      <c r="U321" s="5">
        <f t="shared" ca="1" si="268"/>
        <v>141.92936879489272</v>
      </c>
      <c r="V321" s="5">
        <f t="shared" ca="1" si="268"/>
        <v>207.68711381036482</v>
      </c>
      <c r="W321" s="5">
        <f t="shared" ca="1" si="268"/>
        <v>267.40592462828613</v>
      </c>
      <c r="X321" s="4">
        <f t="shared" ca="1" si="268"/>
        <v>318.40512029948911</v>
      </c>
      <c r="Y321" s="4">
        <f t="shared" ca="1" si="268"/>
        <v>358.94194949684061</v>
      </c>
      <c r="Z321" s="4">
        <f t="shared" ca="1" si="268"/>
        <v>388.13185864601633</v>
      </c>
      <c r="AA321" s="4">
        <f t="shared" ca="1" si="268"/>
        <v>405.66696772275651</v>
      </c>
      <c r="AB321" s="11">
        <f t="shared" ca="1" si="255"/>
        <v>411.50791888161933</v>
      </c>
    </row>
    <row r="322" spans="4:28" x14ac:dyDescent="0.25">
      <c r="D322" s="17"/>
      <c r="E322" s="2">
        <f t="shared" si="252"/>
        <v>2.600000000000001</v>
      </c>
      <c r="H322" s="11">
        <f t="shared" ca="1" si="253"/>
        <v>-354.02655383561483</v>
      </c>
      <c r="I322" s="4">
        <f t="shared" ref="I322:AA322" ca="1" si="269">-D*(J272-H272)/(2*delta)</f>
        <v>-352.40348720777632</v>
      </c>
      <c r="J322" s="4">
        <f t="shared" ca="1" si="269"/>
        <v>-347.38994901267876</v>
      </c>
      <c r="K322" s="4">
        <f t="shared" ca="1" si="269"/>
        <v>-338.54932714535767</v>
      </c>
      <c r="L322" s="4">
        <f t="shared" ca="1" si="269"/>
        <v>-325.14482772344365</v>
      </c>
      <c r="M322" s="4">
        <f t="shared" ca="1" si="269"/>
        <v>-306.13718042281596</v>
      </c>
      <c r="N322" s="4">
        <f t="shared" ca="1" si="269"/>
        <v>-280.20866426250421</v>
      </c>
      <c r="O322" s="4">
        <f t="shared" ca="1" si="269"/>
        <v>-245.8501861241281</v>
      </c>
      <c r="P322" s="4">
        <f t="shared" ca="1" si="269"/>
        <v>-201.56636300357093</v>
      </c>
      <c r="Q322" s="4">
        <f t="shared" ca="1" si="269"/>
        <v>-146.25758466390769</v>
      </c>
      <c r="R322" s="5">
        <f t="shared" ca="1" si="269"/>
        <v>-79.786098969983257</v>
      </c>
      <c r="S322" s="5">
        <f t="shared" ca="1" si="269"/>
        <v>-3.5699683997421592</v>
      </c>
      <c r="T322" s="5">
        <f t="shared" ca="1" si="269"/>
        <v>79.174219249341206</v>
      </c>
      <c r="U322" s="5">
        <f t="shared" ca="1" si="269"/>
        <v>163.8145153396909</v>
      </c>
      <c r="V322" s="5">
        <f t="shared" ca="1" si="269"/>
        <v>245.15191510885978</v>
      </c>
      <c r="W322" s="5">
        <f t="shared" ca="1" si="269"/>
        <v>318.40296002612291</v>
      </c>
      <c r="X322" s="4">
        <f t="shared" ca="1" si="269"/>
        <v>380.0397830842262</v>
      </c>
      <c r="Y322" s="4">
        <f t="shared" ca="1" si="269"/>
        <v>428.15742453360969</v>
      </c>
      <c r="Z322" s="4">
        <f t="shared" ca="1" si="269"/>
        <v>462.20966616315064</v>
      </c>
      <c r="AA322" s="4">
        <f t="shared" ca="1" si="269"/>
        <v>482.39283406430434</v>
      </c>
      <c r="AB322" s="11">
        <f t="shared" ca="1" si="255"/>
        <v>489.06719256882081</v>
      </c>
    </row>
    <row r="323" spans="4:28" x14ac:dyDescent="0.25">
      <c r="D323" s="17"/>
      <c r="E323" s="2">
        <f t="shared" si="252"/>
        <v>2.5000000000000009</v>
      </c>
      <c r="H323" s="11">
        <f t="shared" ca="1" si="253"/>
        <v>-400.81074074886931</v>
      </c>
      <c r="I323" s="4">
        <f t="shared" ref="I323:AA323" ca="1" si="270">-D*(J273-H273)/(2*delta)</f>
        <v>-399.47769510541815</v>
      </c>
      <c r="J323" s="4">
        <f t="shared" ca="1" si="270"/>
        <v>-395.30593302139948</v>
      </c>
      <c r="K323" s="4">
        <f t="shared" ca="1" si="270"/>
        <v>-387.76579195796387</v>
      </c>
      <c r="L323" s="4">
        <f t="shared" ca="1" si="270"/>
        <v>-375.93712524060805</v>
      </c>
      <c r="M323" s="4">
        <f t="shared" ca="1" si="270"/>
        <v>-358.46211127401068</v>
      </c>
      <c r="N323" s="4">
        <f t="shared" ca="1" si="270"/>
        <v>-333.50568434605361</v>
      </c>
      <c r="O323" s="4">
        <f t="shared" ca="1" si="270"/>
        <v>-298.77328249690055</v>
      </c>
      <c r="P323" s="4">
        <f t="shared" ca="1" si="270"/>
        <v>-251.68571600943423</v>
      </c>
      <c r="Q323" s="4">
        <f t="shared" ca="1" si="270"/>
        <v>-189.87216552443343</v>
      </c>
      <c r="R323" s="5">
        <f t="shared" ca="1" si="270"/>
        <v>-112.1343272671529</v>
      </c>
      <c r="S323" s="5">
        <f t="shared" ca="1" si="270"/>
        <v>-19.73153832277341</v>
      </c>
      <c r="T323" s="5">
        <f t="shared" ca="1" si="270"/>
        <v>82.933318481068994</v>
      </c>
      <c r="U323" s="5">
        <f t="shared" ca="1" si="270"/>
        <v>189.00255820560523</v>
      </c>
      <c r="V323" s="5">
        <f t="shared" ca="1" si="270"/>
        <v>290.70307125922841</v>
      </c>
      <c r="W323" s="5">
        <f t="shared" ca="1" si="270"/>
        <v>381.01421728311931</v>
      </c>
      <c r="X323" s="4">
        <f t="shared" ca="1" si="270"/>
        <v>455.19362747761778</v>
      </c>
      <c r="Y323" s="4">
        <f t="shared" ca="1" si="270"/>
        <v>511.43829939033509</v>
      </c>
      <c r="Z323" s="4">
        <f t="shared" ca="1" si="270"/>
        <v>550.15654740859907</v>
      </c>
      <c r="AA323" s="4">
        <f t="shared" ca="1" si="270"/>
        <v>572.6275098024405</v>
      </c>
      <c r="AB323" s="11">
        <f t="shared" ca="1" si="255"/>
        <v>579.97518326513671</v>
      </c>
    </row>
    <row r="324" spans="4:28" x14ac:dyDescent="0.25">
      <c r="D324" s="17"/>
      <c r="E324" s="2">
        <f t="shared" si="252"/>
        <v>2.4000000000000008</v>
      </c>
      <c r="H324" s="11">
        <f t="shared" ca="1" si="253"/>
        <v>-450.26101894896101</v>
      </c>
      <c r="I324" s="4">
        <f t="shared" ref="I324:AA324" ca="1" si="271">-D*(J274-H274)/(2*delta)</f>
        <v>-449.39061944362777</v>
      </c>
      <c r="J324" s="4">
        <f t="shared" ca="1" si="271"/>
        <v>-446.59029600953659</v>
      </c>
      <c r="K324" s="4">
        <f t="shared" ca="1" si="271"/>
        <v>-441.27078242442519</v>
      </c>
      <c r="L324" s="4">
        <f t="shared" ca="1" si="271"/>
        <v>-432.37577000701395</v>
      </c>
      <c r="M324" s="4">
        <f t="shared" ca="1" si="271"/>
        <v>-418.2684550866951</v>
      </c>
      <c r="N324" s="4">
        <f t="shared" ca="1" si="271"/>
        <v>-396.57867935105986</v>
      </c>
      <c r="O324" s="4">
        <f t="shared" ca="1" si="271"/>
        <v>-364.05154350811711</v>
      </c>
      <c r="P324" s="4">
        <f t="shared" ca="1" si="271"/>
        <v>-316.53105301253845</v>
      </c>
      <c r="Q324" s="4">
        <f t="shared" ca="1" si="271"/>
        <v>-249.41103415714096</v>
      </c>
      <c r="R324" s="5">
        <f t="shared" ca="1" si="271"/>
        <v>-159.14750625164953</v>
      </c>
      <c r="S324" s="5">
        <f t="shared" ca="1" si="271"/>
        <v>-46.155176105006966</v>
      </c>
      <c r="T324" s="5">
        <f t="shared" ca="1" si="271"/>
        <v>83.288034792265819</v>
      </c>
      <c r="U324" s="5">
        <f t="shared" ca="1" si="271"/>
        <v>218.55932774233472</v>
      </c>
      <c r="V324" s="5">
        <f t="shared" ca="1" si="271"/>
        <v>347.64359443936161</v>
      </c>
      <c r="W324" s="5">
        <f t="shared" ca="1" si="271"/>
        <v>459.75721036937824</v>
      </c>
      <c r="X324" s="4">
        <f t="shared" ca="1" si="271"/>
        <v>548.28221015266047</v>
      </c>
      <c r="Y324" s="4">
        <f t="shared" ca="1" si="271"/>
        <v>612.2455981416357</v>
      </c>
      <c r="Z324" s="4">
        <f t="shared" ca="1" si="271"/>
        <v>654.35071427857656</v>
      </c>
      <c r="AA324" s="4">
        <f t="shared" ca="1" si="271"/>
        <v>677.98547447166436</v>
      </c>
      <c r="AB324" s="11">
        <f t="shared" ca="1" si="255"/>
        <v>685.57852088682887</v>
      </c>
    </row>
    <row r="325" spans="4:28" x14ac:dyDescent="0.25">
      <c r="D325" s="17"/>
      <c r="E325" s="2">
        <f t="shared" si="252"/>
        <v>2.3000000000000007</v>
      </c>
      <c r="H325" s="11">
        <f t="shared" ca="1" si="253"/>
        <v>-501.45209615970299</v>
      </c>
      <c r="I325" s="4">
        <f t="shared" ref="I325:AA325" ca="1" si="272">-D*(J275-H275)/(2*delta)</f>
        <v>-501.23346771061944</v>
      </c>
      <c r="J325" s="4">
        <f t="shared" ca="1" si="272"/>
        <v>-500.39384914873494</v>
      </c>
      <c r="K325" s="4">
        <f t="shared" ca="1" si="272"/>
        <v>-498.35127172330857</v>
      </c>
      <c r="L325" s="4">
        <f t="shared" ca="1" si="272"/>
        <v>-494.02671727635993</v>
      </c>
      <c r="M325" s="4">
        <f t="shared" ca="1" si="272"/>
        <v>-485.65725971451701</v>
      </c>
      <c r="N325" s="4">
        <f t="shared" ca="1" si="272"/>
        <v>-470.48903446330871</v>
      </c>
      <c r="O325" s="4">
        <f t="shared" ca="1" si="272"/>
        <v>-444.32315917206699</v>
      </c>
      <c r="P325" s="4">
        <f t="shared" ca="1" si="272"/>
        <v>-400.97591837565699</v>
      </c>
      <c r="Q325" s="4">
        <f t="shared" ca="1" si="272"/>
        <v>-332.09341183994246</v>
      </c>
      <c r="R325" s="5">
        <f t="shared" ca="1" si="272"/>
        <v>-228.88948747742762</v>
      </c>
      <c r="S325" s="5">
        <f t="shared" ca="1" si="272"/>
        <v>-89.029694637838148</v>
      </c>
      <c r="T325" s="5">
        <f t="shared" ca="1" si="272"/>
        <v>77.814669050503653</v>
      </c>
      <c r="U325" s="5">
        <f t="shared" ca="1" si="272"/>
        <v>254.3031235322691</v>
      </c>
      <c r="V325" s="5">
        <f t="shared" ca="1" si="272"/>
        <v>421.5547683869612</v>
      </c>
      <c r="W325" s="5">
        <f t="shared" ca="1" si="272"/>
        <v>562.08881960217582</v>
      </c>
      <c r="X325" s="4">
        <f t="shared" ca="1" si="272"/>
        <v>665.93240462225481</v>
      </c>
      <c r="Y325" s="4">
        <f t="shared" ca="1" si="272"/>
        <v>734.91116874506031</v>
      </c>
      <c r="Z325" s="4">
        <f t="shared" ca="1" si="272"/>
        <v>777.01523709211369</v>
      </c>
      <c r="AA325" s="4">
        <f t="shared" ca="1" si="272"/>
        <v>799.38515291878741</v>
      </c>
      <c r="AB325" s="11">
        <f t="shared" ca="1" si="255"/>
        <v>806.36795133901285</v>
      </c>
    </row>
    <row r="326" spans="4:28" x14ac:dyDescent="0.25">
      <c r="D326" s="17"/>
      <c r="E326" s="2">
        <f t="shared" si="252"/>
        <v>2.2000000000000006</v>
      </c>
      <c r="H326" s="11">
        <f t="shared" ca="1" si="253"/>
        <v>-553.08043026859571</v>
      </c>
      <c r="I326" s="4">
        <f t="shared" ref="I326:AA326" ca="1" si="273">-D*(J276-H276)/(2*delta)</f>
        <v>-553.6973060903714</v>
      </c>
      <c r="J326" s="4">
        <f t="shared" ca="1" si="273"/>
        <v>-555.40036115141822</v>
      </c>
      <c r="K326" s="4">
        <f t="shared" ca="1" si="273"/>
        <v>-557.71373804378743</v>
      </c>
      <c r="L326" s="4">
        <f t="shared" ca="1" si="273"/>
        <v>-559.72256766059979</v>
      </c>
      <c r="M326" s="4">
        <f t="shared" ca="1" si="273"/>
        <v>-559.84483203176956</v>
      </c>
      <c r="N326" s="4">
        <f t="shared" ca="1" si="273"/>
        <v>-555.39703961546104</v>
      </c>
      <c r="O326" s="4">
        <f t="shared" ca="1" si="273"/>
        <v>-541.77614034134785</v>
      </c>
      <c r="P326" s="4">
        <f t="shared" ca="1" si="273"/>
        <v>-510.95604947827559</v>
      </c>
      <c r="Q326" s="4">
        <f t="shared" ca="1" si="273"/>
        <v>-449.09720734934837</v>
      </c>
      <c r="R326" s="5">
        <f t="shared" ca="1" si="273"/>
        <v>-335.28733717988911</v>
      </c>
      <c r="S326" s="5">
        <f t="shared" ca="1" si="273"/>
        <v>-158.88878401929134</v>
      </c>
      <c r="T326" s="5">
        <f t="shared" ca="1" si="273"/>
        <v>62.697212515252723</v>
      </c>
      <c r="U326" s="5">
        <f t="shared" ca="1" si="273"/>
        <v>299.28372894917896</v>
      </c>
      <c r="V326" s="5">
        <f t="shared" ca="1" si="273"/>
        <v>522.18353597358191</v>
      </c>
      <c r="W326" s="5">
        <f t="shared" ca="1" si="273"/>
        <v>701.1108950301084</v>
      </c>
      <c r="X326" s="4">
        <f t="shared" ca="1" si="273"/>
        <v>818.44741998910672</v>
      </c>
      <c r="Y326" s="4">
        <f t="shared" ca="1" si="273"/>
        <v>884.45143512434299</v>
      </c>
      <c r="Z326" s="4">
        <f t="shared" ca="1" si="273"/>
        <v>919.41391242614384</v>
      </c>
      <c r="AA326" s="4">
        <f t="shared" ca="1" si="273"/>
        <v>936.17194877228565</v>
      </c>
      <c r="AB326" s="11">
        <f t="shared" ca="1" si="255"/>
        <v>941.12297863171284</v>
      </c>
    </row>
    <row r="327" spans="4:28" x14ac:dyDescent="0.25">
      <c r="D327" s="17"/>
      <c r="E327" s="2">
        <f t="shared" si="252"/>
        <v>2.1000000000000005</v>
      </c>
      <c r="H327" s="11">
        <f t="shared" ca="1" si="253"/>
        <v>-603.47501273405123</v>
      </c>
      <c r="I327" s="4">
        <f t="shared" ref="I327:AA327" ca="1" si="274">-D*(J277-H277)/(2*delta)</f>
        <v>-605.07496523086854</v>
      </c>
      <c r="J327" s="4">
        <f t="shared" ca="1" si="274"/>
        <v>-609.79655132270602</v>
      </c>
      <c r="K327" s="4">
        <f t="shared" ca="1" si="274"/>
        <v>-617.38075163993722</v>
      </c>
      <c r="L327" s="4">
        <f t="shared" ca="1" si="274"/>
        <v>-627.30498329066154</v>
      </c>
      <c r="M327" s="4">
        <f t="shared" ca="1" si="274"/>
        <v>-638.60246113633798</v>
      </c>
      <c r="N327" s="4">
        <f t="shared" ca="1" si="274"/>
        <v>-649.47815162505901</v>
      </c>
      <c r="O327" s="4">
        <f t="shared" ca="1" si="274"/>
        <v>-656.4283130998806</v>
      </c>
      <c r="P327" s="4">
        <f t="shared" ca="1" si="274"/>
        <v>-651.97493184681377</v>
      </c>
      <c r="Q327" s="4">
        <f t="shared" ca="1" si="274"/>
        <v>-618.05203089883116</v>
      </c>
      <c r="R327" s="5">
        <f t="shared" ca="1" si="274"/>
        <v>-504.27386987394624</v>
      </c>
      <c r="S327" s="5">
        <f t="shared" ca="1" si="274"/>
        <v>-273.93531677501625</v>
      </c>
      <c r="T327" s="5">
        <f t="shared" ca="1" si="274"/>
        <v>32.579236081075692</v>
      </c>
      <c r="U327" s="5">
        <f t="shared" ca="1" si="274"/>
        <v>357.95104377554662</v>
      </c>
      <c r="V327" s="5">
        <f t="shared" ca="1" si="274"/>
        <v>666.78475152791714</v>
      </c>
      <c r="W327" s="5">
        <f t="shared" ca="1" si="274"/>
        <v>901.72380455570033</v>
      </c>
      <c r="X327" s="4">
        <f t="shared" ca="1" si="274"/>
        <v>1022.2949451798661</v>
      </c>
      <c r="Y327" s="4">
        <f t="shared" ca="1" si="274"/>
        <v>1065.0332393368903</v>
      </c>
      <c r="Z327" s="4">
        <f t="shared" ca="1" si="274"/>
        <v>1080.0170287157439</v>
      </c>
      <c r="AA327" s="4">
        <f t="shared" ca="1" si="274"/>
        <v>1084.7657511127345</v>
      </c>
      <c r="AB327" s="11">
        <f t="shared" ca="1" si="255"/>
        <v>1085.7800656432187</v>
      </c>
    </row>
    <row r="328" spans="4:28" x14ac:dyDescent="0.25">
      <c r="D328" s="17"/>
      <c r="E328" s="2">
        <f t="shared" si="252"/>
        <v>2.0000000000000004</v>
      </c>
      <c r="H328" s="11">
        <f t="shared" ca="1" si="253"/>
        <v>-650.66969020580666</v>
      </c>
      <c r="I328" s="4">
        <f t="shared" ref="I328:AA328" ca="1" si="275">-D*(J278-H278)/(2*delta)</f>
        <v>-653.33099077637792</v>
      </c>
      <c r="J328" s="4">
        <f t="shared" ca="1" si="275"/>
        <v>-661.33012726861648</v>
      </c>
      <c r="K328" s="4">
        <f t="shared" ca="1" si="275"/>
        <v>-674.70773390265856</v>
      </c>
      <c r="L328" s="4">
        <f t="shared" ca="1" si="275"/>
        <v>-693.51415272572251</v>
      </c>
      <c r="M328" s="4">
        <f t="shared" ca="1" si="275"/>
        <v>-717.78187759792706</v>
      </c>
      <c r="N328" s="4">
        <f t="shared" ca="1" si="275"/>
        <v>-747.48479264855609</v>
      </c>
      <c r="O328" s="4">
        <f t="shared" ca="1" si="275"/>
        <v>-782.48402858627003</v>
      </c>
      <c r="P328" s="4">
        <f t="shared" ca="1" si="275"/>
        <v>-822.46333391059409</v>
      </c>
      <c r="Q328" s="4">
        <f t="shared" ca="1" si="275"/>
        <v>-866.86211452515033</v>
      </c>
      <c r="R328" s="5">
        <f t="shared" ca="1" si="275"/>
        <v>-789.82079464172239</v>
      </c>
      <c r="S328" s="5">
        <f t="shared" ca="1" si="275"/>
        <v>-465.15784928816373</v>
      </c>
      <c r="T328" s="5">
        <f t="shared" ca="1" si="275"/>
        <v>-16.395995191480306</v>
      </c>
      <c r="U328" s="5">
        <f t="shared" ca="1" si="275"/>
        <v>433.15645854466624</v>
      </c>
      <c r="V328" s="5">
        <f t="shared" ca="1" si="275"/>
        <v>885.28062180680672</v>
      </c>
      <c r="W328" s="5">
        <f t="shared" ca="1" si="275"/>
        <v>1216.704626484747</v>
      </c>
      <c r="X328" s="4">
        <f t="shared" ca="1" si="275"/>
        <v>1303.9753168376699</v>
      </c>
      <c r="Y328" s="4">
        <f t="shared" ca="1" si="275"/>
        <v>1273.369548327559</v>
      </c>
      <c r="Z328" s="4">
        <f t="shared" ca="1" si="275"/>
        <v>1250.8552119872643</v>
      </c>
      <c r="AA328" s="4">
        <f t="shared" ca="1" si="275"/>
        <v>1237.0939613195753</v>
      </c>
      <c r="AB328" s="11">
        <f t="shared" ca="1" si="255"/>
        <v>1232.465781715709</v>
      </c>
    </row>
    <row r="329" spans="4:28" x14ac:dyDescent="0.25">
      <c r="D329" s="17"/>
      <c r="E329" s="2">
        <f t="shared" si="252"/>
        <v>1.9000000000000006</v>
      </c>
      <c r="H329" s="11">
        <f t="shared" ca="1" si="253"/>
        <v>-692.54176653633817</v>
      </c>
      <c r="I329" s="4">
        <f t="shared" ref="I329:AA329" ca="1" si="276">-D*(J279-H279)/(2*delta)</f>
        <v>-696.24918040035061</v>
      </c>
      <c r="J329" s="4">
        <f t="shared" ca="1" si="276"/>
        <v>-707.48523307268238</v>
      </c>
      <c r="K329" s="4">
        <f t="shared" ca="1" si="276"/>
        <v>-726.60590397619524</v>
      </c>
      <c r="L329" s="4">
        <f t="shared" ca="1" si="276"/>
        <v>-754.26201611156171</v>
      </c>
      <c r="M329" s="4">
        <f t="shared" ca="1" si="276"/>
        <v>-791.52610388141704</v>
      </c>
      <c r="N329" s="4">
        <f t="shared" ca="1" si="276"/>
        <v>-840.19511278506582</v>
      </c>
      <c r="O329" s="4">
        <f t="shared" ca="1" si="276"/>
        <v>-903.55967468588642</v>
      </c>
      <c r="P329" s="4">
        <f t="shared" ca="1" si="276"/>
        <v>-988.53226068440347</v>
      </c>
      <c r="Q329" s="4">
        <f t="shared" ca="1" si="276"/>
        <v>-1112.1122986488535</v>
      </c>
      <c r="R329" s="4">
        <f t="shared" ca="1" si="276"/>
        <v>-1072.9893448794071</v>
      </c>
      <c r="S329" s="4">
        <f t="shared" ca="1" si="276"/>
        <v>-655.47929054520432</v>
      </c>
      <c r="T329" s="4">
        <f t="shared" ca="1" si="276"/>
        <v>-66.161826103564536</v>
      </c>
      <c r="U329" s="4">
        <f t="shared" ca="1" si="276"/>
        <v>505.79016378811758</v>
      </c>
      <c r="V329" s="4">
        <f t="shared" ca="1" si="276"/>
        <v>1099.4766506698177</v>
      </c>
      <c r="W329" s="4">
        <f t="shared" ca="1" si="276"/>
        <v>1525.8387627386542</v>
      </c>
      <c r="X329" s="4">
        <f t="shared" ca="1" si="276"/>
        <v>1578.5321473587221</v>
      </c>
      <c r="Y329" s="4">
        <f t="shared" ca="1" si="276"/>
        <v>1473.6144251485905</v>
      </c>
      <c r="Z329" s="4">
        <f t="shared" ca="1" si="276"/>
        <v>1412.9403095860976</v>
      </c>
      <c r="AA329" s="4">
        <f t="shared" ca="1" si="276"/>
        <v>1380.2891004625451</v>
      </c>
      <c r="AB329" s="11">
        <f t="shared" ca="1" si="255"/>
        <v>1369.8951385804337</v>
      </c>
    </row>
    <row r="330" spans="4:28" x14ac:dyDescent="0.25">
      <c r="D330" s="17"/>
      <c r="E330" s="2">
        <f t="shared" si="252"/>
        <v>1.8000000000000005</v>
      </c>
      <c r="H330" s="11">
        <f t="shared" ca="1" si="253"/>
        <v>-726.99901513886118</v>
      </c>
      <c r="I330" s="4">
        <f t="shared" ref="I330:AA330" ca="1" si="277">-D*(J280-H280)/(2*delta)</f>
        <v>-731.63873121593076</v>
      </c>
      <c r="J330" s="4">
        <f t="shared" ca="1" si="277"/>
        <v>-745.75572064560765</v>
      </c>
      <c r="K330" s="4">
        <f t="shared" ca="1" si="277"/>
        <v>-769.96863281795208</v>
      </c>
      <c r="L330" s="4">
        <f t="shared" ca="1" si="277"/>
        <v>-805.40190386305846</v>
      </c>
      <c r="M330" s="4">
        <f t="shared" ca="1" si="277"/>
        <v>-853.86540903111302</v>
      </c>
      <c r="N330" s="4">
        <f t="shared" ca="1" si="277"/>
        <v>-918.20987992427399</v>
      </c>
      <c r="O330" s="4">
        <f t="shared" ca="1" si="277"/>
        <v>-1003.0272966878717</v>
      </c>
      <c r="P330" s="4">
        <f t="shared" ca="1" si="277"/>
        <v>-1115.9937354918884</v>
      </c>
      <c r="Q330" s="4">
        <f t="shared" ca="1" si="277"/>
        <v>-1270.0654745067518</v>
      </c>
      <c r="R330" s="4">
        <f t="shared" ca="1" si="277"/>
        <v>-1234.5449956817283</v>
      </c>
      <c r="S330" s="4">
        <f t="shared" ca="1" si="277"/>
        <v>-767.60814190952397</v>
      </c>
      <c r="T330" s="4">
        <f t="shared" ca="1" si="277"/>
        <v>-98.562182466277449</v>
      </c>
      <c r="U330" s="4">
        <f t="shared" ca="1" si="277"/>
        <v>556.68937204141992</v>
      </c>
      <c r="V330" s="4">
        <f t="shared" ca="1" si="277"/>
        <v>1230.9970543457296</v>
      </c>
      <c r="W330" s="4">
        <f t="shared" ca="1" si="277"/>
        <v>1708.6416264417965</v>
      </c>
      <c r="X330" s="4">
        <f t="shared" ca="1" si="277"/>
        <v>1760.7000847096867</v>
      </c>
      <c r="Y330" s="4">
        <f t="shared" ca="1" si="277"/>
        <v>1629.6156953217717</v>
      </c>
      <c r="Z330" s="4">
        <f t="shared" ca="1" si="277"/>
        <v>1547.0025007463646</v>
      </c>
      <c r="AA330" s="4">
        <f t="shared" ca="1" si="277"/>
        <v>1501.2269923641554</v>
      </c>
      <c r="AB330" s="11">
        <f t="shared" ca="1" si="255"/>
        <v>1486.5365716809681</v>
      </c>
    </row>
    <row r="331" spans="4:28" x14ac:dyDescent="0.25">
      <c r="D331" s="17"/>
      <c r="E331" s="2">
        <f t="shared" si="252"/>
        <v>1.7000000000000004</v>
      </c>
      <c r="H331" s="11">
        <f t="shared" ca="1" si="253"/>
        <v>-752.17683158718</v>
      </c>
      <c r="I331" s="4">
        <f t="shared" ref="I331:AA331" ca="1" si="278">-D*(J281-H281)/(2*delta)</f>
        <v>-757.55100867889553</v>
      </c>
      <c r="J331" s="4">
        <f t="shared" ca="1" si="278"/>
        <v>-773.9302854758979</v>
      </c>
      <c r="K331" s="4">
        <f t="shared" ca="1" si="278"/>
        <v>-802.11100278705271</v>
      </c>
      <c r="L331" s="4">
        <f t="shared" ca="1" si="278"/>
        <v>-843.51155749124905</v>
      </c>
      <c r="M331" s="4">
        <f t="shared" ca="1" si="278"/>
        <v>-900.32374845540915</v>
      </c>
      <c r="N331" s="4">
        <f t="shared" ca="1" si="278"/>
        <v>-975.7517011935995</v>
      </c>
      <c r="O331" s="4">
        <f t="shared" ca="1" si="278"/>
        <v>-1074.3458966498947</v>
      </c>
      <c r="P331" s="4">
        <f t="shared" ca="1" si="278"/>
        <v>-1202.3499100883303</v>
      </c>
      <c r="Q331" s="4">
        <f t="shared" ca="1" si="278"/>
        <v>-1367.6108682037927</v>
      </c>
      <c r="R331" s="4">
        <f t="shared" ca="1" si="278"/>
        <v>-1327.5170214316336</v>
      </c>
      <c r="S331" s="4">
        <f t="shared" ca="1" si="278"/>
        <v>-831.84609894557695</v>
      </c>
      <c r="T331" s="4">
        <f t="shared" ca="1" si="278"/>
        <v>-117.16813389265927</v>
      </c>
      <c r="U331" s="4">
        <f t="shared" ca="1" si="278"/>
        <v>588.53245249863301</v>
      </c>
      <c r="V331" s="4">
        <f t="shared" ca="1" si="278"/>
        <v>1309.1805682294025</v>
      </c>
      <c r="W331" s="4">
        <f t="shared" ca="1" si="278"/>
        <v>1817.0306039729298</v>
      </c>
      <c r="X331" s="4">
        <f t="shared" ca="1" si="278"/>
        <v>1876.0108697169183</v>
      </c>
      <c r="Y331" s="4">
        <f t="shared" ca="1" si="278"/>
        <v>1737.1457706823476</v>
      </c>
      <c r="Z331" s="4">
        <f t="shared" ca="1" si="278"/>
        <v>1644.227005713042</v>
      </c>
      <c r="AA331" s="4">
        <f t="shared" ca="1" si="278"/>
        <v>1591.0797965667116</v>
      </c>
      <c r="AB331" s="11">
        <f t="shared" ca="1" si="255"/>
        <v>1573.7971634151932</v>
      </c>
    </row>
    <row r="332" spans="4:28" x14ac:dyDescent="0.25">
      <c r="D332" s="17"/>
      <c r="E332" s="2">
        <f t="shared" si="252"/>
        <v>1.6000000000000003</v>
      </c>
      <c r="H332" s="11">
        <f t="shared" ca="1" si="253"/>
        <v>-766.60629385218181</v>
      </c>
      <c r="I332" s="4">
        <f t="shared" ref="I332:AA332" ca="1" si="279">-D*(J282-H282)/(2*delta)</f>
        <v>-772.45818643661414</v>
      </c>
      <c r="J332" s="4">
        <f t="shared" ca="1" si="279"/>
        <v>-790.30340979202697</v>
      </c>
      <c r="K332" s="4">
        <f t="shared" ca="1" si="279"/>
        <v>-821.03353536300642</v>
      </c>
      <c r="L332" s="4">
        <f t="shared" ca="1" si="279"/>
        <v>-866.20957485978545</v>
      </c>
      <c r="M332" s="4">
        <f t="shared" ca="1" si="279"/>
        <v>-928.16632610573913</v>
      </c>
      <c r="N332" s="4">
        <f t="shared" ca="1" si="279"/>
        <v>-1010.1272797442016</v>
      </c>
      <c r="O332" s="4">
        <f t="shared" ca="1" si="279"/>
        <v>-1116.2546786296482</v>
      </c>
      <c r="P332" s="4">
        <f t="shared" ca="1" si="279"/>
        <v>-1251.4491400083314</v>
      </c>
      <c r="Q332" s="4">
        <f t="shared" ca="1" si="279"/>
        <v>-1420.5110667889489</v>
      </c>
      <c r="R332" s="4">
        <f t="shared" ca="1" si="279"/>
        <v>-1376.0661228946658</v>
      </c>
      <c r="S332" s="4">
        <f t="shared" ca="1" si="279"/>
        <v>-865.09109854833525</v>
      </c>
      <c r="T332" s="4">
        <f t="shared" ca="1" si="279"/>
        <v>-126.79670665800138</v>
      </c>
      <c r="U332" s="4">
        <f t="shared" ca="1" si="279"/>
        <v>605.42800361643265</v>
      </c>
      <c r="V332" s="4">
        <f t="shared" ca="1" si="279"/>
        <v>1350.1621621001611</v>
      </c>
      <c r="W332" s="4">
        <f t="shared" ca="1" si="279"/>
        <v>1874.2893515037124</v>
      </c>
      <c r="X332" s="4">
        <f t="shared" ca="1" si="279"/>
        <v>1939.1670195030731</v>
      </c>
      <c r="Y332" s="4">
        <f t="shared" ca="1" si="279"/>
        <v>1798.7295119776425</v>
      </c>
      <c r="Z332" s="4">
        <f t="shared" ca="1" si="279"/>
        <v>1701.6799548568408</v>
      </c>
      <c r="AA332" s="4">
        <f t="shared" ca="1" si="279"/>
        <v>1645.0680247745049</v>
      </c>
      <c r="AB332" s="11">
        <f t="shared" ca="1" si="255"/>
        <v>1626.4924888460564</v>
      </c>
    </row>
    <row r="333" spans="4:28" x14ac:dyDescent="0.25">
      <c r="D333" s="17"/>
      <c r="E333" s="2">
        <f t="shared" si="252"/>
        <v>1.5000000000000002</v>
      </c>
      <c r="H333" s="11">
        <f t="shared" ca="1" si="253"/>
        <v>-769.33197094831883</v>
      </c>
      <c r="I333" s="4">
        <f t="shared" ref="I333:AA333" ca="1" si="280">-D*(J283-H283)/(2*delta)</f>
        <v>-775.37203342320606</v>
      </c>
      <c r="J333" s="4">
        <f t="shared" ca="1" si="280"/>
        <v>-793.79163189270309</v>
      </c>
      <c r="K333" s="4">
        <f t="shared" ca="1" si="280"/>
        <v>-825.51015401320933</v>
      </c>
      <c r="L333" s="4">
        <f t="shared" ca="1" si="280"/>
        <v>-872.1268804791307</v>
      </c>
      <c r="M333" s="4">
        <f t="shared" ca="1" si="280"/>
        <v>-936.00470136365868</v>
      </c>
      <c r="N333" s="4">
        <f t="shared" ca="1" si="280"/>
        <v>-1020.3364130479173</v>
      </c>
      <c r="O333" s="4">
        <f t="shared" ca="1" si="280"/>
        <v>-1129.0963981162297</v>
      </c>
      <c r="P333" s="4">
        <f t="shared" ca="1" si="280"/>
        <v>-1266.6809045262669</v>
      </c>
      <c r="Q333" s="4">
        <f t="shared" ca="1" si="280"/>
        <v>-1436.9181360484588</v>
      </c>
      <c r="R333" s="4">
        <f t="shared" ca="1" si="280"/>
        <v>-1391.1453048102787</v>
      </c>
      <c r="S333" s="4">
        <f t="shared" ca="1" si="280"/>
        <v>-875.65546569513344</v>
      </c>
      <c r="T333" s="4">
        <f t="shared" ca="1" si="280"/>
        <v>-130.35559780724819</v>
      </c>
      <c r="U333" s="4">
        <f t="shared" ca="1" si="280"/>
        <v>609.81410652461125</v>
      </c>
      <c r="V333" s="4">
        <f t="shared" ca="1" si="280"/>
        <v>1361.7507250515268</v>
      </c>
      <c r="W333" s="4">
        <f t="shared" ca="1" si="280"/>
        <v>1890.7976204382082</v>
      </c>
      <c r="X333" s="4">
        <f t="shared" ca="1" si="280"/>
        <v>1957.6383448138611</v>
      </c>
      <c r="Y333" s="4">
        <f t="shared" ca="1" si="280"/>
        <v>1816.9253028686014</v>
      </c>
      <c r="Z333" s="4">
        <f t="shared" ca="1" si="280"/>
        <v>1718.6952769623379</v>
      </c>
      <c r="AA333" s="4">
        <f t="shared" ca="1" si="280"/>
        <v>1661.0198588284754</v>
      </c>
      <c r="AB333" s="11">
        <f t="shared" ca="1" si="255"/>
        <v>1642.0367424199571</v>
      </c>
    </row>
    <row r="334" spans="4:28" x14ac:dyDescent="0.25">
      <c r="D334" s="17"/>
      <c r="E334" s="2">
        <f t="shared" si="252"/>
        <v>1.4000000000000001</v>
      </c>
      <c r="H334" s="11">
        <f t="shared" ca="1" si="253"/>
        <v>-759.97752309461623</v>
      </c>
      <c r="I334" s="4">
        <f t="shared" ref="I334:AA334" ca="1" si="281">-D*(J284-H284)/(2*delta)</f>
        <v>-765.90634441521274</v>
      </c>
      <c r="J334" s="4">
        <f t="shared" ca="1" si="281"/>
        <v>-783.98093034238627</v>
      </c>
      <c r="K334" s="4">
        <f t="shared" ca="1" si="281"/>
        <v>-815.08856831794026</v>
      </c>
      <c r="L334" s="4">
        <f t="shared" ca="1" si="281"/>
        <v>-860.78309168017859</v>
      </c>
      <c r="M334" s="4">
        <f t="shared" ca="1" si="281"/>
        <v>-923.38918582194572</v>
      </c>
      <c r="N334" s="4">
        <f t="shared" ca="1" si="281"/>
        <v>-1006.1172729670909</v>
      </c>
      <c r="O334" s="4">
        <f t="shared" ca="1" si="281"/>
        <v>-1113.1135962612811</v>
      </c>
      <c r="P334" s="4">
        <f t="shared" ca="1" si="281"/>
        <v>-1249.2599439323724</v>
      </c>
      <c r="Q334" s="4">
        <f t="shared" ca="1" si="281"/>
        <v>-1419.3352680679238</v>
      </c>
      <c r="R334" s="4">
        <f t="shared" ca="1" si="281"/>
        <v>-1375.9414946027384</v>
      </c>
      <c r="S334" s="4">
        <f t="shared" ca="1" si="281"/>
        <v>-866.02986161503486</v>
      </c>
      <c r="T334" s="4">
        <f t="shared" ca="1" si="281"/>
        <v>-128.78432540020864</v>
      </c>
      <c r="U334" s="4">
        <f t="shared" ca="1" si="281"/>
        <v>602.43329523805903</v>
      </c>
      <c r="V334" s="4">
        <f t="shared" ca="1" si="281"/>
        <v>1346.2290111427092</v>
      </c>
      <c r="W334" s="4">
        <f t="shared" ca="1" si="281"/>
        <v>1869.5120603835817</v>
      </c>
      <c r="X334" s="4">
        <f t="shared" ca="1" si="281"/>
        <v>1933.6634364457284</v>
      </c>
      <c r="Y334" s="4">
        <f t="shared" ca="1" si="281"/>
        <v>1792.6380777205477</v>
      </c>
      <c r="Z334" s="4">
        <f t="shared" ca="1" si="281"/>
        <v>1695.1559912955008</v>
      </c>
      <c r="AA334" s="4">
        <f t="shared" ca="1" si="281"/>
        <v>1638.2793911571503</v>
      </c>
      <c r="AB334" s="11">
        <f t="shared" ca="1" si="255"/>
        <v>1619.6147631766905</v>
      </c>
    </row>
    <row r="335" spans="4:28" x14ac:dyDescent="0.25">
      <c r="D335" s="17"/>
      <c r="E335" s="2">
        <f t="shared" si="252"/>
        <v>1.3</v>
      </c>
      <c r="H335" s="11">
        <f t="shared" ca="1" si="253"/>
        <v>-738.76543259968821</v>
      </c>
      <c r="I335" s="4">
        <f t="shared" ref="I335:AA335" ca="1" si="282">-D*(J285-H285)/(2*delta)</f>
        <v>-744.29489080075655</v>
      </c>
      <c r="J335" s="4">
        <f t="shared" ca="1" si="282"/>
        <v>-761.13717674368854</v>
      </c>
      <c r="K335" s="4">
        <f t="shared" ca="1" si="282"/>
        <v>-790.08009723587304</v>
      </c>
      <c r="L335" s="4">
        <f t="shared" ca="1" si="282"/>
        <v>-832.52773210164924</v>
      </c>
      <c r="M335" s="4">
        <f t="shared" ca="1" si="282"/>
        <v>-890.65167727711446</v>
      </c>
      <c r="N335" s="4">
        <f t="shared" ca="1" si="282"/>
        <v>-967.62989673721938</v>
      </c>
      <c r="O335" s="4">
        <f t="shared" ca="1" si="282"/>
        <v>-1067.9807700289114</v>
      </c>
      <c r="P335" s="4">
        <f t="shared" ca="1" si="282"/>
        <v>-1197.9100068743421</v>
      </c>
      <c r="Q335" s="4">
        <f t="shared" ca="1" si="282"/>
        <v>-1365.2214976887524</v>
      </c>
      <c r="R335" s="4">
        <f t="shared" ca="1" si="282"/>
        <v>-1327.2555439173368</v>
      </c>
      <c r="S335" s="4">
        <f t="shared" ca="1" si="282"/>
        <v>-833.7381607619003</v>
      </c>
      <c r="T335" s="4">
        <f t="shared" ca="1" si="282"/>
        <v>-121.18513741674089</v>
      </c>
      <c r="U335" s="4">
        <f t="shared" ca="1" si="282"/>
        <v>582.47438868525444</v>
      </c>
      <c r="V335" s="4">
        <f t="shared" ca="1" si="282"/>
        <v>1301.2199638975769</v>
      </c>
      <c r="W335" s="4">
        <f t="shared" ca="1" si="282"/>
        <v>1807.3581735080188</v>
      </c>
      <c r="X335" s="4">
        <f t="shared" ca="1" si="282"/>
        <v>1864.8652628648313</v>
      </c>
      <c r="Y335" s="4">
        <f t="shared" ca="1" si="282"/>
        <v>1724.807580272198</v>
      </c>
      <c r="Z335" s="4">
        <f t="shared" ca="1" si="282"/>
        <v>1631.0112193421608</v>
      </c>
      <c r="AA335" s="4">
        <f t="shared" ca="1" si="282"/>
        <v>1577.3269513278372</v>
      </c>
      <c r="AB335" s="11">
        <f t="shared" ca="1" si="255"/>
        <v>1559.8635279725047</v>
      </c>
    </row>
    <row r="336" spans="4:28" x14ac:dyDescent="0.25">
      <c r="D336" s="17"/>
      <c r="E336" s="2">
        <f t="shared" si="252"/>
        <v>1.2</v>
      </c>
      <c r="H336" s="11">
        <f t="shared" ca="1" si="253"/>
        <v>-706.49442570259077</v>
      </c>
      <c r="I336" s="4">
        <f t="shared" ref="I336:AA336" ca="1" si="283">-D*(J286-H286)/(2*delta)</f>
        <v>-711.37060944436348</v>
      </c>
      <c r="J336" s="4">
        <f t="shared" ca="1" si="283"/>
        <v>-726.19278859578662</v>
      </c>
      <c r="K336" s="4">
        <f t="shared" ca="1" si="283"/>
        <v>-751.56691178028746</v>
      </c>
      <c r="L336" s="4">
        <f t="shared" ca="1" si="283"/>
        <v>-788.5960622134636</v>
      </c>
      <c r="M336" s="4">
        <f t="shared" ca="1" si="283"/>
        <v>-839.05989444757813</v>
      </c>
      <c r="N336" s="4">
        <f t="shared" ca="1" si="283"/>
        <v>-905.76986667543542</v>
      </c>
      <c r="O336" s="4">
        <f t="shared" ca="1" si="283"/>
        <v>-993.26958024312887</v>
      </c>
      <c r="P336" s="4">
        <f t="shared" ca="1" si="283"/>
        <v>-1109.1778158474624</v>
      </c>
      <c r="Q336" s="4">
        <f t="shared" ca="1" si="283"/>
        <v>-1266.3851718953781</v>
      </c>
      <c r="R336" s="4">
        <f t="shared" ca="1" si="283"/>
        <v>-1234.1210226157727</v>
      </c>
      <c r="S336" s="4">
        <f t="shared" ca="1" si="283"/>
        <v>-770.48210009865863</v>
      </c>
      <c r="T336" s="4">
        <f t="shared" ca="1" si="283"/>
        <v>-104.69245219030374</v>
      </c>
      <c r="U336" s="4">
        <f t="shared" ca="1" si="283"/>
        <v>547.42943302277251</v>
      </c>
      <c r="V336" s="4">
        <f t="shared" ca="1" si="283"/>
        <v>1218.8182822541041</v>
      </c>
      <c r="W336" s="4">
        <f t="shared" ca="1" si="283"/>
        <v>1693.8354068858685</v>
      </c>
      <c r="X336" s="4">
        <f t="shared" ca="1" si="283"/>
        <v>1743.6318612335481</v>
      </c>
      <c r="Y336" s="4">
        <f t="shared" ca="1" si="283"/>
        <v>1610.715761161139</v>
      </c>
      <c r="Z336" s="4">
        <f t="shared" ca="1" si="283"/>
        <v>1526.7543544730574</v>
      </c>
      <c r="AA336" s="4">
        <f t="shared" ca="1" si="283"/>
        <v>1480.1536668396147</v>
      </c>
      <c r="AB336" s="11">
        <f t="shared" ca="1" si="255"/>
        <v>1465.1854460576217</v>
      </c>
    </row>
    <row r="337" spans="4:28" x14ac:dyDescent="0.25">
      <c r="D337" s="17"/>
      <c r="E337" s="2">
        <f t="shared" si="252"/>
        <v>1.0999999999999999</v>
      </c>
      <c r="H337" s="11">
        <f t="shared" ca="1" si="253"/>
        <v>-664.47105132185027</v>
      </c>
      <c r="I337" s="4">
        <f t="shared" ref="I337:AA337" ca="1" si="284">-D*(J287-H287)/(2*delta)</f>
        <v>-668.50033267836932</v>
      </c>
      <c r="J337" s="4">
        <f t="shared" ca="1" si="284"/>
        <v>-680.6964564148559</v>
      </c>
      <c r="K337" s="4">
        <f t="shared" ca="1" si="284"/>
        <v>-701.39869907594493</v>
      </c>
      <c r="L337" s="4">
        <f t="shared" ca="1" si="284"/>
        <v>-731.22971052424202</v>
      </c>
      <c r="M337" s="4">
        <f t="shared" ca="1" si="284"/>
        <v>-771.2219716244939</v>
      </c>
      <c r="N337" s="4">
        <f t="shared" ca="1" si="284"/>
        <v>-823.12009527384851</v>
      </c>
      <c r="O337" s="4">
        <f t="shared" ca="1" si="284"/>
        <v>-890.14986842073893</v>
      </c>
      <c r="P337" s="4">
        <f t="shared" ca="1" si="284"/>
        <v>-979.14650437687021</v>
      </c>
      <c r="Q337" s="4">
        <f t="shared" ca="1" si="284"/>
        <v>-1107.020351429562</v>
      </c>
      <c r="R337" s="4">
        <f t="shared" ca="1" si="284"/>
        <v>-1072.3612745519904</v>
      </c>
      <c r="S337" s="4">
        <f t="shared" ca="1" si="284"/>
        <v>-659.37676482624124</v>
      </c>
      <c r="T337" s="4">
        <f t="shared" ca="1" si="284"/>
        <v>-74.53200426839247</v>
      </c>
      <c r="U337" s="4">
        <f t="shared" ca="1" si="284"/>
        <v>493.11751334145089</v>
      </c>
      <c r="V337" s="4">
        <f t="shared" ca="1" si="284"/>
        <v>1082.7883252103684</v>
      </c>
      <c r="W337" s="4">
        <f t="shared" ca="1" si="284"/>
        <v>1505.5333105479763</v>
      </c>
      <c r="X337" s="4">
        <f t="shared" ca="1" si="284"/>
        <v>1555.1110140219027</v>
      </c>
      <c r="Y337" s="4">
        <f t="shared" ca="1" si="284"/>
        <v>1447.6692486660618</v>
      </c>
      <c r="Z337" s="4">
        <f t="shared" ca="1" si="284"/>
        <v>1385.1367705494285</v>
      </c>
      <c r="AA337" s="4">
        <f t="shared" ca="1" si="284"/>
        <v>1351.3479154998613</v>
      </c>
      <c r="AB337" s="11">
        <f t="shared" ca="1" si="255"/>
        <v>1340.5709225788501</v>
      </c>
    </row>
    <row r="338" spans="4:28" x14ac:dyDescent="0.25">
      <c r="D338" s="17"/>
      <c r="E338" s="2">
        <f t="shared" si="252"/>
        <v>0.99999999999999989</v>
      </c>
      <c r="H338" s="11">
        <f t="shared" ca="1" si="253"/>
        <v>-614.38911422807166</v>
      </c>
      <c r="I338" s="4">
        <f t="shared" ref="I338:AA338" ca="1" si="285">-D*(J288-H288)/(2*delta)</f>
        <v>-617.46321353243184</v>
      </c>
      <c r="J338" s="4">
        <f t="shared" ca="1" si="285"/>
        <v>-626.69400530938776</v>
      </c>
      <c r="K338" s="4">
        <f t="shared" ca="1" si="285"/>
        <v>-642.10171758450053</v>
      </c>
      <c r="L338" s="4">
        <f t="shared" ca="1" si="285"/>
        <v>-663.70210918306577</v>
      </c>
      <c r="M338" s="4">
        <f t="shared" ca="1" si="285"/>
        <v>-691.47818625246919</v>
      </c>
      <c r="N338" s="4">
        <f t="shared" ca="1" si="285"/>
        <v>-725.33867437472657</v>
      </c>
      <c r="O338" s="4">
        <f t="shared" ca="1" si="285"/>
        <v>-765.06329378920611</v>
      </c>
      <c r="P338" s="4">
        <f t="shared" ca="1" si="285"/>
        <v>-810.23798180926087</v>
      </c>
      <c r="Q338" s="4">
        <f t="shared" ca="1" si="285"/>
        <v>-860.18845489385205</v>
      </c>
      <c r="R338" s="4">
        <f t="shared" ca="1" si="285"/>
        <v>-788.92695933691778</v>
      </c>
      <c r="S338" s="4">
        <f t="shared" ca="1" si="285"/>
        <v>-470.13168038563521</v>
      </c>
      <c r="T338" s="4">
        <f t="shared" ca="1" si="285"/>
        <v>-27.176313398345428</v>
      </c>
      <c r="U338" s="4">
        <f t="shared" ca="1" si="285"/>
        <v>416.78429940072863</v>
      </c>
      <c r="V338" s="4">
        <f t="shared" ca="1" si="285"/>
        <v>863.68419469801233</v>
      </c>
      <c r="W338" s="4">
        <f t="shared" ca="1" si="285"/>
        <v>1190.3984960742641</v>
      </c>
      <c r="X338" s="4">
        <f t="shared" ca="1" si="285"/>
        <v>1273.6096356401622</v>
      </c>
      <c r="Y338" s="4">
        <f t="shared" ca="1" si="285"/>
        <v>1239.7134489315165</v>
      </c>
      <c r="Z338" s="4">
        <f t="shared" ca="1" si="285"/>
        <v>1214.7755635584645</v>
      </c>
      <c r="AA338" s="4">
        <f t="shared" ca="1" si="285"/>
        <v>1199.5303020315855</v>
      </c>
      <c r="AB338" s="11">
        <f t="shared" ca="1" si="255"/>
        <v>1194.4024132582024</v>
      </c>
    </row>
    <row r="339" spans="4:28" x14ac:dyDescent="0.25">
      <c r="D339" s="17"/>
      <c r="E339" s="2">
        <f t="shared" si="252"/>
        <v>0.89999999999999991</v>
      </c>
      <c r="H339" s="11">
        <f t="shared" ca="1" si="253"/>
        <v>-558.15897852552393</v>
      </c>
      <c r="I339" s="4">
        <f t="shared" ref="I339:AA339" ca="1" si="286">-D*(J289-H289)/(2*delta)</f>
        <v>-560.26940191397978</v>
      </c>
      <c r="J339" s="4">
        <f t="shared" ca="1" si="286"/>
        <v>-566.51463370570593</v>
      </c>
      <c r="K339" s="4">
        <f t="shared" ca="1" si="286"/>
        <v>-576.61205676952272</v>
      </c>
      <c r="L339" s="4">
        <f t="shared" ca="1" si="286"/>
        <v>-589.9988223710352</v>
      </c>
      <c r="M339" s="4">
        <f t="shared" ca="1" si="286"/>
        <v>-605.6499898274925</v>
      </c>
      <c r="N339" s="4">
        <f t="shared" ca="1" si="286"/>
        <v>-621.6931221834144</v>
      </c>
      <c r="O339" s="4">
        <f t="shared" ca="1" si="286"/>
        <v>-634.52665055187049</v>
      </c>
      <c r="P339" s="4">
        <f t="shared" ca="1" si="286"/>
        <v>-636.55367417731156</v>
      </c>
      <c r="Q339" s="4">
        <f t="shared" ca="1" si="286"/>
        <v>-609.56852699984893</v>
      </c>
      <c r="R339" s="4">
        <f t="shared" ca="1" si="286"/>
        <v>-503.02642751610108</v>
      </c>
      <c r="S339" s="4">
        <f t="shared" ca="1" si="286"/>
        <v>-280.04668398115308</v>
      </c>
      <c r="T339" s="4">
        <f t="shared" ca="1" si="286"/>
        <v>19.174131659917283</v>
      </c>
      <c r="U339" s="4">
        <f t="shared" ca="1" si="286"/>
        <v>337.51180296179672</v>
      </c>
      <c r="V339" s="4">
        <f t="shared" ca="1" si="286"/>
        <v>639.76565810657678</v>
      </c>
      <c r="W339" s="4">
        <f t="shared" ca="1" si="286"/>
        <v>868.76684341084706</v>
      </c>
      <c r="X339" s="4">
        <f t="shared" ca="1" si="286"/>
        <v>984.21558353295154</v>
      </c>
      <c r="Y339" s="4">
        <f t="shared" ca="1" si="286"/>
        <v>1022.7993478613856</v>
      </c>
      <c r="Z339" s="4">
        <f t="shared" ca="1" si="286"/>
        <v>1034.721732721539</v>
      </c>
      <c r="AA339" s="4">
        <f t="shared" ca="1" si="286"/>
        <v>1037.595315809838</v>
      </c>
      <c r="AB339" s="11">
        <f t="shared" ca="1" si="255"/>
        <v>1037.9781263906909</v>
      </c>
    </row>
    <row r="340" spans="4:28" x14ac:dyDescent="0.25">
      <c r="D340" s="17"/>
      <c r="E340" s="2">
        <f t="shared" si="252"/>
        <v>0.79999999999999993</v>
      </c>
      <c r="H340" s="11">
        <f t="shared" ca="1" si="253"/>
        <v>-497.70799604599955</v>
      </c>
      <c r="I340" s="4">
        <f t="shared" ref="I340:AA340" ca="1" si="287">-D*(J290-H290)/(2*delta)</f>
        <v>-498.94078189220835</v>
      </c>
      <c r="J340" s="4">
        <f t="shared" ca="1" si="287"/>
        <v>-502.48307083003124</v>
      </c>
      <c r="K340" s="4">
        <f t="shared" ca="1" si="287"/>
        <v>-507.83305341689766</v>
      </c>
      <c r="L340" s="4">
        <f t="shared" ca="1" si="287"/>
        <v>-514.03113370389713</v>
      </c>
      <c r="M340" s="4">
        <f t="shared" ca="1" si="287"/>
        <v>-519.42982850305145</v>
      </c>
      <c r="N340" s="4">
        <f t="shared" ca="1" si="287"/>
        <v>-521.25717397986091</v>
      </c>
      <c r="O340" s="4">
        <f t="shared" ca="1" si="287"/>
        <v>-514.79651205767959</v>
      </c>
      <c r="P340" s="4">
        <f t="shared" ca="1" si="287"/>
        <v>-491.88153734820116</v>
      </c>
      <c r="Q340" s="4">
        <f t="shared" ca="1" si="287"/>
        <v>-438.50555141187118</v>
      </c>
      <c r="R340" s="4">
        <f t="shared" ca="1" si="287"/>
        <v>-333.56353974635368</v>
      </c>
      <c r="S340" s="4">
        <f t="shared" ca="1" si="287"/>
        <v>-166.20275968279302</v>
      </c>
      <c r="T340" s="4">
        <f t="shared" ca="1" si="287"/>
        <v>46.407721057240622</v>
      </c>
      <c r="U340" s="4">
        <f t="shared" ca="1" si="287"/>
        <v>274.32312267983349</v>
      </c>
      <c r="V340" s="4">
        <f t="shared" ca="1" si="287"/>
        <v>489.0997913556505</v>
      </c>
      <c r="W340" s="4">
        <f t="shared" ca="1" si="287"/>
        <v>660.68763592979178</v>
      </c>
      <c r="X340" s="4">
        <f t="shared" ca="1" si="287"/>
        <v>771.68650721947654</v>
      </c>
      <c r="Y340" s="4">
        <f t="shared" ca="1" si="287"/>
        <v>832.54662625938874</v>
      </c>
      <c r="Z340" s="4">
        <f t="shared" ca="1" si="287"/>
        <v>863.71670365654177</v>
      </c>
      <c r="AA340" s="4">
        <f t="shared" ca="1" si="287"/>
        <v>878.15110209548732</v>
      </c>
      <c r="AB340" s="11">
        <f t="shared" ca="1" si="255"/>
        <v>882.31946068486889</v>
      </c>
    </row>
    <row r="341" spans="4:28" x14ac:dyDescent="0.25">
      <c r="D341" s="17"/>
      <c r="E341" s="2">
        <f t="shared" si="252"/>
        <v>0.7</v>
      </c>
      <c r="H341" s="11">
        <f t="shared" ca="1" si="253"/>
        <v>-434.79144187410651</v>
      </c>
      <c r="I341" s="4">
        <f t="shared" ref="I341:AA341" ca="1" si="288">-D*(J291-H291)/(2*delta)</f>
        <v>-435.30265877892032</v>
      </c>
      <c r="J341" s="4">
        <f t="shared" ca="1" si="288"/>
        <v>-436.64381430517483</v>
      </c>
      <c r="K341" s="4">
        <f t="shared" ca="1" si="288"/>
        <v>-438.20595236413948</v>
      </c>
      <c r="L341" s="4">
        <f t="shared" ca="1" si="288"/>
        <v>-438.8628305247509</v>
      </c>
      <c r="M341" s="4">
        <f t="shared" ca="1" si="288"/>
        <v>-436.78101650089036</v>
      </c>
      <c r="N341" s="4">
        <f t="shared" ca="1" si="288"/>
        <v>-429.10923317529807</v>
      </c>
      <c r="O341" s="4">
        <f t="shared" ca="1" si="288"/>
        <v>-411.52068635078564</v>
      </c>
      <c r="P341" s="4">
        <f t="shared" ca="1" si="288"/>
        <v>-377.67041174607249</v>
      </c>
      <c r="Q341" s="4">
        <f t="shared" ca="1" si="288"/>
        <v>-319.00860155314564</v>
      </c>
      <c r="R341" s="4">
        <f t="shared" ca="1" si="288"/>
        <v>-226.51942037438965</v>
      </c>
      <c r="S341" s="4">
        <f t="shared" ca="1" si="288"/>
        <v>-97.608536060906943</v>
      </c>
      <c r="T341" s="4">
        <f t="shared" ca="1" si="288"/>
        <v>58.336389571776714</v>
      </c>
      <c r="U341" s="4">
        <f t="shared" ca="1" si="288"/>
        <v>224.2731753446796</v>
      </c>
      <c r="V341" s="4">
        <f t="shared" ca="1" si="288"/>
        <v>381.62274870656375</v>
      </c>
      <c r="W341" s="4">
        <f t="shared" ca="1" si="288"/>
        <v>513.19740173322486</v>
      </c>
      <c r="X341" s="4">
        <f t="shared" ca="1" si="288"/>
        <v>609.29618315572498</v>
      </c>
      <c r="Y341" s="4">
        <f t="shared" ca="1" si="288"/>
        <v>671.98394630013445</v>
      </c>
      <c r="Z341" s="4">
        <f t="shared" ca="1" si="288"/>
        <v>709.44735354970385</v>
      </c>
      <c r="AA341" s="4">
        <f t="shared" ca="1" si="288"/>
        <v>728.9729282307494</v>
      </c>
      <c r="AB341" s="11">
        <f t="shared" ca="1" si="255"/>
        <v>734.99751215794004</v>
      </c>
    </row>
    <row r="342" spans="4:28" x14ac:dyDescent="0.25">
      <c r="D342" s="17"/>
      <c r="E342" s="2">
        <f t="shared" si="252"/>
        <v>0.6</v>
      </c>
      <c r="H342" s="11">
        <f t="shared" ca="1" si="253"/>
        <v>-370.85245389259399</v>
      </c>
      <c r="I342" s="4">
        <f t="shared" ref="I342:AA342" ca="1" si="289">-D*(J292-H292)/(2*delta)</f>
        <v>-370.8345970441917</v>
      </c>
      <c r="J342" s="4">
        <f t="shared" ca="1" si="289"/>
        <v>-370.58357524766973</v>
      </c>
      <c r="K342" s="4">
        <f t="shared" ca="1" si="289"/>
        <v>-369.48411120981592</v>
      </c>
      <c r="L342" s="4">
        <f t="shared" ca="1" si="289"/>
        <v>-366.4332195299458</v>
      </c>
      <c r="M342" s="4">
        <f t="shared" ca="1" si="289"/>
        <v>-359.72217380051023</v>
      </c>
      <c r="N342" s="4">
        <f t="shared" ca="1" si="289"/>
        <v>-346.87805586981852</v>
      </c>
      <c r="O342" s="4">
        <f t="shared" ca="1" si="289"/>
        <v>-324.50658842379886</v>
      </c>
      <c r="P342" s="4">
        <f t="shared" ca="1" si="289"/>
        <v>-288.27082173225523</v>
      </c>
      <c r="Q342" s="4">
        <f t="shared" ca="1" si="289"/>
        <v>-233.3390226801516</v>
      </c>
      <c r="R342" s="4">
        <f t="shared" ca="1" si="289"/>
        <v>-155.89700413695653</v>
      </c>
      <c r="S342" s="4">
        <f t="shared" ca="1" si="289"/>
        <v>-56.048353758416987</v>
      </c>
      <c r="T342" s="4">
        <f t="shared" ca="1" si="289"/>
        <v>60.273197946158781</v>
      </c>
      <c r="U342" s="4">
        <f t="shared" ca="1" si="289"/>
        <v>182.81044042031601</v>
      </c>
      <c r="V342" s="4">
        <f t="shared" ca="1" si="289"/>
        <v>299.92062639283</v>
      </c>
      <c r="W342" s="4">
        <f t="shared" ca="1" si="289"/>
        <v>401.18303914103063</v>
      </c>
      <c r="X342" s="4">
        <f t="shared" ca="1" si="289"/>
        <v>480.31687736981962</v>
      </c>
      <c r="Y342" s="4">
        <f t="shared" ca="1" si="289"/>
        <v>536.64562223563928</v>
      </c>
      <c r="Z342" s="4">
        <f t="shared" ca="1" si="289"/>
        <v>573.11583601144605</v>
      </c>
      <c r="AA342" s="4">
        <f t="shared" ca="1" si="289"/>
        <v>593.29574511989938</v>
      </c>
      <c r="AB342" s="11">
        <f t="shared" ca="1" si="255"/>
        <v>599.72473148537631</v>
      </c>
    </row>
    <row r="343" spans="4:28" x14ac:dyDescent="0.25">
      <c r="D343" s="17"/>
      <c r="E343" s="2">
        <f t="shared" si="252"/>
        <v>0.5</v>
      </c>
      <c r="H343" s="11">
        <f t="shared" ca="1" si="253"/>
        <v>-306.94917960790224</v>
      </c>
      <c r="I343" s="4">
        <f t="shared" ref="I343:AA343" ca="1" si="290">-D*(J293-H293)/(2*delta)</f>
        <v>-306.59970025758685</v>
      </c>
      <c r="J343" s="4">
        <f t="shared" ca="1" si="290"/>
        <v>-305.3717784314145</v>
      </c>
      <c r="K343" s="4">
        <f t="shared" ca="1" si="290"/>
        <v>-302.71369769752113</v>
      </c>
      <c r="L343" s="4">
        <f t="shared" ca="1" si="290"/>
        <v>-297.66376258476328</v>
      </c>
      <c r="M343" s="4">
        <f t="shared" ca="1" si="290"/>
        <v>-288.79640330130439</v>
      </c>
      <c r="N343" s="4">
        <f t="shared" ca="1" si="290"/>
        <v>-274.17422807971593</v>
      </c>
      <c r="O343" s="4">
        <f t="shared" ca="1" si="290"/>
        <v>-251.35678974243439</v>
      </c>
      <c r="P343" s="4">
        <f t="shared" ca="1" si="290"/>
        <v>-217.56726407903034</v>
      </c>
      <c r="Q343" s="4">
        <f t="shared" ca="1" si="290"/>
        <v>-170.17966329831398</v>
      </c>
      <c r="R343" s="4">
        <f t="shared" ca="1" si="290"/>
        <v>-107.68121973490034</v>
      </c>
      <c r="S343" s="4">
        <f t="shared" ca="1" si="290"/>
        <v>-30.961072781832918</v>
      </c>
      <c r="T343" s="4">
        <f t="shared" ca="1" si="290"/>
        <v>55.994315551187391</v>
      </c>
      <c r="U343" s="4">
        <f t="shared" ca="1" si="290"/>
        <v>146.77476199749785</v>
      </c>
      <c r="V343" s="4">
        <f t="shared" ca="1" si="290"/>
        <v>234.06627730337667</v>
      </c>
      <c r="W343" s="4">
        <f t="shared" ca="1" si="290"/>
        <v>311.29725106821604</v>
      </c>
      <c r="X343" s="4">
        <f t="shared" ca="1" si="290"/>
        <v>374.14266494685143</v>
      </c>
      <c r="Y343" s="4">
        <f t="shared" ca="1" si="290"/>
        <v>421.16582926128672</v>
      </c>
      <c r="Z343" s="4">
        <f t="shared" ca="1" si="290"/>
        <v>453.07462314046478</v>
      </c>
      <c r="AA343" s="4">
        <f t="shared" ca="1" si="290"/>
        <v>471.36948475199301</v>
      </c>
      <c r="AB343" s="11">
        <f t="shared" ca="1" si="255"/>
        <v>477.30992354379055</v>
      </c>
    </row>
    <row r="344" spans="4:28" x14ac:dyDescent="0.25">
      <c r="D344" s="17"/>
      <c r="E344" s="2">
        <f t="shared" si="252"/>
        <v>0.4</v>
      </c>
      <c r="H344" s="11">
        <f t="shared" ca="1" si="253"/>
        <v>-243.74486402385764</v>
      </c>
      <c r="I344" s="4">
        <f t="shared" ref="I344:AA344" ca="1" si="291">-D*(J294-H294)/(2*delta)</f>
        <v>-243.24324594684697</v>
      </c>
      <c r="J344" s="4">
        <f t="shared" ca="1" si="291"/>
        <v>-241.59014052290505</v>
      </c>
      <c r="K344" s="4">
        <f t="shared" ca="1" si="291"/>
        <v>-238.3351385640824</v>
      </c>
      <c r="L344" s="4">
        <f t="shared" ca="1" si="291"/>
        <v>-232.71172981028201</v>
      </c>
      <c r="M344" s="4">
        <f t="shared" ca="1" si="291"/>
        <v>-223.62544874022836</v>
      </c>
      <c r="N344" s="4">
        <f t="shared" ca="1" si="291"/>
        <v>-209.66566340532233</v>
      </c>
      <c r="O344" s="4">
        <f t="shared" ca="1" si="291"/>
        <v>-189.17907838712716</v>
      </c>
      <c r="P344" s="4">
        <f t="shared" ca="1" si="291"/>
        <v>-160.46178154323158</v>
      </c>
      <c r="Q344" s="4">
        <f t="shared" ca="1" si="291"/>
        <v>-122.13114669914152</v>
      </c>
      <c r="R344" s="4">
        <f t="shared" ca="1" si="291"/>
        <v>-73.687138722335504</v>
      </c>
      <c r="S344" s="4">
        <f t="shared" ca="1" si="291"/>
        <v>-16.109033185364471</v>
      </c>
      <c r="T344" s="4">
        <f t="shared" ca="1" si="291"/>
        <v>47.890375042827969</v>
      </c>
      <c r="U344" s="4">
        <f t="shared" ca="1" si="291"/>
        <v>114.22801471525844</v>
      </c>
      <c r="V344" s="4">
        <f t="shared" ca="1" si="291"/>
        <v>178.2724697548818</v>
      </c>
      <c r="W344" s="4">
        <f t="shared" ca="1" si="291"/>
        <v>235.79702288157253</v>
      </c>
      <c r="X344" s="4">
        <f t="shared" ca="1" si="291"/>
        <v>283.79070208818882</v>
      </c>
      <c r="Y344" s="4">
        <f t="shared" ca="1" si="291"/>
        <v>320.80040672213846</v>
      </c>
      <c r="Z344" s="4">
        <f t="shared" ca="1" si="291"/>
        <v>346.64734253719871</v>
      </c>
      <c r="AA344" s="4">
        <f t="shared" ca="1" si="291"/>
        <v>361.79764720382144</v>
      </c>
      <c r="AB344" s="11">
        <f t="shared" ca="1" si="255"/>
        <v>366.77599318581605</v>
      </c>
    </row>
    <row r="345" spans="4:28" x14ac:dyDescent="0.25">
      <c r="D345" s="17"/>
      <c r="E345" s="2">
        <f t="shared" si="252"/>
        <v>0.30000000000000004</v>
      </c>
      <c r="H345" s="11">
        <f t="shared" ca="1" si="253"/>
        <v>-181.54378459383858</v>
      </c>
      <c r="I345" s="4">
        <f t="shared" ref="I345:AA345" ca="1" si="292">-D*(J295-H295)/(2*delta)</f>
        <v>-181.03827898301788</v>
      </c>
      <c r="J345" s="4">
        <f t="shared" ca="1" si="292"/>
        <v>-179.41039914925813</v>
      </c>
      <c r="K345" s="4">
        <f t="shared" ca="1" si="292"/>
        <v>-176.32498622572331</v>
      </c>
      <c r="L345" s="4">
        <f t="shared" ca="1" si="292"/>
        <v>-171.22256935200477</v>
      </c>
      <c r="M345" s="4">
        <f t="shared" ca="1" si="292"/>
        <v>-163.32799844393966</v>
      </c>
      <c r="N345" s="4">
        <f t="shared" ca="1" si="292"/>
        <v>-151.68389841428328</v>
      </c>
      <c r="O345" s="4">
        <f t="shared" ca="1" si="292"/>
        <v>-135.23207885756909</v>
      </c>
      <c r="P345" s="4">
        <f t="shared" ca="1" si="292"/>
        <v>-112.96963700754576</v>
      </c>
      <c r="Q345" s="4">
        <f t="shared" ca="1" si="292"/>
        <v>-84.196003232652316</v>
      </c>
      <c r="R345" s="4">
        <f t="shared" ca="1" si="292"/>
        <v>-48.827155270147266</v>
      </c>
      <c r="S345" s="4">
        <f t="shared" ca="1" si="292"/>
        <v>-7.6782962800196968</v>
      </c>
      <c r="T345" s="4">
        <f t="shared" ca="1" si="292"/>
        <v>37.448203090165357</v>
      </c>
      <c r="U345" s="4">
        <f t="shared" ca="1" si="292"/>
        <v>83.974452065728215</v>
      </c>
      <c r="V345" s="4">
        <f t="shared" ca="1" si="292"/>
        <v>128.99856411951478</v>
      </c>
      <c r="W345" s="4">
        <f t="shared" ca="1" si="292"/>
        <v>169.82766861505206</v>
      </c>
      <c r="X345" s="4">
        <f t="shared" ca="1" si="292"/>
        <v>204.42271380218503</v>
      </c>
      <c r="Y345" s="4">
        <f t="shared" ca="1" si="292"/>
        <v>231.59775300187982</v>
      </c>
      <c r="Z345" s="4">
        <f t="shared" ca="1" si="292"/>
        <v>250.9166930823902</v>
      </c>
      <c r="AA345" s="4">
        <f t="shared" ca="1" si="292"/>
        <v>262.39776834026185</v>
      </c>
      <c r="AB345" s="11">
        <f t="shared" ca="1" si="255"/>
        <v>266.19875479180632</v>
      </c>
    </row>
    <row r="346" spans="4:28" x14ac:dyDescent="0.25">
      <c r="D346" s="17"/>
      <c r="E346" s="2">
        <f t="shared" si="252"/>
        <v>0.2</v>
      </c>
      <c r="H346" s="11">
        <f t="shared" ca="1" si="253"/>
        <v>-120.35371638544059</v>
      </c>
      <c r="I346" s="4">
        <f t="shared" ref="I346:AA346" ca="1" si="293">-D*(J296-H296)/(2*delta)</f>
        <v>-119.95568624212581</v>
      </c>
      <c r="J346" s="4">
        <f t="shared" ca="1" si="293"/>
        <v>-118.68819086541664</v>
      </c>
      <c r="K346" s="4">
        <f t="shared" ca="1" si="293"/>
        <v>-116.33183783753375</v>
      </c>
      <c r="L346" s="4">
        <f t="shared" ca="1" si="293"/>
        <v>-112.52556292807019</v>
      </c>
      <c r="M346" s="4">
        <f t="shared" ca="1" si="293"/>
        <v>-106.78007726928286</v>
      </c>
      <c r="N346" s="4">
        <f t="shared" ca="1" si="293"/>
        <v>-98.50985295029372</v>
      </c>
      <c r="O346" s="4">
        <f t="shared" ca="1" si="293"/>
        <v>-87.095701621295902</v>
      </c>
      <c r="P346" s="4">
        <f t="shared" ca="1" si="293"/>
        <v>-71.988684396754707</v>
      </c>
      <c r="Q346" s="4">
        <f t="shared" ca="1" si="293"/>
        <v>-52.856073953725783</v>
      </c>
      <c r="R346" s="4">
        <f t="shared" ca="1" si="293"/>
        <v>-29.747182845369807</v>
      </c>
      <c r="S346" s="4">
        <f t="shared" ca="1" si="293"/>
        <v>-3.2251997548138478</v>
      </c>
      <c r="T346" s="4">
        <f t="shared" ca="1" si="293"/>
        <v>25.606281531945758</v>
      </c>
      <c r="U346" s="4">
        <f t="shared" ca="1" si="293"/>
        <v>55.223026338023061</v>
      </c>
      <c r="V346" s="4">
        <f t="shared" ca="1" si="293"/>
        <v>83.919666042446153</v>
      </c>
      <c r="W346" s="4">
        <f t="shared" ca="1" si="293"/>
        <v>110.09237365692815</v>
      </c>
      <c r="X346" s="4">
        <f t="shared" ca="1" si="293"/>
        <v>132.47473150358647</v>
      </c>
      <c r="Y346" s="4">
        <f t="shared" ca="1" si="293"/>
        <v>150.25119840078523</v>
      </c>
      <c r="Z346" s="4">
        <f t="shared" ca="1" si="293"/>
        <v>163.0239084502042</v>
      </c>
      <c r="AA346" s="4">
        <f t="shared" ca="1" si="293"/>
        <v>170.67797828304151</v>
      </c>
      <c r="AB346" s="11">
        <f t="shared" ca="1" si="255"/>
        <v>173.2234893008856</v>
      </c>
    </row>
    <row r="347" spans="4:28" x14ac:dyDescent="0.25">
      <c r="D347" s="17"/>
      <c r="E347" s="2">
        <f t="shared" si="252"/>
        <v>0.1</v>
      </c>
      <c r="H347" s="11">
        <f t="shared" ca="1" si="253"/>
        <v>-59.9597084636803</v>
      </c>
      <c r="I347" s="4">
        <f t="shared" ref="I347:AA347" ca="1" si="294">-D*(J297-H297)/(2*delta)</f>
        <v>-59.742558734638273</v>
      </c>
      <c r="J347" s="4">
        <f t="shared" ca="1" si="294"/>
        <v>-59.054840232746969</v>
      </c>
      <c r="K347" s="4">
        <f t="shared" ca="1" si="294"/>
        <v>-57.788611330935005</v>
      </c>
      <c r="L347" s="4">
        <f t="shared" ca="1" si="294"/>
        <v>-55.767767253445051</v>
      </c>
      <c r="M347" s="4">
        <f t="shared" ca="1" si="294"/>
        <v>-52.756894754774969</v>
      </c>
      <c r="N347" s="4">
        <f t="shared" ca="1" si="294"/>
        <v>-48.479734496394407</v>
      </c>
      <c r="O347" s="4">
        <f t="shared" ca="1" si="294"/>
        <v>-42.652190280525225</v>
      </c>
      <c r="P347" s="4">
        <f t="shared" ca="1" si="294"/>
        <v>-35.0333250043821</v>
      </c>
      <c r="Q347" s="4">
        <f t="shared" ca="1" si="294"/>
        <v>-25.49242534024847</v>
      </c>
      <c r="R347" s="4">
        <f t="shared" ca="1" si="294"/>
        <v>-14.080302402849336</v>
      </c>
      <c r="S347" s="4">
        <f t="shared" ca="1" si="294"/>
        <v>-1.0816014257627762</v>
      </c>
      <c r="T347" s="4">
        <f t="shared" ca="1" si="294"/>
        <v>12.979096454530632</v>
      </c>
      <c r="U347" s="4">
        <f t="shared" ca="1" si="294"/>
        <v>27.391705711955836</v>
      </c>
      <c r="V347" s="4">
        <f t="shared" ca="1" si="294"/>
        <v>41.364700055265587</v>
      </c>
      <c r="W347" s="4">
        <f t="shared" ca="1" si="294"/>
        <v>54.147428466644051</v>
      </c>
      <c r="X347" s="4">
        <f t="shared" ca="1" si="294"/>
        <v>65.132640154419121</v>
      </c>
      <c r="Y347" s="4">
        <f t="shared" ca="1" si="294"/>
        <v>73.908400647460212</v>
      </c>
      <c r="Z347" s="4">
        <f t="shared" ca="1" si="294"/>
        <v>80.249764034626338</v>
      </c>
      <c r="AA347" s="4">
        <f t="shared" ca="1" si="294"/>
        <v>84.066747040824623</v>
      </c>
      <c r="AB347" s="11">
        <f t="shared" ca="1" si="255"/>
        <v>85.339245845632689</v>
      </c>
    </row>
    <row r="348" spans="4:28" x14ac:dyDescent="0.25">
      <c r="D348" s="17"/>
      <c r="E348" s="2">
        <v>0</v>
      </c>
      <c r="H348" s="11">
        <f t="shared" ca="1" si="253"/>
        <v>0</v>
      </c>
      <c r="I348" s="3">
        <f t="shared" ref="I348:AA348" ca="1" si="295">-D*(J298-H298)/(2*delta)</f>
        <v>0</v>
      </c>
      <c r="J348" s="3">
        <f t="shared" ca="1" si="295"/>
        <v>0</v>
      </c>
      <c r="K348" s="3">
        <f t="shared" ca="1" si="295"/>
        <v>0</v>
      </c>
      <c r="L348" s="3">
        <f t="shared" ca="1" si="295"/>
        <v>0</v>
      </c>
      <c r="M348" s="3">
        <f t="shared" ca="1" si="295"/>
        <v>0</v>
      </c>
      <c r="N348" s="3">
        <f t="shared" ca="1" si="295"/>
        <v>0</v>
      </c>
      <c r="O348" s="3">
        <f t="shared" ca="1" si="295"/>
        <v>0</v>
      </c>
      <c r="P348" s="3">
        <f t="shared" ca="1" si="295"/>
        <v>0</v>
      </c>
      <c r="Q348" s="3">
        <f t="shared" ca="1" si="295"/>
        <v>0</v>
      </c>
      <c r="R348" s="3">
        <f t="shared" ca="1" si="295"/>
        <v>0</v>
      </c>
      <c r="S348" s="3">
        <f t="shared" ca="1" si="295"/>
        <v>0</v>
      </c>
      <c r="T348" s="3">
        <f t="shared" ca="1" si="295"/>
        <v>0</v>
      </c>
      <c r="U348" s="3">
        <f t="shared" ca="1" si="295"/>
        <v>0</v>
      </c>
      <c r="V348" s="3">
        <f t="shared" ca="1" si="295"/>
        <v>0</v>
      </c>
      <c r="W348" s="3">
        <f t="shared" ca="1" si="295"/>
        <v>0</v>
      </c>
      <c r="X348" s="3">
        <f t="shared" ca="1" si="295"/>
        <v>0</v>
      </c>
      <c r="Y348" s="3">
        <f t="shared" ca="1" si="295"/>
        <v>0</v>
      </c>
      <c r="Z348" s="3">
        <f t="shared" ca="1" si="295"/>
        <v>0</v>
      </c>
      <c r="AA348" s="3">
        <f t="shared" ca="1" si="295"/>
        <v>0</v>
      </c>
      <c r="AB348" s="11">
        <f t="shared" ca="1" si="255"/>
        <v>0</v>
      </c>
    </row>
    <row r="353" spans="5:28" ht="18.75" x14ac:dyDescent="0.3">
      <c r="E353" s="1" t="s">
        <v>46</v>
      </c>
    </row>
    <row r="354" spans="5:28" x14ac:dyDescent="0.25">
      <c r="H354" s="18" t="s">
        <v>17</v>
      </c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</row>
    <row r="355" spans="5:28" x14ac:dyDescent="0.25">
      <c r="H355" s="2">
        <v>0</v>
      </c>
      <c r="I355" s="2">
        <f t="shared" ref="I355:AB355" si="296">+H355+delta</f>
        <v>0.1</v>
      </c>
      <c r="J355" s="2">
        <f t="shared" si="296"/>
        <v>0.2</v>
      </c>
      <c r="K355" s="2">
        <f t="shared" si="296"/>
        <v>0.30000000000000004</v>
      </c>
      <c r="L355" s="2">
        <f t="shared" si="296"/>
        <v>0.4</v>
      </c>
      <c r="M355" s="2">
        <f t="shared" si="296"/>
        <v>0.5</v>
      </c>
      <c r="N355" s="2">
        <f t="shared" si="296"/>
        <v>0.6</v>
      </c>
      <c r="O355" s="2">
        <f t="shared" si="296"/>
        <v>0.7</v>
      </c>
      <c r="P355" s="2">
        <f t="shared" si="296"/>
        <v>0.79999999999999993</v>
      </c>
      <c r="Q355" s="2">
        <f t="shared" si="296"/>
        <v>0.89999999999999991</v>
      </c>
      <c r="R355" s="2">
        <f t="shared" si="296"/>
        <v>0.99999999999999989</v>
      </c>
      <c r="S355" s="2">
        <f t="shared" si="296"/>
        <v>1.0999999999999999</v>
      </c>
      <c r="T355" s="2">
        <f t="shared" si="296"/>
        <v>1.2</v>
      </c>
      <c r="U355" s="2">
        <f t="shared" si="296"/>
        <v>1.3</v>
      </c>
      <c r="V355" s="2">
        <f t="shared" si="296"/>
        <v>1.4000000000000001</v>
      </c>
      <c r="W355" s="2">
        <f t="shared" si="296"/>
        <v>1.5000000000000002</v>
      </c>
      <c r="X355" s="2">
        <f t="shared" si="296"/>
        <v>1.6000000000000003</v>
      </c>
      <c r="Y355" s="2">
        <f t="shared" si="296"/>
        <v>1.7000000000000004</v>
      </c>
      <c r="Z355" s="2">
        <f t="shared" si="296"/>
        <v>1.8000000000000005</v>
      </c>
      <c r="AA355" s="2">
        <f t="shared" si="296"/>
        <v>1.9000000000000006</v>
      </c>
      <c r="AB355" s="2">
        <f t="shared" si="296"/>
        <v>2.0000000000000004</v>
      </c>
    </row>
    <row r="358" spans="5:28" x14ac:dyDescent="0.25">
      <c r="E358" s="2">
        <f t="shared" ref="E358:E397" si="297">E359+delta</f>
        <v>4.0000000000000018</v>
      </c>
      <c r="H358" s="11">
        <f ca="1">-D*(H258-H259)/delta</f>
        <v>-5.0903422310955557E-13</v>
      </c>
      <c r="I358" s="11">
        <f ca="1">-D*(I258-I259)/delta</f>
        <v>14.71820255345791</v>
      </c>
      <c r="J358" s="11">
        <f ca="1">-D*(J258-J259)/delta</f>
        <v>29.119559754029716</v>
      </c>
      <c r="K358" s="11">
        <f ca="1">-D*(K258-K259)/delta</f>
        <v>42.890396359181665</v>
      </c>
      <c r="L358" s="11">
        <f ca="1">-D*(L258-L259)/delta</f>
        <v>55.723767096949828</v>
      </c>
      <c r="M358" s="11">
        <f ca="1">-D*(M258-M259)/delta</f>
        <v>67.323745427728554</v>
      </c>
      <c r="N358" s="11">
        <f ca="1">-D*(N258-N259)/delta</f>
        <v>77.410680872485997</v>
      </c>
      <c r="O358" s="11">
        <f ca="1">-D*(O258-O259)/delta</f>
        <v>85.727520925639311</v>
      </c>
      <c r="P358" s="11">
        <f ca="1">-D*(P258-P259)/delta</f>
        <v>92.047115631963621</v>
      </c>
      <c r="Q358" s="11">
        <f ca="1">-D*(Q258-Q259)/delta</f>
        <v>96.180227623518491</v>
      </c>
      <c r="R358" s="11">
        <f ca="1">-D*(R258-R259)/delta</f>
        <v>97.983782302844773</v>
      </c>
      <c r="S358" s="11">
        <f ca="1">-D*(S258-S259)/delta</f>
        <v>97.368741808077559</v>
      </c>
      <c r="T358" s="11">
        <f ca="1">-D*(T258-T259)/delta</f>
        <v>94.306902277594645</v>
      </c>
      <c r="U358" s="11">
        <f ca="1">-D*(U258-U259)/delta</f>
        <v>88.835918852318258</v>
      </c>
      <c r="V358" s="11">
        <f ca="1">-D*(V258-V259)/delta</f>
        <v>81.061963463244126</v>
      </c>
      <c r="W358" s="11">
        <f ca="1">-D*(W258-W259)/delta</f>
        <v>71.159603570808443</v>
      </c>
      <c r="X358" s="11">
        <f ca="1">-D*(X258-X259)/delta</f>
        <v>59.368724238209239</v>
      </c>
      <c r="Y358" s="11">
        <f ca="1">-D*(Y258-Y259)/delta</f>
        <v>45.988559493631641</v>
      </c>
      <c r="Z358" s="11">
        <f ca="1">-D*(Z258-Z259)/delta</f>
        <v>31.369111607442715</v>
      </c>
      <c r="AA358" s="11">
        <f ca="1">-D*(AA258-AA259)/delta</f>
        <v>15.900391288519518</v>
      </c>
      <c r="AB358" s="11">
        <f ca="1">-D*(AB258-AB259)/delta</f>
        <v>0</v>
      </c>
    </row>
    <row r="359" spans="5:28" x14ac:dyDescent="0.25">
      <c r="E359" s="2">
        <f t="shared" si="297"/>
        <v>3.9000000000000021</v>
      </c>
      <c r="H359" s="3">
        <f ca="1">-D*(H258-H260)/(2*delta)</f>
        <v>-5.0903422310955557E-13</v>
      </c>
      <c r="I359" s="4">
        <f ca="1">-D*(I258-I260)/(2*delta)</f>
        <v>14.876625229906182</v>
      </c>
      <c r="J359" s="4">
        <f ca="1">-D*(J258-J260)/(2*delta)</f>
        <v>29.434820051743074</v>
      </c>
      <c r="K359" s="4">
        <f ca="1">-D*(K258-K260)/(2*delta)</f>
        <v>43.359129292876233</v>
      </c>
      <c r="L359" s="4">
        <f ca="1">-D*(L258-L260)/(2*delta)</f>
        <v>56.340463300440724</v>
      </c>
      <c r="M359" s="4">
        <f ca="1">-D*(M258-M260)/(2*delta)</f>
        <v>68.08026687073361</v>
      </c>
      <c r="N359" s="4">
        <f ca="1">-D*(N258-N260)/(2*delta)</f>
        <v>78.295728568265133</v>
      </c>
      <c r="O359" s="4">
        <f ca="1">-D*(O258-O260)/(2*delta)</f>
        <v>86.726143599061444</v>
      </c>
      <c r="P359" s="4">
        <f ca="1">-D*(P258-P260)/(2*delta)</f>
        <v>93.14035698934984</v>
      </c>
      <c r="Q359" s="4">
        <f ca="1">-D*(Q258-Q260)/(2*delta)</f>
        <v>97.345006279632798</v>
      </c>
      <c r="R359" s="4">
        <f ca="1">-D*(R258-R260)/(2*delta)</f>
        <v>99.193079889875207</v>
      </c>
      <c r="S359" s="4">
        <f ca="1">-D*(S258-S260)/(2*delta)</f>
        <v>98.592141325938996</v>
      </c>
      <c r="T359" s="4">
        <f ca="1">-D*(T258-T260)/(2*delta)</f>
        <v>95.511474225015306</v>
      </c>
      <c r="U359" s="4">
        <f ca="1">-D*(U258-U260)/(2*delta)</f>
        <v>89.987404834229352</v>
      </c>
      <c r="V359" s="4">
        <f ca="1">-D*(V258-V260)/(2*delta)</f>
        <v>82.126165714939674</v>
      </c>
      <c r="W359" s="4">
        <f ca="1">-D*(W258-W260)/(2*delta)</f>
        <v>72.10386329088054</v>
      </c>
      <c r="X359" s="4">
        <f ca="1">-D*(X258-X260)/(2*delta)</f>
        <v>60.163366944203517</v>
      </c>
      <c r="Y359" s="4">
        <f ca="1">-D*(Y258-Y260)/(2*delta)</f>
        <v>46.608201064441381</v>
      </c>
      <c r="Z359" s="4">
        <f ca="1">-D*(Z258-Z260)/(2*delta)</f>
        <v>31.793747823810232</v>
      </c>
      <c r="AA359" s="4">
        <f ca="1">-D*(AA258-AA260)/(2*delta)</f>
        <v>16.116226773316026</v>
      </c>
      <c r="AB359" s="3">
        <f ca="1">-D*(AB258-AB260)/(2*delta)</f>
        <v>0</v>
      </c>
    </row>
    <row r="360" spans="5:28" x14ac:dyDescent="0.25">
      <c r="E360" s="2">
        <f t="shared" si="297"/>
        <v>3.800000000000002</v>
      </c>
      <c r="H360" s="3">
        <f ca="1">-D*(H259-H261)/(2*delta)</f>
        <v>2.5451711155477778E-13</v>
      </c>
      <c r="I360" s="4">
        <f ca="1">-D*(I259-I261)/(2*delta)</f>
        <v>15.353478314425137</v>
      </c>
      <c r="J360" s="4">
        <f ca="1">-D*(J259-J261)/(2*delta)</f>
        <v>30.383965930155831</v>
      </c>
      <c r="K360" s="4">
        <f ca="1">-D*(K259-K261)/(2*delta)</f>
        <v>44.770837460146993</v>
      </c>
      <c r="L360" s="4">
        <f ca="1">-D*(L259-L261)/(2*delta)</f>
        <v>58.198689941186657</v>
      </c>
      <c r="M360" s="4">
        <f ca="1">-D*(M259-M261)/(2*delta)</f>
        <v>70.361130186516803</v>
      </c>
      <c r="N360" s="4">
        <f ca="1">-D*(N259-N261)/(2*delta)</f>
        <v>80.965822930791191</v>
      </c>
      <c r="O360" s="4">
        <f ca="1">-D*(O259-O261)/(2*delta)</f>
        <v>89.740967913014927</v>
      </c>
      <c r="P360" s="4">
        <f ca="1">-D*(P259-P261)/(2*delta)</f>
        <v>96.443162446747152</v>
      </c>
      <c r="Q360" s="4">
        <f ca="1">-D*(Q259-Q261)/(2*delta)</f>
        <v>100.86636061580397</v>
      </c>
      <c r="R360" s="4">
        <f ca="1">-D*(R259-R261)/(2*delta)</f>
        <v>102.85138965107002</v>
      </c>
      <c r="S360" s="4">
        <f ca="1">-D*(S259-S261)/(2*delta)</f>
        <v>102.29526938083426</v>
      </c>
      <c r="T360" s="4">
        <f ca="1">-D*(T259-T261)/(2*delta)</f>
        <v>99.159448462268728</v>
      </c>
      <c r="U360" s="4">
        <f ca="1">-D*(U259-U261)/(2*delta)</f>
        <v>93.476060544636013</v>
      </c>
      <c r="V360" s="4">
        <f ca="1">-D*(V259-V261)/(2*delta)</f>
        <v>85.351431271393508</v>
      </c>
      <c r="W360" s="4">
        <f ca="1">-D*(W259-W261)/(2*delta)</f>
        <v>74.96631693360969</v>
      </c>
      <c r="X360" s="4">
        <f ca="1">-D*(X259-X261)/(2*delta)</f>
        <v>62.572679183278836</v>
      </c>
      <c r="Y360" s="4">
        <f ca="1">-D*(Y259-Y261)/(2*delta)</f>
        <v>48.487129996123208</v>
      </c>
      <c r="Z360" s="4">
        <f ca="1">-D*(Z259-Z261)/(2*delta)</f>
        <v>33.081451850028451</v>
      </c>
      <c r="AA360" s="4">
        <f ca="1">-D*(AA259-AA261)/(2*delta)</f>
        <v>16.770767980933083</v>
      </c>
      <c r="AB360" s="3">
        <f ca="1">-D*(AB259-AB261)/(2*delta)</f>
        <v>0</v>
      </c>
    </row>
    <row r="361" spans="5:28" x14ac:dyDescent="0.25">
      <c r="E361" s="2">
        <f t="shared" si="297"/>
        <v>3.700000000000002</v>
      </c>
      <c r="H361" s="3">
        <f ca="1">-D*(H260-H262)/(2*delta)</f>
        <v>5.0903422310955557E-13</v>
      </c>
      <c r="I361" s="4">
        <f ca="1">-D*(I260-I262)/(2*delta)</f>
        <v>16.153322097633701</v>
      </c>
      <c r="J361" s="4">
        <f ca="1">-D*(J260-J262)/(2*delta)</f>
        <v>31.976727894304975</v>
      </c>
      <c r="K361" s="4">
        <f ca="1">-D*(K260-K262)/(2*delta)</f>
        <v>47.141564676361817</v>
      </c>
      <c r="L361" s="4">
        <f ca="1">-D*(L260-L262)/(2*delta)</f>
        <v>61.322328817674233</v>
      </c>
      <c r="M361" s="4">
        <f ca="1">-D*(M260-M262)/(2*delta)</f>
        <v>74.199741003341515</v>
      </c>
      <c r="N361" s="4">
        <f ca="1">-D*(N260-N262)/(2*delta)</f>
        <v>85.465465055414782</v>
      </c>
      <c r="O361" s="4">
        <f ca="1">-D*(O260-O262)/(2*delta)</f>
        <v>94.828742675424735</v>
      </c>
      <c r="P361" s="4">
        <f ca="1">-D*(P260-P262)/(2*delta)</f>
        <v>102.02496426886263</v>
      </c>
      <c r="Q361" s="4">
        <f ca="1">-D*(Q260-Q262)/(2*delta)</f>
        <v>106.82588408575363</v>
      </c>
      <c r="R361" s="4">
        <f ca="1">-D*(R260-R262)/(2*delta)</f>
        <v>109.05084871780326</v>
      </c>
      <c r="S361" s="4">
        <f ca="1">-D*(S260-S262)/(2*delta)</f>
        <v>108.57809808402465</v>
      </c>
      <c r="T361" s="4">
        <f ca="1">-D*(T260-T262)/(2*delta)</f>
        <v>105.35498969860912</v>
      </c>
      <c r="U361" s="4">
        <f ca="1">-D*(U260-U262)/(2*delta)</f>
        <v>99.405957610646325</v>
      </c>
      <c r="V361" s="4">
        <f ca="1">-D*(V260-V262)/(2*delta)</f>
        <v>90.837181892387107</v>
      </c>
      <c r="W361" s="4">
        <f ca="1">-D*(W260-W262)/(2*delta)</f>
        <v>79.837293988883872</v>
      </c>
      <c r="X361" s="4">
        <f ca="1">-D*(X260-X262)/(2*delta)</f>
        <v>66.673902859163675</v>
      </c>
      <c r="Y361" s="4">
        <f ca="1">-D*(Y260-Y262)/(2*delta)</f>
        <v>51.686187886752258</v>
      </c>
      <c r="Z361" s="4">
        <f ca="1">-D*(Z260-Z262)/(2*delta)</f>
        <v>35.274161599241701</v>
      </c>
      <c r="AA361" s="4">
        <f ca="1">-D*(AA260-AA262)/(2*delta)</f>
        <v>17.885393300397908</v>
      </c>
      <c r="AB361" s="3">
        <f ca="1">-D*(AB260-AB262)/(2*delta)</f>
        <v>0</v>
      </c>
    </row>
    <row r="362" spans="5:28" x14ac:dyDescent="0.25">
      <c r="E362" s="2">
        <f t="shared" si="297"/>
        <v>3.6000000000000019</v>
      </c>
      <c r="H362" s="3">
        <f ca="1">-D*(H261-H263)/(2*delta)</f>
        <v>-5.0903422310955557E-13</v>
      </c>
      <c r="I362" s="4">
        <f ca="1">-D*(I261-I263)/(2*delta)</f>
        <v>17.283082181800108</v>
      </c>
      <c r="J362" s="4">
        <f ca="1">-D*(J261-J263)/(2*delta)</f>
        <v>34.228058873078197</v>
      </c>
      <c r="K362" s="4">
        <f ca="1">-D*(K261-K263)/(2*delta)</f>
        <v>50.496364533321106</v>
      </c>
      <c r="L362" s="4">
        <f ca="1">-D*(L261-L263)/(2*delta)</f>
        <v>65.749319649839506</v>
      </c>
      <c r="M362" s="4">
        <f ca="1">-D*(M261-M263)/(2*delta)</f>
        <v>79.650039953760214</v>
      </c>
      <c r="N362" s="4">
        <f ca="1">-D*(N261-N263)/(2*delta)</f>
        <v>91.867553612089466</v>
      </c>
      <c r="O362" s="4">
        <f ca="1">-D*(O261-O263)/(2*delta)</f>
        <v>102.08357346444126</v>
      </c>
      <c r="P362" s="4">
        <f ca="1">-D*(P261-P263)/(2*delta)</f>
        <v>110.00206786742113</v>
      </c>
      <c r="Q362" s="4">
        <f ca="1">-D*(Q261-Q263)/(2*delta)</f>
        <v>115.36136274055283</v>
      </c>
      <c r="R362" s="4">
        <f ca="1">-D*(R261-R263)/(2*delta)</f>
        <v>117.94802305041974</v>
      </c>
      <c r="S362" s="4">
        <f ca="1">-D*(S261-S263)/(2*delta)</f>
        <v>117.61128453890487</v>
      </c>
      <c r="T362" s="4">
        <f ca="1">-D*(T261-T263)/(2*delta)</f>
        <v>114.27645463751719</v>
      </c>
      <c r="U362" s="4">
        <f ca="1">-D*(U261-U263)/(2*delta)</f>
        <v>107.95559830695105</v>
      </c>
      <c r="V362" s="4">
        <f ca="1">-D*(V261-V263)/(2*delta)</f>
        <v>98.754044698677646</v>
      </c>
      <c r="W362" s="4">
        <f ca="1">-D*(W261-W263)/(2*delta)</f>
        <v>86.871774270360731</v>
      </c>
      <c r="X362" s="4">
        <f ca="1">-D*(X261-X263)/(2*delta)</f>
        <v>72.599450377723443</v>
      </c>
      <c r="Y362" s="4">
        <f ca="1">-D*(Y261-Y263)/(2*delta)</f>
        <v>56.309557092493691</v>
      </c>
      <c r="Z362" s="4">
        <f ca="1">-D*(Z261-Z263)/(2*delta)</f>
        <v>38.443613359820766</v>
      </c>
      <c r="AA362" s="4">
        <f ca="1">-D*(AA261-AA263)/(2*delta)</f>
        <v>19.49664362141532</v>
      </c>
      <c r="AB362" s="3">
        <f ca="1">-D*(AB261-AB263)/(2*delta)</f>
        <v>0</v>
      </c>
    </row>
    <row r="363" spans="5:28" x14ac:dyDescent="0.25">
      <c r="E363" s="2">
        <f t="shared" si="297"/>
        <v>3.5000000000000018</v>
      </c>
      <c r="H363" s="3">
        <f ca="1">-D*(H262-H264)/(2*delta)</f>
        <v>0</v>
      </c>
      <c r="I363" s="4">
        <f ca="1">-D*(I262-I264)/(2*delta)</f>
        <v>18.750947756495158</v>
      </c>
      <c r="J363" s="4">
        <f ca="1">-D*(J262-J264)/(2*delta)</f>
        <v>37.156060882862185</v>
      </c>
      <c r="K363" s="4">
        <f ca="1">-D*(K262-K264)/(2*delta)</f>
        <v>54.866514934041547</v>
      </c>
      <c r="L363" s="4">
        <f ca="1">-D*(L262-L264)/(2*delta)</f>
        <v>71.528545294598359</v>
      </c>
      <c r="M363" s="4">
        <f ca="1">-D*(M262-M264)/(2*delta)</f>
        <v>86.783545549774473</v>
      </c>
      <c r="N363" s="4">
        <f ca="1">-D*(N262-N264)/(2*delta)</f>
        <v>100.27113597474981</v>
      </c>
      <c r="O363" s="4">
        <f ca="1">-D*(O262-O264)/(2*delta)</f>
        <v>111.63592970282561</v>
      </c>
      <c r="P363" s="4">
        <f ca="1">-D*(P262-P264)/(2*delta)</f>
        <v>120.5383709957993</v>
      </c>
      <c r="Q363" s="4">
        <f ca="1">-D*(Q262-Q264)/(2*delta)</f>
        <v>126.66947595871052</v>
      </c>
      <c r="R363" s="4">
        <f ca="1">-D*(R262-R264)/(2*delta)</f>
        <v>129.768596204365</v>
      </c>
      <c r="S363" s="4">
        <f ca="1">-D*(S262-S264)/(2*delta)</f>
        <v>129.64256238362529</v>
      </c>
      <c r="T363" s="4">
        <f ca="1">-D*(T262-T264)/(2*delta)</f>
        <v>126.18394600555079</v>
      </c>
      <c r="U363" s="4">
        <f ca="1">-D*(U262-U264)/(2*delta)</f>
        <v>119.38593628092229</v>
      </c>
      <c r="V363" s="4">
        <f ca="1">-D*(V262-V264)/(2*delta)</f>
        <v>109.35162432502398</v>
      </c>
      <c r="W363" s="4">
        <f ca="1">-D*(W262-W264)/(2*delta)</f>
        <v>96.296308016170229</v>
      </c>
      <c r="X363" s="4">
        <f ca="1">-D*(X262-X264)/(2*delta)</f>
        <v>80.54256728887772</v>
      </c>
      <c r="Y363" s="4">
        <f ca="1">-D*(Y262-Y264)/(2*delta)</f>
        <v>62.508976745710861</v>
      </c>
      <c r="Z363" s="4">
        <f ca="1">-D*(Z262-Z264)/(2*delta)</f>
        <v>42.694091126121165</v>
      </c>
      <c r="AA363" s="4">
        <f ca="1">-D*(AA262-AA264)/(2*delta)</f>
        <v>21.657567825448705</v>
      </c>
      <c r="AB363" s="3">
        <f ca="1">-D*(AB262-AB264)/(2*delta)</f>
        <v>0</v>
      </c>
    </row>
    <row r="364" spans="5:28" x14ac:dyDescent="0.25">
      <c r="E364" s="2">
        <f t="shared" si="297"/>
        <v>3.4000000000000017</v>
      </c>
      <c r="H364" s="3">
        <f ca="1">-D*(H263-H265)/(2*delta)</f>
        <v>5.0903422310955557E-13</v>
      </c>
      <c r="I364" s="4">
        <f ca="1">-D*(I263-I265)/(2*delta)</f>
        <v>20.56464796130917</v>
      </c>
      <c r="J364" s="4">
        <f ca="1">-D*(J263-J265)/(2*delta)</f>
        <v>40.778721967828758</v>
      </c>
      <c r="K364" s="4">
        <f ca="1">-D*(K263-K265)/(2*delta)</f>
        <v>60.285089025400787</v>
      </c>
      <c r="L364" s="4">
        <f ca="1">-D*(L263-L265)/(2*delta)</f>
        <v>78.714801044689082</v>
      </c>
      <c r="M364" s="4">
        <f ca="1">-D*(M263-M265)/(2*delta)</f>
        <v>95.684460976038423</v>
      </c>
      <c r="N364" s="4">
        <f ca="1">-D*(N263-N265)/(2*delta)</f>
        <v>110.79751503428514</v>
      </c>
      <c r="O364" s="4">
        <f ca="1">-D*(O263-O265)/(2*delta)</f>
        <v>123.6506383762631</v>
      </c>
      <c r="P364" s="4">
        <f ca="1">-D*(P263-P265)/(2*delta)</f>
        <v>133.84601045446803</v>
      </c>
      <c r="Q364" s="4">
        <f ca="1">-D*(Q263-Q265)/(2*delta)</f>
        <v>141.00957389400276</v>
      </c>
      <c r="R364" s="4">
        <f ca="1">-D*(R263-R265)/(2*delta)</f>
        <v>144.81432342469637</v>
      </c>
      <c r="S364" s="4">
        <f ca="1">-D*(S263-S265)/(2*delta)</f>
        <v>145.00642278564797</v>
      </c>
      <c r="T364" s="4">
        <f ca="1">-D*(T263-T265)/(2*delta)</f>
        <v>141.43083072013027</v>
      </c>
      <c r="U364" s="4">
        <f ca="1">-D*(U263-U265)/(2*delta)</f>
        <v>134.0525764862121</v>
      </c>
      <c r="V364" s="4">
        <f ca="1">-D*(V263-V265)/(2*delta)</f>
        <v>122.97020830423608</v>
      </c>
      <c r="W364" s="4">
        <f ca="1">-D*(W263-W265)/(2*delta)</f>
        <v>108.41926618045925</v>
      </c>
      <c r="X364" s="4">
        <f ca="1">-D*(X263-X265)/(2*delta)</f>
        <v>90.765534015918561</v>
      </c>
      <c r="Y364" s="4">
        <f ca="1">-D*(Y263-Y265)/(2*delta)</f>
        <v>70.489691475314245</v>
      </c>
      <c r="Z364" s="4">
        <f ca="1">-D*(Z263-Z265)/(2*delta)</f>
        <v>48.166206573504311</v>
      </c>
      <c r="AA364" s="4">
        <f ca="1">-D*(AA263-AA265)/(2*delta)</f>
        <v>24.439536554245116</v>
      </c>
      <c r="AB364" s="3">
        <f ca="1">-D*(AB263-AB265)/(2*delta)</f>
        <v>0</v>
      </c>
    </row>
    <row r="365" spans="5:28" x14ac:dyDescent="0.25">
      <c r="E365" s="2">
        <f t="shared" si="297"/>
        <v>3.3000000000000016</v>
      </c>
      <c r="H365" s="3">
        <f ca="1">-D*(H264-H266)/(2*delta)</f>
        <v>0</v>
      </c>
      <c r="I365" s="4">
        <f ca="1">-D*(I264-I266)/(2*delta)</f>
        <v>22.728922120909715</v>
      </c>
      <c r="J365" s="4">
        <f ca="1">-D*(J264-J266)/(2*delta)</f>
        <v>45.109090001742885</v>
      </c>
      <c r="K365" s="4">
        <f ca="1">-D*(K264-K266)/(2*delta)</f>
        <v>66.780318155039694</v>
      </c>
      <c r="L365" s="4">
        <f ca="1">-D*(L264-L266)/(2*delta)</f>
        <v>87.361108882686239</v>
      </c>
      <c r="M365" s="4">
        <f ca="1">-D*(M264-M266)/(2*delta)</f>
        <v>106.44198227538858</v>
      </c>
      <c r="N365" s="4">
        <f ca="1">-D*(N264-N266)/(2*delta)</f>
        <v>123.58382481005674</v>
      </c>
      <c r="O365" s="4">
        <f ca="1">-D*(O264-O266)/(2*delta)</f>
        <v>138.32309831362025</v>
      </c>
      <c r="P365" s="4">
        <f ca="1">-D*(P264-P266)/(2*delta)</f>
        <v>150.18545855172556</v>
      </c>
      <c r="Q365" s="4">
        <f ca="1">-D*(Q264-Q266)/(2*delta)</f>
        <v>158.70848573815246</v>
      </c>
      <c r="R365" s="4">
        <f ca="1">-D*(R264-R266)/(2*delta)</f>
        <v>163.47270081478612</v>
      </c>
      <c r="S365" s="4">
        <f ca="1">-D*(S264-S266)/(2*delta)</f>
        <v>164.13797461417252</v>
      </c>
      <c r="T365" s="4">
        <f ca="1">-D*(T264-T266)/(2*delta)</f>
        <v>160.480377603151</v>
      </c>
      <c r="U365" s="4">
        <f ca="1">-D*(U264-U266)/(2*delta)</f>
        <v>152.42333063959245</v>
      </c>
      <c r="V365" s="4">
        <f ca="1">-D*(V264-V266)/(2*delta)</f>
        <v>140.0573662252898</v>
      </c>
      <c r="W365" s="4">
        <f ca="1">-D*(W264-W266)/(2*delta)</f>
        <v>123.64501438540609</v>
      </c>
      <c r="X365" s="4">
        <f ca="1">-D*(X264-X266)/(2*delta)</f>
        <v>103.61061111901492</v>
      </c>
      <c r="Y365" s="4">
        <f ca="1">-D*(Y264-Y266)/(2*delta)</f>
        <v>80.518048566098841</v>
      </c>
      <c r="Z365" s="4">
        <f ca="1">-D*(Z264-Z266)/(2*delta)</f>
        <v>55.041507138361119</v>
      </c>
      <c r="AA365" s="4">
        <f ca="1">-D*(AA264-AA266)/(2*delta)</f>
        <v>27.934371818025394</v>
      </c>
      <c r="AB365" s="3">
        <f ca="1">-D*(AB264-AB266)/(2*delta)</f>
        <v>0</v>
      </c>
    </row>
    <row r="366" spans="5:28" x14ac:dyDescent="0.25">
      <c r="E366" s="2">
        <f t="shared" si="297"/>
        <v>3.2000000000000015</v>
      </c>
      <c r="H366" s="3">
        <f ca="1">-D*(H265-H267)/(2*delta)</f>
        <v>0</v>
      </c>
      <c r="I366" s="4">
        <f ca="1">-D*(I265-I267)/(2*delta)</f>
        <v>25.241950520607155</v>
      </c>
      <c r="J366" s="4">
        <f ca="1">-D*(J265-J267)/(2*delta)</f>
        <v>50.148397763234037</v>
      </c>
      <c r="K366" s="4">
        <f ca="1">-D*(K265-K267)/(2*delta)</f>
        <v>74.365984710280088</v>
      </c>
      <c r="L366" s="4">
        <f ca="1">-D*(L265-L267)/(2*delta)</f>
        <v>97.507334055660053</v>
      </c>
      <c r="M366" s="4">
        <f ca="1">-D*(M265-M267)/(2*delta)</f>
        <v>119.13853443270784</v>
      </c>
      <c r="N366" s="4">
        <f ca="1">-D*(N265-N267)/(2*delta)</f>
        <v>138.77270361702264</v>
      </c>
      <c r="O366" s="4">
        <f ca="1">-D*(O265-O267)/(2*delta)</f>
        <v>155.87247151641125</v>
      </c>
      <c r="P366" s="4">
        <f ca="1">-D*(P265-P267)/(2*delta)</f>
        <v>169.86423970053104</v>
      </c>
      <c r="Q366" s="4">
        <f ca="1">-D*(Q265-Q267)/(2*delta)</f>
        <v>180.16620969219312</v>
      </c>
      <c r="R366" s="4">
        <f ca="1">-D*(R265-R267)/(2*delta)</f>
        <v>186.2300194822696</v>
      </c>
      <c r="S366" s="4">
        <f ca="1">-D*(S265-S267)/(2*delta)</f>
        <v>187.59239725302359</v>
      </c>
      <c r="T366" s="4">
        <f ca="1">-D*(T265-T267)/(2*delta)</f>
        <v>183.92937443887155</v>
      </c>
      <c r="U366" s="4">
        <f ca="1">-D*(U265-U267)/(2*delta)</f>
        <v>175.10300224369249</v>
      </c>
      <c r="V366" s="4">
        <f ca="1">-D*(V265-V267)/(2*delta)</f>
        <v>161.19091157194092</v>
      </c>
      <c r="W366" s="4">
        <f ca="1">-D*(W265-W267)/(2*delta)</f>
        <v>142.49281401684419</v>
      </c>
      <c r="X366" s="4">
        <f ca="1">-D*(X265-X267)/(2*delta)</f>
        <v>119.51384750870938</v>
      </c>
      <c r="Y366" s="4">
        <f ca="1">-D*(Y265-Y267)/(2*delta)</f>
        <v>92.930384531766137</v>
      </c>
      <c r="Z366" s="4">
        <f ca="1">-D*(Z265-Z267)/(2*delta)</f>
        <v>63.547401595779341</v>
      </c>
      <c r="AA366" s="4">
        <f ca="1">-D*(AA265-AA267)/(2*delta)</f>
        <v>32.256443579519782</v>
      </c>
      <c r="AB366" s="3">
        <f ca="1">-D*(AB265-AB267)/(2*delta)</f>
        <v>0</v>
      </c>
    </row>
    <row r="367" spans="5:28" x14ac:dyDescent="0.25">
      <c r="E367" s="2">
        <f t="shared" si="297"/>
        <v>3.1000000000000014</v>
      </c>
      <c r="H367" s="3">
        <f ca="1">-D*(H266-H268)/(2*delta)</f>
        <v>-1.0180684462191111E-12</v>
      </c>
      <c r="I367" s="4">
        <f ca="1">-D*(I266-I268)/(2*delta)</f>
        <v>28.0904821982808</v>
      </c>
      <c r="J367" s="4">
        <f ca="1">-D*(J266-J268)/(2*delta)</f>
        <v>55.876565820334584</v>
      </c>
      <c r="K367" s="4">
        <f ca="1">-D*(K266-K268)/(2*delta)</f>
        <v>83.027888867214955</v>
      </c>
      <c r="L367" s="4">
        <f ca="1">-D*(L266-L268)/(2*delta)</f>
        <v>109.16370819695801</v>
      </c>
      <c r="M367" s="4">
        <f ca="1">-D*(M266-M268)/(2*delta)</f>
        <v>133.83211778280906</v>
      </c>
      <c r="N367" s="4">
        <f ca="1">-D*(N266-N268)/(2*delta)</f>
        <v>156.49598370886574</v>
      </c>
      <c r="O367" s="4">
        <f ca="1">-D*(O266-O268)/(2*delta)</f>
        <v>176.52984443443847</v>
      </c>
      <c r="P367" s="4">
        <f ca="1">-D*(P266-P268)/(2*delta)</f>
        <v>193.23281904190824</v>
      </c>
      <c r="Q367" s="4">
        <f ca="1">-D*(Q266-Q268)/(2*delta)</f>
        <v>205.8620938477705</v>
      </c>
      <c r="R367" s="4">
        <f ca="1">-D*(R266-R268)/(2*delta)</f>
        <v>213.68877016902658</v>
      </c>
      <c r="S367" s="4">
        <f ca="1">-D*(S266-S268)/(2*delta)</f>
        <v>216.07222047671547</v>
      </c>
      <c r="T367" s="4">
        <f ca="1">-D*(T266-T268)/(2*delta)</f>
        <v>212.54172065561903</v>
      </c>
      <c r="U367" s="4">
        <f ca="1">-D*(U266-U268)/(2*delta)</f>
        <v>202.86839232428349</v>
      </c>
      <c r="V367" s="4">
        <f ca="1">-D*(V266-V268)/(2*delta)</f>
        <v>187.11046380201853</v>
      </c>
      <c r="W367" s="4">
        <f ca="1">-D*(W266-W268)/(2*delta)</f>
        <v>165.62148260134492</v>
      </c>
      <c r="X367" s="4">
        <f ca="1">-D*(X266-X268)/(2*delta)</f>
        <v>139.02158036721232</v>
      </c>
      <c r="Y367" s="4">
        <f ca="1">-D*(Y266-Y268)/(2*delta)</f>
        <v>108.14224045647279</v>
      </c>
      <c r="Z367" s="4">
        <f ca="1">-D*(Z266-Z268)/(2*delta)</f>
        <v>73.961271133425569</v>
      </c>
      <c r="AA367" s="4">
        <f ca="1">-D*(AA266-AA268)/(2*delta)</f>
        <v>37.544000904245905</v>
      </c>
      <c r="AB367" s="3">
        <f ca="1">-D*(AB266-AB268)/(2*delta)</f>
        <v>0</v>
      </c>
    </row>
    <row r="368" spans="5:28" x14ac:dyDescent="0.25">
      <c r="E368" s="2">
        <f t="shared" si="297"/>
        <v>3.0000000000000013</v>
      </c>
      <c r="H368" s="3">
        <f ca="1">-D*(H267-H269)/(2*delta)</f>
        <v>0</v>
      </c>
      <c r="I368" s="4">
        <f ca="1">-D*(I267-I269)/(2*delta)</f>
        <v>31.243412452148888</v>
      </c>
      <c r="J368" s="4">
        <f ca="1">-D*(J267-J269)/(2*delta)</f>
        <v>62.239494452596382</v>
      </c>
      <c r="K368" s="4">
        <f ca="1">-D*(K267-K269)/(2*delta)</f>
        <v>92.705296741221872</v>
      </c>
      <c r="L368" s="4">
        <f ca="1">-D*(L267-L269)/(2*delta)</f>
        <v>122.28749208226209</v>
      </c>
      <c r="M368" s="4">
        <f ca="1">-D*(M267-M269)/(2*delta)</f>
        <v>150.53024479270454</v>
      </c>
      <c r="N368" s="4">
        <f ca="1">-D*(N267-N269)/(2*delta)</f>
        <v>176.84926900117651</v>
      </c>
      <c r="O368" s="4">
        <f ca="1">-D*(O267-O269)/(2*delta)</f>
        <v>200.51810347050326</v>
      </c>
      <c r="P368" s="4">
        <f ca="1">-D*(P267-P269)/(2*delta)</f>
        <v>220.67509818486059</v>
      </c>
      <c r="Q368" s="4">
        <f ca="1">-D*(Q267-Q269)/(2*delta)</f>
        <v>236.36057648805181</v>
      </c>
      <c r="R368" s="5">
        <f ca="1">-D*(R267-R269)/(2*delta)</f>
        <v>246.59074686936711</v>
      </c>
      <c r="S368" s="5">
        <f ca="1">-D*(S267-S269)/(2*delta)</f>
        <v>250.46599382907874</v>
      </c>
      <c r="T368" s="5">
        <f ca="1">-D*(T267-T269)/(2*delta)</f>
        <v>247.29689538255684</v>
      </c>
      <c r="U368" s="5">
        <f ca="1">-D*(U267-U269)/(2*delta)</f>
        <v>236.71838259577149</v>
      </c>
      <c r="V368" s="5">
        <f ca="1">-D*(V267-V269)/(2*delta)</f>
        <v>218.76106871052093</v>
      </c>
      <c r="W368" s="5">
        <f ca="1">-D*(W267-W269)/(2*delta)</f>
        <v>193.86107221933705</v>
      </c>
      <c r="X368" s="4">
        <f ca="1">-D*(X267-X269)/(2*delta)</f>
        <v>162.8087509022572</v>
      </c>
      <c r="Y368" s="4">
        <f ca="1">-D*(Y267-Y269)/(2*delta)</f>
        <v>126.65572579345459</v>
      </c>
      <c r="Z368" s="4">
        <f ca="1">-D*(Z267-Z269)/(2*delta)</f>
        <v>86.611441577257153</v>
      </c>
      <c r="AA368" s="4">
        <f ca="1">-D*(AA267-AA269)/(2*delta)</f>
        <v>43.958288904021948</v>
      </c>
      <c r="AB368" s="3">
        <f ca="1">-D*(AB267-AB269)/(2*delta)</f>
        <v>0</v>
      </c>
    </row>
    <row r="369" spans="5:28" x14ac:dyDescent="0.25">
      <c r="E369" s="2">
        <f t="shared" si="297"/>
        <v>2.9000000000000012</v>
      </c>
      <c r="H369" s="3">
        <f ca="1">-D*(H268-H270)/(2*delta)</f>
        <v>1.0180684462191111E-12</v>
      </c>
      <c r="I369" s="4">
        <f ca="1">-D*(I268-I270)/(2*delta)</f>
        <v>34.643673157706154</v>
      </c>
      <c r="J369" s="4">
        <f ca="1">-D*(J268-J270)/(2*delta)</f>
        <v>69.13270279666385</v>
      </c>
      <c r="K369" s="4">
        <f ca="1">-D*(K268-K270)/(2*delta)</f>
        <v>103.26631156278971</v>
      </c>
      <c r="L369" s="4">
        <f ca="1">-D*(L268-L270)/(2*delta)</f>
        <v>136.75071859811501</v>
      </c>
      <c r="M369" s="4">
        <f ca="1">-D*(M268-M270)/(2*delta)</f>
        <v>169.15210030461924</v>
      </c>
      <c r="N369" s="4">
        <f ca="1">-D*(N268-N270)/(2*delta)</f>
        <v>199.85274403294207</v>
      </c>
      <c r="O369" s="4">
        <f ca="1">-D*(O268-O270)/(2*delta)</f>
        <v>228.01820226152134</v>
      </c>
      <c r="P369" s="4">
        <f ca="1">-D*(P268-P270)/(2*delta)</f>
        <v>252.58889373896281</v>
      </c>
      <c r="Q369" s="4">
        <f ca="1">-D*(Q268-Q270)/(2*delta)</f>
        <v>272.31436705002989</v>
      </c>
      <c r="R369" s="5">
        <f ca="1">-D*(R268-R270)/(2*delta)</f>
        <v>285.84764699134399</v>
      </c>
      <c r="S369" s="5">
        <f ca="1">-D*(S268-S270)/(2*delta)</f>
        <v>291.90411258790363</v>
      </c>
      <c r="T369" s="5">
        <f ca="1">-D*(T268-T270)/(2*delta)</f>
        <v>289.46148444975819</v>
      </c>
      <c r="U369" s="5">
        <f ca="1">-D*(U268-U270)/(2*delta)</f>
        <v>277.94717396593654</v>
      </c>
      <c r="V369" s="5">
        <f ca="1">-D*(V268-V270)/(2*delta)</f>
        <v>257.35435622484272</v>
      </c>
      <c r="W369" s="5">
        <f ca="1">-D*(W268-W270)/(2*delta)</f>
        <v>228.25298666343713</v>
      </c>
      <c r="X369" s="4">
        <f ca="1">-D*(X268-X270)/(2*delta)</f>
        <v>191.69662522904082</v>
      </c>
      <c r="Y369" s="4">
        <f ca="1">-D*(Y268-Y270)/(2*delta)</f>
        <v>149.06047023786397</v>
      </c>
      <c r="Z369" s="4">
        <f ca="1">-D*(Z268-Z270)/(2*delta)</f>
        <v>101.87048047809384</v>
      </c>
      <c r="AA369" s="4">
        <f ca="1">-D*(AA268-AA270)/(2*delta)</f>
        <v>51.677713134641735</v>
      </c>
      <c r="AB369" s="3">
        <f ca="1">-D*(AB268-AB270)/(2*delta)</f>
        <v>0</v>
      </c>
    </row>
    <row r="370" spans="5:28" x14ac:dyDescent="0.25">
      <c r="E370" s="2">
        <f t="shared" si="297"/>
        <v>2.8000000000000012</v>
      </c>
      <c r="H370" s="3">
        <f ca="1">-D*(H269-H271)/(2*delta)</f>
        <v>0</v>
      </c>
      <c r="I370" s="4">
        <f ca="1">-D*(I269-I271)/(2*delta)</f>
        <v>38.198577382028169</v>
      </c>
      <c r="J370" s="4">
        <f ca="1">-D*(J269-J271)/(2*delta)</f>
        <v>76.381332013526432</v>
      </c>
      <c r="K370" s="4">
        <f ca="1">-D*(K269-K271)/(2*delta)</f>
        <v>114.47652811528854</v>
      </c>
      <c r="L370" s="4">
        <f ca="1">-D*(L269-L271)/(2*delta)</f>
        <v>152.29697044269122</v>
      </c>
      <c r="M370" s="4">
        <f ca="1">-D*(M269-M271)/(2*delta)</f>
        <v>189.47469379469922</v>
      </c>
      <c r="N370" s="4">
        <f ca="1">-D*(N269-N271)/(2*delta)</f>
        <v>225.39140456433728</v>
      </c>
      <c r="O370" s="4">
        <f ca="1">-D*(O269-O271)/(2*delta)</f>
        <v>259.11306780369358</v>
      </c>
      <c r="P370" s="4">
        <f ca="1">-D*(P269-P271)/(2*delta)</f>
        <v>289.34790745947174</v>
      </c>
      <c r="Q370" s="4">
        <f ca="1">-D*(Q269-Q271)/(2*delta)</f>
        <v>314.46035098182608</v>
      </c>
      <c r="R370" s="5">
        <f ca="1">-D*(R269-R271)/(2*delta)</f>
        <v>332.58136145781475</v>
      </c>
      <c r="S370" s="5">
        <f ca="1">-D*(S269-S271)/(2*delta)</f>
        <v>341.84132508149861</v>
      </c>
      <c r="T370" s="5">
        <f ca="1">-D*(T269-T271)/(2*delta)</f>
        <v>340.69775586263563</v>
      </c>
      <c r="U370" s="5">
        <f ca="1">-D*(U269-U271)/(2*delta)</f>
        <v>328.25447259325961</v>
      </c>
      <c r="V370" s="5">
        <f ca="1">-D*(V269-V271)/(2*delta)</f>
        <v>304.45619555949264</v>
      </c>
      <c r="W370" s="5">
        <f ca="1">-D*(W269-W271)/(2*delta)</f>
        <v>270.0998929802999</v>
      </c>
      <c r="X370" s="4">
        <f ca="1">-D*(X269-X271)/(2*delta)</f>
        <v>226.66429311260515</v>
      </c>
      <c r="Y370" s="4">
        <f ca="1">-D*(Y269-Y271)/(2*delta)</f>
        <v>176.01904945085829</v>
      </c>
      <c r="Z370" s="4">
        <f ca="1">-D*(Z269-Z271)/(2*delta)</f>
        <v>120.13229696264517</v>
      </c>
      <c r="AA370" s="4">
        <f ca="1">-D*(AA269-AA271)/(2*delta)</f>
        <v>60.882083156414538</v>
      </c>
      <c r="AB370" s="3">
        <f ca="1">-D*(AB269-AB271)/(2*delta)</f>
        <v>0</v>
      </c>
    </row>
    <row r="371" spans="5:28" x14ac:dyDescent="0.25">
      <c r="E371" s="2">
        <f t="shared" si="297"/>
        <v>2.7000000000000011</v>
      </c>
      <c r="H371" s="3">
        <f ca="1">-D*(H270-H272)/(2*delta)</f>
        <v>0</v>
      </c>
      <c r="I371" s="4">
        <f ca="1">-D*(I270-I272)/(2*delta)</f>
        <v>41.769304356875999</v>
      </c>
      <c r="J371" s="4">
        <f ca="1">-D*(J270-J272)/(2*delta)</f>
        <v>83.717519760125143</v>
      </c>
      <c r="K371" s="4">
        <f ca="1">-D*(K270-K272)/(2*delta)</f>
        <v>125.96149844216306</v>
      </c>
      <c r="L371" s="4">
        <f ca="1">-D*(L270-L272)/(2*delta)</f>
        <v>168.48594126266187</v>
      </c>
      <c r="M371" s="4">
        <f ca="1">-D*(M270-M272)/(2*delta)</f>
        <v>211.0582998672634</v>
      </c>
      <c r="N371" s="4">
        <f ca="1">-D*(N270-N272)/(2*delta)</f>
        <v>253.12511262565565</v>
      </c>
      <c r="O371" s="4">
        <f ca="1">-D*(O270-O272)/(2*delta)</f>
        <v>293.69475692954182</v>
      </c>
      <c r="P371" s="4">
        <f ca="1">-D*(P270-P272)/(2*delta)</f>
        <v>331.22931731346966</v>
      </c>
      <c r="Q371" s="4">
        <f ca="1">-D*(Q270-Q272)/(2*delta)</f>
        <v>363.59776795995526</v>
      </c>
      <c r="R371" s="5">
        <f ca="1">-D*(R270-R272)/(2*delta)</f>
        <v>388.17612277678552</v>
      </c>
      <c r="S371" s="5">
        <f ca="1">-D*(S270-S272)/(2*delta)</f>
        <v>402.18207041760775</v>
      </c>
      <c r="T371" s="5">
        <f ca="1">-D*(T270-T272)/(2*delta)</f>
        <v>403.23374132602595</v>
      </c>
      <c r="U371" s="5">
        <f ca="1">-D*(U270-U272)/(2*delta)</f>
        <v>389.9167649850387</v>
      </c>
      <c r="V371" s="5">
        <f ca="1">-D*(V270-V272)/(2*delta)</f>
        <v>362.11606043953566</v>
      </c>
      <c r="W371" s="5">
        <f ca="1">-D*(W270-W272)/(2*delta)</f>
        <v>321.02609658566456</v>
      </c>
      <c r="X371" s="4">
        <f ca="1">-D*(X270-X272)/(2*delta)</f>
        <v>268.84160479040099</v>
      </c>
      <c r="Y371" s="4">
        <f ca="1">-D*(Y270-Y272)/(2*delta)</f>
        <v>208.21913749022096</v>
      </c>
      <c r="Z371" s="4">
        <f ca="1">-D*(Z270-Z272)/(2*delta)</f>
        <v>141.75757476525072</v>
      </c>
      <c r="AA371" s="4">
        <f ca="1">-D*(AA270-AA272)/(2*delta)</f>
        <v>71.71832252833461</v>
      </c>
      <c r="AB371" s="3">
        <f ca="1">-D*(AB270-AB272)/(2*delta)</f>
        <v>0</v>
      </c>
    </row>
    <row r="372" spans="5:28" x14ac:dyDescent="0.25">
      <c r="E372" s="2">
        <f t="shared" si="297"/>
        <v>2.600000000000001</v>
      </c>
      <c r="H372" s="3">
        <f ca="1">-D*(H271-H273)/(2*delta)</f>
        <v>0</v>
      </c>
      <c r="I372" s="4">
        <f ca="1">-D*(I271-I273)/(2*delta)</f>
        <v>45.161120285387341</v>
      </c>
      <c r="J372" s="4">
        <f ca="1">-D*(J271-J273)/(2*delta)</f>
        <v>90.757944227984055</v>
      </c>
      <c r="K372" s="4">
        <f ca="1">-D*(K271-K273)/(2*delta)</f>
        <v>137.16600463058464</v>
      </c>
      <c r="L372" s="4">
        <f ca="1">-D*(L271-L273)/(2*delta)</f>
        <v>184.626996298579</v>
      </c>
      <c r="M372" s="4">
        <f ca="1">-D*(M271-M273)/(2*delta)</f>
        <v>233.14745178615073</v>
      </c>
      <c r="N372" s="4">
        <f ca="1">-D*(N271-N273)/(2*delta)</f>
        <v>282.35598914144748</v>
      </c>
      <c r="O372" s="4">
        <f ca="1">-D*(O271-O273)/(2*delta)</f>
        <v>331.31152997534809</v>
      </c>
      <c r="P372" s="4">
        <f ca="1">-D*(P271-P273)/(2*delta)</f>
        <v>378.27683690481177</v>
      </c>
      <c r="Q372" s="4">
        <f ca="1">-D*(Q271-Q273)/(2*delta)</f>
        <v>420.52528076774007</v>
      </c>
      <c r="R372" s="5">
        <f ca="1">-D*(R271-R273)/(2*delta)</f>
        <v>454.34329127166677</v>
      </c>
      <c r="S372" s="5">
        <f ca="1">-D*(S271-S273)/(2*delta)</f>
        <v>475.47709248605599</v>
      </c>
      <c r="T372" s="5">
        <f ca="1">-D*(T271-T273)/(2*delta)</f>
        <v>480.13837403872412</v>
      </c>
      <c r="U372" s="5">
        <f ca="1">-D*(U271-U273)/(2*delta)</f>
        <v>466.06278558133397</v>
      </c>
      <c r="V372" s="5">
        <f ca="1">-D*(V271-V273)/(2*delta)</f>
        <v>433.06518462801154</v>
      </c>
      <c r="W372" s="5">
        <f ca="1">-D*(W271-W273)/(2*delta)</f>
        <v>383.0468281324703</v>
      </c>
      <c r="X372" s="4">
        <f ca="1">-D*(X271-X273)/(2*delta)</f>
        <v>319.45689197317836</v>
      </c>
      <c r="Y372" s="4">
        <f ca="1">-D*(Y271-Y273)/(2*delta)</f>
        <v>246.25832095434157</v>
      </c>
      <c r="Z372" s="4">
        <f ca="1">-D*(Z271-Z273)/(2*delta)</f>
        <v>166.9605420796839</v>
      </c>
      <c r="AA372" s="4">
        <f ca="1">-D*(AA271-AA273)/(2*delta)</f>
        <v>84.233632191758701</v>
      </c>
      <c r="AB372" s="3">
        <f ca="1">-D*(AB271-AB273)/(2*delta)</f>
        <v>0</v>
      </c>
    </row>
    <row r="373" spans="5:28" x14ac:dyDescent="0.25">
      <c r="E373" s="2">
        <f t="shared" si="297"/>
        <v>2.5000000000000009</v>
      </c>
      <c r="H373" s="3">
        <f ca="1">-D*(H272-H274)/(2*delta)</f>
        <v>0</v>
      </c>
      <c r="I373" s="4">
        <f ca="1">-D*(I272-I274)/(2*delta)</f>
        <v>48.117232556673066</v>
      </c>
      <c r="J373" s="4">
        <f ca="1">-D*(J272-J274)/(2*delta)</f>
        <v>96.987132235851419</v>
      </c>
      <c r="K373" s="4">
        <f ca="1">-D*(K272-K274)/(2*delta)</f>
        <v>147.31757955353086</v>
      </c>
      <c r="L373" s="4">
        <f ca="1">-D*(L272-L274)/(2*delta)</f>
        <v>199.70858751491895</v>
      </c>
      <c r="M373" s="4">
        <f ca="1">-D*(M272-M274)/(2*delta)</f>
        <v>254.54852183710122</v>
      </c>
      <c r="N373" s="4">
        <f ca="1">-D*(N272-N274)/(2*delta)</f>
        <v>311.83986217879811</v>
      </c>
      <c r="O373" s="4">
        <f ca="1">-D*(O272-O274)/(2*delta)</f>
        <v>370.91853692565684</v>
      </c>
      <c r="P373" s="4">
        <f ca="1">-D*(P272-P274)/(2*delta)</f>
        <v>430.04121956278715</v>
      </c>
      <c r="Q373" s="4">
        <f ca="1">-D*(Q272-Q274)/(2*delta)</f>
        <v>485.88322693462442</v>
      </c>
      <c r="R373" s="5">
        <f ca="1">-D*(R272-R274)/(2*delta)</f>
        <v>533.19466905602042</v>
      </c>
      <c r="S373" s="5">
        <f ca="1">-D*(S272-S274)/(2*delta)</f>
        <v>565.24463421629059</v>
      </c>
      <c r="T373" s="5">
        <f ca="1">-D*(T272-T274)/(2*delta)</f>
        <v>575.77987676128521</v>
      </c>
      <c r="U373" s="5">
        <f ca="1">-D*(U272-U274)/(2*delta)</f>
        <v>561.13081867336598</v>
      </c>
      <c r="V373" s="5">
        <f ca="1">-D*(V272-V274)/(2*delta)</f>
        <v>521.03506435864142</v>
      </c>
      <c r="W373" s="5">
        <f ca="1">-D*(W272-W274)/(2*delta)</f>
        <v>458.63913934286421</v>
      </c>
      <c r="X373" s="4">
        <f ca="1">-D*(X272-X274)/(2*delta)</f>
        <v>379.68081401538609</v>
      </c>
      <c r="Y373" s="4">
        <f ca="1">-D*(Y272-Y274)/(2*delta)</f>
        <v>290.39671227442994</v>
      </c>
      <c r="Z373" s="4">
        <f ca="1">-D*(Z272-Z274)/(2*delta)</f>
        <v>195.59264040736005</v>
      </c>
      <c r="AA373" s="4">
        <f ca="1">-D*(AA272-AA274)/(2*delta)</f>
        <v>98.255664159004013</v>
      </c>
      <c r="AB373" s="3">
        <f ca="1">-D*(AB272-AB274)/(2*delta)</f>
        <v>0</v>
      </c>
    </row>
    <row r="374" spans="5:28" x14ac:dyDescent="0.25">
      <c r="E374" s="2">
        <f t="shared" si="297"/>
        <v>2.4000000000000008</v>
      </c>
      <c r="H374" s="3">
        <f ca="1">-D*(H273-H275)/(2*delta)</f>
        <v>0</v>
      </c>
      <c r="I374" s="4">
        <f ca="1">-D*(I273-I275)/(2*delta)</f>
        <v>50.32067770541682</v>
      </c>
      <c r="J374" s="4">
        <f ca="1">-D*(J273-J275)/(2*delta)</f>
        <v>101.75577260520129</v>
      </c>
      <c r="K374" s="4">
        <f ca="1">-D*(K273-K275)/(2*delta)</f>
        <v>155.40859383275239</v>
      </c>
      <c r="L374" s="4">
        <f ca="1">-D*(L273-L275)/(2*delta)</f>
        <v>212.34125237054599</v>
      </c>
      <c r="M374" s="4">
        <f ca="1">-D*(M273-M275)/(2*delta)</f>
        <v>273.49818586850432</v>
      </c>
      <c r="N374" s="4">
        <f ca="1">-D*(N273-N275)/(2*delta)</f>
        <v>339.53640081105232</v>
      </c>
      <c r="O374" s="4">
        <f ca="1">-D*(O273-O275)/(2*delta)</f>
        <v>410.48153598575942</v>
      </c>
      <c r="P374" s="4">
        <f ca="1">-D*(P273-P275)/(2*delta)</f>
        <v>485.08627748621876</v>
      </c>
      <c r="Q374" s="4">
        <f ca="1">-D*(Q273-Q275)/(2*delta)</f>
        <v>559.77173835198221</v>
      </c>
      <c r="R374" s="5">
        <f ca="1">-D*(R273-R275)/(2*delta)</f>
        <v>627.30752380172783</v>
      </c>
      <c r="S374" s="5">
        <f ca="1">-D*(S273-S275)/(2*delta)</f>
        <v>676.52689856225686</v>
      </c>
      <c r="T374" s="5">
        <f ca="1">-D*(T273-T275)/(2*delta)</f>
        <v>696.60568011679254</v>
      </c>
      <c r="U374" s="5">
        <f ca="1">-D*(U273-U275)/(2*delta)</f>
        <v>681.64554799282223</v>
      </c>
      <c r="V374" s="5">
        <f ca="1">-D*(V273-V275)/(2*delta)</f>
        <v>631.30511479012864</v>
      </c>
      <c r="W374" s="5">
        <f ca="1">-D*(W273-W275)/(2*delta)</f>
        <v>550.79385086508944</v>
      </c>
      <c r="X374" s="4">
        <f ca="1">-D*(X273-X275)/(2*delta)</f>
        <v>450.23051247107219</v>
      </c>
      <c r="Y374" s="4">
        <f ca="1">-D*(Y273-Y275)/(2*delta)</f>
        <v>340.05507372045247</v>
      </c>
      <c r="Z374" s="4">
        <f ca="1">-D*(Z273-Z275)/(2*delta)</f>
        <v>226.75764311634697</v>
      </c>
      <c r="AA374" s="4">
        <f ca="1">-D*(AA273-AA275)/(2*delta)</f>
        <v>113.19638403693806</v>
      </c>
      <c r="AB374" s="3">
        <f ca="1">-D*(AB273-AB275)/(2*delta)</f>
        <v>0</v>
      </c>
    </row>
    <row r="375" spans="5:28" x14ac:dyDescent="0.25">
      <c r="E375" s="2">
        <f t="shared" si="297"/>
        <v>2.3000000000000007</v>
      </c>
      <c r="H375" s="3">
        <f ca="1">-D*(H274-H276)/(2*delta)</f>
        <v>0</v>
      </c>
      <c r="I375" s="4">
        <f ca="1">-D*(I274-I276)/(2*delta)</f>
        <v>51.409705659817369</v>
      </c>
      <c r="J375" s="4">
        <f ca="1">-D*(J274-J276)/(2*delta)</f>
        <v>104.30668664674373</v>
      </c>
      <c r="K375" s="4">
        <f ca="1">-D*(K274-K276)/(2*delta)</f>
        <v>160.21977080169904</v>
      </c>
      <c r="L375" s="4">
        <f ca="1">-D*(L274-L276)/(2*delta)</f>
        <v>220.74964226610598</v>
      </c>
      <c r="M375" s="4">
        <f ca="1">-D*(M274-M276)/(2*delta)</f>
        <v>287.56656845528482</v>
      </c>
      <c r="N375" s="4">
        <f ca="1">-D*(N274-N276)/(2*delta)</f>
        <v>362.32601921118049</v>
      </c>
      <c r="O375" s="4">
        <f ca="1">-D*(O274-O276)/(2*delta)</f>
        <v>446.38492871968594</v>
      </c>
      <c r="P375" s="4">
        <f ca="1">-D*(P274-P276)/(2*delta)</f>
        <v>540.05061604441119</v>
      </c>
      <c r="Q375" s="4">
        <f ca="1">-D*(Q274-Q276)/(2*delta)</f>
        <v>640.80992518542303</v>
      </c>
      <c r="R375" s="5">
        <f ca="1">-D*(R274-R276)/(2*delta)</f>
        <v>739.73678923661862</v>
      </c>
      <c r="S375" s="5">
        <f ca="1">-D*(S274-S276)/(2*delta)</f>
        <v>816.94975611366272</v>
      </c>
      <c r="T375" s="5">
        <f ca="1">-D*(T274-T276)/(2*delta)</f>
        <v>852.47039715090295</v>
      </c>
      <c r="U375" s="5">
        <f ca="1">-D*(U274-U276)/(2*delta)</f>
        <v>837.54057839067582</v>
      </c>
      <c r="V375" s="5">
        <f ca="1">-D*(V274-V276)/(2*delta)</f>
        <v>771.74599594405868</v>
      </c>
      <c r="W375" s="5">
        <f ca="1">-D*(W274-W276)/(2*delta)</f>
        <v>663.00063685645546</v>
      </c>
      <c r="X375" s="4">
        <f ca="1">-D*(X274-X276)/(2*delta)</f>
        <v>530.39231128332858</v>
      </c>
      <c r="Y375" s="4">
        <f ca="1">-D*(Y274-Y276)/(2*delta)</f>
        <v>392.83542702000926</v>
      </c>
      <c r="Z375" s="4">
        <f ca="1">-D*(Z274-Z276)/(2*delta)</f>
        <v>258.18647430062123</v>
      </c>
      <c r="AA375" s="4">
        <f ca="1">-D*(AA274-AA276)/(2*delta)</f>
        <v>127.77222887244201</v>
      </c>
      <c r="AB375" s="3">
        <f ca="1">-D*(AB274-AB276)/(2*delta)</f>
        <v>0</v>
      </c>
    </row>
    <row r="376" spans="5:28" x14ac:dyDescent="0.25">
      <c r="E376" s="2">
        <f t="shared" si="297"/>
        <v>2.2000000000000006</v>
      </c>
      <c r="H376" s="3">
        <f ca="1">-D*(H275-H277)/(2*delta)</f>
        <v>0</v>
      </c>
      <c r="I376" s="4">
        <f ca="1">-D*(I275-I277)/(2*delta)</f>
        <v>51.011458287174079</v>
      </c>
      <c r="J376" s="4">
        <f ca="1">-D*(J275-J277)/(2*delta)</f>
        <v>103.84149752024905</v>
      </c>
      <c r="K376" s="4">
        <f ca="1">-D*(K275-K277)/(2*delta)</f>
        <v>160.41416046114512</v>
      </c>
      <c r="L376" s="4">
        <f ca="1">-D*(L275-L277)/(2*delta)</f>
        <v>222.87097743687767</v>
      </c>
      <c r="M376" s="4">
        <f ca="1">-D*(M275-M277)/(2*delta)</f>
        <v>293.69242647544672</v>
      </c>
      <c r="N376" s="4">
        <f ca="1">-D*(N275-N277)/(2*delta)</f>
        <v>375.81617885869861</v>
      </c>
      <c r="O376" s="4">
        <f ca="1">-D*(O275-O277)/(2*delta)</f>
        <v>472.68154363719708</v>
      </c>
      <c r="P376" s="4">
        <f ca="1">-D*(P275-P277)/(2*delta)</f>
        <v>587.92133278651227</v>
      </c>
      <c r="Q376" s="4">
        <f ca="1">-D*(Q275-Q277)/(2*delta)</f>
        <v>723.6805571083537</v>
      </c>
      <c r="R376" s="5">
        <f ca="1">-D*(R275-R277)/(2*delta)</f>
        <v>873.87995184540102</v>
      </c>
      <c r="S376" s="5">
        <f ca="1">-D*(S275-S277)/(2*delta)</f>
        <v>999.06493950487243</v>
      </c>
      <c r="T376" s="5">
        <f ca="1">-D*(T275-T277)/(2*delta)</f>
        <v>1058.7855739825791</v>
      </c>
      <c r="U376" s="5">
        <f ca="1">-D*(U275-U277)/(2*delta)</f>
        <v>1044.3003724743005</v>
      </c>
      <c r="V376" s="5">
        <f ca="1">-D*(V275-V277)/(2*delta)</f>
        <v>955.13765373930153</v>
      </c>
      <c r="W376" s="5">
        <f ca="1">-D*(W275-W277)/(2*delta)</f>
        <v>799.07038933334445</v>
      </c>
      <c r="X376" s="4">
        <f ca="1">-D*(X275-X277)/(2*delta)</f>
        <v>615.50266878577702</v>
      </c>
      <c r="Y376" s="4">
        <f ca="1">-D*(Y275-Y277)/(2*delta)</f>
        <v>442.70784877573317</v>
      </c>
      <c r="Z376" s="4">
        <f ca="1">-D*(Z275-Z277)/(2*delta)</f>
        <v>285.38059819394698</v>
      </c>
      <c r="AA376" s="4">
        <f ca="1">-D*(AA275-AA277)/(2*delta)</f>
        <v>139.70605715210289</v>
      </c>
      <c r="AB376" s="3">
        <f ca="1">-D*(AB275-AB277)/(2*delta)</f>
        <v>0</v>
      </c>
    </row>
    <row r="377" spans="5:28" x14ac:dyDescent="0.25">
      <c r="E377" s="2">
        <f t="shared" si="297"/>
        <v>2.1000000000000005</v>
      </c>
      <c r="H377" s="3">
        <f ca="1">-D*(H276-H278)/(2*delta)</f>
        <v>0</v>
      </c>
      <c r="I377" s="4">
        <f ca="1">-D*(I276-I278)/(2*delta)</f>
        <v>48.794629968605442</v>
      </c>
      <c r="J377" s="4">
        <f ca="1">-D*(J276-J278)/(2*delta)</f>
        <v>99.63368468600649</v>
      </c>
      <c r="K377" s="4">
        <f ca="1">-D*(K276-K278)/(2*delta)</f>
        <v>154.72439608580362</v>
      </c>
      <c r="L377" s="4">
        <f ca="1">-D*(L276-L278)/(2*delta)</f>
        <v>216.62768054487756</v>
      </c>
      <c r="M377" s="4">
        <f ca="1">-D*(M276-M278)/(2*delta)</f>
        <v>288.51598115092634</v>
      </c>
      <c r="N377" s="4">
        <f ca="1">-D*(N276-N278)/(2*delta)</f>
        <v>374.56472611103499</v>
      </c>
      <c r="O377" s="4">
        <f ca="1">-D*(O276-O278)/(2*delta)</f>
        <v>480.60373418402156</v>
      </c>
      <c r="P377" s="4">
        <f ca="1">-D*(P276-P278)/(2*delta)</f>
        <v>615.2726143559571</v>
      </c>
      <c r="Q377" s="4">
        <f ca="1">-D*(Q276-Q278)/(2*delta)</f>
        <v>792.11101861634006</v>
      </c>
      <c r="R377" s="5">
        <f ca="1">-D*(R276-R278)/(2*delta)</f>
        <v>1033.0375215317592</v>
      </c>
      <c r="S377" s="5">
        <f ca="1">-D*(S276-S278)/(2*delta)</f>
        <v>1246.6444760781733</v>
      </c>
      <c r="T377" s="5">
        <f ca="1">-D*(T276-T278)/(2*delta)</f>
        <v>1339.3065868006313</v>
      </c>
      <c r="U377" s="5">
        <f ca="1">-D*(U276-U278)/(2*delta)</f>
        <v>1325.7376837849065</v>
      </c>
      <c r="V377" s="5">
        <f ca="1">-D*(V276-V278)/(2*delta)</f>
        <v>1205.4338572051442</v>
      </c>
      <c r="W377" s="5">
        <f ca="1">-D*(W276-W278)/(2*delta)</f>
        <v>962.64059795168157</v>
      </c>
      <c r="X377" s="4">
        <f ca="1">-D*(X276-X278)/(2*delta)</f>
        <v>689.84012575050576</v>
      </c>
      <c r="Y377" s="4">
        <f ca="1">-D*(Y276-Y278)/(2*delta)</f>
        <v>477.11270110311841</v>
      </c>
      <c r="Z377" s="4">
        <f ca="1">-D*(Z276-Z278)/(2*delta)</f>
        <v>300.9220125472898</v>
      </c>
      <c r="AA377" s="4">
        <f ca="1">-D*(AA276-AA278)/(2*delta)</f>
        <v>145.67140154199802</v>
      </c>
      <c r="AB377" s="3">
        <f ca="1">-D*(AB276-AB278)/(2*delta)</f>
        <v>0</v>
      </c>
    </row>
    <row r="378" spans="5:28" x14ac:dyDescent="0.25">
      <c r="E378" s="2">
        <f t="shared" si="297"/>
        <v>2.0000000000000004</v>
      </c>
      <c r="H378" s="3">
        <f ca="1">-D*(H277-H279)/(2*delta)</f>
        <v>0</v>
      </c>
      <c r="I378" s="4">
        <f ca="1">-D*(I277-I279)/(2*delta)</f>
        <v>44.533376901143512</v>
      </c>
      <c r="J378" s="4">
        <f ca="1">-D*(J277-J279)/(2*delta)</f>
        <v>91.174215169482082</v>
      </c>
      <c r="K378" s="4">
        <f ca="1">-D*(K277-K279)/(2*delta)</f>
        <v>142.22205865111988</v>
      </c>
      <c r="L378" s="4">
        <f ca="1">-D*(L277-L279)/(2*delta)</f>
        <v>200.39936750574023</v>
      </c>
      <c r="M378" s="4">
        <f ca="1">-D*(M277-M279)/(2*delta)</f>
        <v>269.17909147201999</v>
      </c>
      <c r="N378" s="4">
        <f ca="1">-D*(N277-N279)/(2*delta)</f>
        <v>353.32301025081932</v>
      </c>
      <c r="O378" s="4">
        <f ca="1">-D*(O277-O279)/(2*delta)</f>
        <v>459.89605263202674</v>
      </c>
      <c r="P378" s="4">
        <f ca="1">-D*(P277-P279)/(2*delta)</f>
        <v>600.45437183682509</v>
      </c>
      <c r="Q378" s="4">
        <f ca="1">-D*(Q277-Q279)/(2*delta)</f>
        <v>796.45338146961649</v>
      </c>
      <c r="R378" s="5">
        <f ca="1">-D*(R277-R279)/(2*delta)</f>
        <v>1094.5146395868474</v>
      </c>
      <c r="S378" s="5">
        <f ca="1">-D*(S277-S279)/(2*delta)</f>
        <v>1365.1688564750773</v>
      </c>
      <c r="T378" s="5">
        <f ca="1">-D*(T277-T279)/(2*delta)</f>
        <v>1476.0586133570355</v>
      </c>
      <c r="U378" s="5">
        <f ca="1">-D*(U277-U279)/(2*delta)</f>
        <v>1463.9099186597175</v>
      </c>
      <c r="V378" s="5">
        <f ca="1">-D*(V277-V279)/(2*delta)</f>
        <v>1328.2194933444646</v>
      </c>
      <c r="W378" s="5">
        <f ca="1">-D*(W277-W279)/(2*delta)</f>
        <v>1031.2180195178171</v>
      </c>
      <c r="X378" s="4">
        <f ca="1">-D*(X277-X279)/(2*delta)</f>
        <v>704.10453516151074</v>
      </c>
      <c r="Y378" s="4">
        <f ca="1">-D*(Y277-Y279)/(2*delta)</f>
        <v>474.98081733896106</v>
      </c>
      <c r="Z378" s="4">
        <f ca="1">-D*(Z277-Z279)/(2*delta)</f>
        <v>295.52334934981059</v>
      </c>
      <c r="AA378" s="4">
        <f ca="1">-D*(AA277-AA279)/(2*delta)</f>
        <v>142.05753646860751</v>
      </c>
      <c r="AB378" s="3">
        <f ca="1">-D*(AB277-AB279)/(2*delta)</f>
        <v>0</v>
      </c>
    </row>
    <row r="379" spans="5:28" x14ac:dyDescent="0.25">
      <c r="E379" s="2">
        <f t="shared" si="297"/>
        <v>1.9000000000000006</v>
      </c>
      <c r="H379" s="3">
        <f ca="1">-D*(H278-H280)/(2*delta)</f>
        <v>0</v>
      </c>
      <c r="I379" s="4">
        <f ca="1">-D*(I278-I280)/(2*delta)</f>
        <v>38.164662466527275</v>
      </c>
      <c r="J379" s="4">
        <f ca="1">-D*(J278-J280)/(2*delta)</f>
        <v>78.307740439552802</v>
      </c>
      <c r="K379" s="4">
        <f ca="1">-D*(K278-K280)/(2*delta)</f>
        <v>122.59025584351848</v>
      </c>
      <c r="L379" s="4">
        <f ca="1">-D*(L278-L280)/(2*delta)</f>
        <v>173.56863935484631</v>
      </c>
      <c r="M379" s="4">
        <f ca="1">-D*(M278-M280)/(2*delta)</f>
        <v>234.47800698085447</v>
      </c>
      <c r="N379" s="4">
        <f ca="1">-D*(N278-N280)/(2*delta)</f>
        <v>309.65217078803238</v>
      </c>
      <c r="O379" s="4">
        <f ca="1">-D*(O278-O280)/(2*delta)</f>
        <v>405.20309425657229</v>
      </c>
      <c r="P379" s="4">
        <f ca="1">-D*(P278-P280)/(2*delta)</f>
        <v>530.19543888963415</v>
      </c>
      <c r="Q379" s="4">
        <f ca="1">-D*(Q278-Q280)/(2*delta)</f>
        <v>698.73349583786649</v>
      </c>
      <c r="R379" s="4">
        <f ca="1">-D*(R278-R280)/(2*delta)</f>
        <v>933.39879887123573</v>
      </c>
      <c r="S379" s="4">
        <f ca="1">-D*(S278-S280)/(2*delta)</f>
        <v>1143.4576968778724</v>
      </c>
      <c r="T379" s="4">
        <f ca="1">-D*(T278-T280)/(2*delta)</f>
        <v>1235.849091492596</v>
      </c>
      <c r="U379" s="4">
        <f ca="1">-D*(U278-U280)/(2*delta)</f>
        <v>1225.6238841526695</v>
      </c>
      <c r="V379" s="4">
        <f ca="1">-D*(V278-V280)/(2*delta)</f>
        <v>1112.3161779958423</v>
      </c>
      <c r="W379" s="4">
        <f ca="1">-D*(W278-W280)/(2*delta)</f>
        <v>879.90745161374662</v>
      </c>
      <c r="X379" s="4">
        <f ca="1">-D*(X278-X280)/(2*delta)</f>
        <v>620.37917803879259</v>
      </c>
      <c r="Y379" s="4">
        <f ca="1">-D*(Y278-Y280)/(2*delta)</f>
        <v>423.1826837417297</v>
      </c>
      <c r="Z379" s="4">
        <f ca="1">-D*(Z278-Z280)/(2*delta)</f>
        <v>264.13303104457992</v>
      </c>
      <c r="AA379" s="4">
        <f ca="1">-D*(AA278-AA280)/(2*delta)</f>
        <v>127.03539498262958</v>
      </c>
      <c r="AB379" s="3">
        <f ca="1">-D*(AB278-AB280)/(2*delta)</f>
        <v>0</v>
      </c>
    </row>
    <row r="380" spans="5:28" x14ac:dyDescent="0.25">
      <c r="E380" s="2">
        <f t="shared" si="297"/>
        <v>1.8000000000000005</v>
      </c>
      <c r="H380" s="3">
        <f ca="1">-D*(H279-H281)/(2*delta)</f>
        <v>0</v>
      </c>
      <c r="I380" s="4">
        <f ca="1">-D*(I279-I281)/(2*delta)</f>
        <v>29.817532525420891</v>
      </c>
      <c r="J380" s="4">
        <f ca="1">-D*(J279-J281)/(2*delta)</f>
        <v>61.301828278544853</v>
      </c>
      <c r="K380" s="4">
        <f ca="1">-D*(K279-K281)/(2*delta)</f>
        <v>96.262584928636301</v>
      </c>
      <c r="L380" s="4">
        <f ca="1">-D*(L279-L281)/(2*delta)</f>
        <v>136.80692708940231</v>
      </c>
      <c r="M380" s="4">
        <f ca="1">-D*(M279-M281)/(2*delta)</f>
        <v>185.51212630832367</v>
      </c>
      <c r="N380" s="4">
        <f ca="1">-D*(N279-N281)/(2*delta)</f>
        <v>245.60457166339438</v>
      </c>
      <c r="O380" s="4">
        <f ca="1">-D*(O279-O281)/(2*delta)</f>
        <v>321.06871471685741</v>
      </c>
      <c r="P380" s="4">
        <f ca="1">-D*(P279-P281)/(2*delta)</f>
        <v>416.3907936274029</v>
      </c>
      <c r="Q380" s="4">
        <f ca="1">-D*(Q279-Q281)/(2*delta)</f>
        <v>534.88636412078426</v>
      </c>
      <c r="R380" s="4">
        <f ca="1">-D*(R279-R281)/(2*delta)</f>
        <v>671.88936318234232</v>
      </c>
      <c r="S380" s="4">
        <f ca="1">-D*(S279-S281)/(2*delta)</f>
        <v>789.41404067301073</v>
      </c>
      <c r="T380" s="4">
        <f ca="1">-D*(T279-T281)/(2*delta)</f>
        <v>848.25617158271507</v>
      </c>
      <c r="U380" s="4">
        <f ca="1">-D*(U279-U281)/(2*delta)</f>
        <v>840.42034846210549</v>
      </c>
      <c r="V380" s="4">
        <f ca="1">-D*(V279-V281)/(2*delta)</f>
        <v>765.51388287219959</v>
      </c>
      <c r="W380" s="4">
        <f ca="1">-D*(W279-W281)/(2*delta)</f>
        <v>630.71643090252053</v>
      </c>
      <c r="X380" s="4">
        <f ca="1">-D*(X279-X281)/(2*delta)</f>
        <v>474.32204163792369</v>
      </c>
      <c r="Y380" s="4">
        <f ca="1">-D*(Y279-Y281)/(2*delta)</f>
        <v>333.23770854432422</v>
      </c>
      <c r="Z380" s="4">
        <f ca="1">-D*(Z279-Z281)/(2*delta)</f>
        <v>210.79069610416653</v>
      </c>
      <c r="AA380" s="4">
        <f ca="1">-D*(AA279-AA281)/(2*delta)</f>
        <v>101.95101241737984</v>
      </c>
      <c r="AB380" s="3">
        <f ca="1">-D*(AB279-AB281)/(2*delta)</f>
        <v>0</v>
      </c>
    </row>
    <row r="381" spans="5:28" x14ac:dyDescent="0.25">
      <c r="E381" s="2">
        <f t="shared" si="297"/>
        <v>1.7000000000000004</v>
      </c>
      <c r="H381" s="3">
        <f ca="1">-D*(H280-H282)/(2*delta)</f>
        <v>0</v>
      </c>
      <c r="I381" s="4">
        <f ca="1">-D*(I280-I282)/(2*delta)</f>
        <v>19.803639356660298</v>
      </c>
      <c r="J381" s="4">
        <f ca="1">-D*(J280-J282)/(2*delta)</f>
        <v>40.819455220683452</v>
      </c>
      <c r="K381" s="4">
        <f ca="1">-D*(K280-K282)/(2*delta)</f>
        <v>64.351328503079557</v>
      </c>
      <c r="L381" s="4">
        <f ca="1">-D*(L280-L282)/(2*delta)</f>
        <v>91.884357765737761</v>
      </c>
      <c r="M381" s="4">
        <f ca="1">-D*(M280-M282)/(2*delta)</f>
        <v>125.15899949980646</v>
      </c>
      <c r="N381" s="4">
        <f ca="1">-D*(N280-N282)/(2*delta)</f>
        <v>166.18527484036377</v>
      </c>
      <c r="O381" s="4">
        <f ca="1">-D*(O280-O282)/(2*delta)</f>
        <v>217.07639931973395</v>
      </c>
      <c r="P381" s="4">
        <f ca="1">-D*(P280-P282)/(2*delta)</f>
        <v>279.41265678214017</v>
      </c>
      <c r="Q381" s="4">
        <f ca="1">-D*(Q280-Q282)/(2*delta)</f>
        <v>352.531803836177</v>
      </c>
      <c r="R381" s="4">
        <f ca="1">-D*(R280-R282)/(2*delta)</f>
        <v>429.85824906433737</v>
      </c>
      <c r="S381" s="4">
        <f ca="1">-D*(S280-S282)/(2*delta)</f>
        <v>494.05293104911465</v>
      </c>
      <c r="T381" s="4">
        <f ca="1">-D*(T280-T282)/(2*delta)</f>
        <v>527.3412057031486</v>
      </c>
      <c r="U381" s="4">
        <f ca="1">-D*(U280-U282)/(2*delta)</f>
        <v>522.28745524083854</v>
      </c>
      <c r="V381" s="4">
        <f ca="1">-D*(V280-V282)/(2*delta)</f>
        <v>478.60257412813587</v>
      </c>
      <c r="W381" s="4">
        <f ca="1">-D*(W280-W282)/(2*delta)</f>
        <v>403.12234748640702</v>
      </c>
      <c r="X381" s="4">
        <f ca="1">-D*(X280-X282)/(2*delta)</f>
        <v>312.95484906622011</v>
      </c>
      <c r="Y381" s="4">
        <f ca="1">-D*(Y280-Y282)/(2*delta)</f>
        <v>224.65541269302051</v>
      </c>
      <c r="Z381" s="4">
        <f ca="1">-D*(Z280-Z282)/(2*delta)</f>
        <v>143.84103241034936</v>
      </c>
      <c r="AA381" s="4">
        <f ca="1">-D*(AA280-AA282)/(2*delta)</f>
        <v>69.977958582544034</v>
      </c>
      <c r="AB381" s="3">
        <f ca="1">-D*(AB280-AB282)/(2*delta)</f>
        <v>0</v>
      </c>
    </row>
    <row r="382" spans="5:28" x14ac:dyDescent="0.25">
      <c r="E382" s="2">
        <f t="shared" si="297"/>
        <v>1.6000000000000003</v>
      </c>
      <c r="H382" s="3">
        <f ca="1">-D*(H281-H283)/(2*delta)</f>
        <v>0</v>
      </c>
      <c r="I382" s="4">
        <f ca="1">-D*(I281-I283)/(2*delta)</f>
        <v>8.5775696805694377</v>
      </c>
      <c r="J382" s="4">
        <f ca="1">-D*(J281-J283)/(2*delta)</f>
        <v>17.821024744310627</v>
      </c>
      <c r="K382" s="4">
        <f ca="1">-D*(K281-K283)/(2*delta)</f>
        <v>28.438916097374776</v>
      </c>
      <c r="L382" s="4">
        <f ca="1">-D*(L281-L283)/(2*delta)</f>
        <v>41.220175970467217</v>
      </c>
      <c r="M382" s="4">
        <f ca="1">-D*(M281-M283)/(2*delta)</f>
        <v>57.05423908525642</v>
      </c>
      <c r="N382" s="4">
        <f ca="1">-D*(N281-N283)/(2*delta)</f>
        <v>76.901128878716733</v>
      </c>
      <c r="O382" s="4">
        <f ca="1">-D*(O281-O283)/(2*delta)</f>
        <v>101.6389509395741</v>
      </c>
      <c r="P382" s="4">
        <f ca="1">-D*(P281-P283)/(2*delta)</f>
        <v>131.6516303450515</v>
      </c>
      <c r="Q382" s="4">
        <f ca="1">-D*(Q281-Q283)/(2*delta)</f>
        <v>165.96994537751058</v>
      </c>
      <c r="R382" s="4">
        <f ca="1">-D*(R281-R283)/(2*delta)</f>
        <v>200.95889818971756</v>
      </c>
      <c r="S382" s="4">
        <f ca="1">-D*(S281-S283)/(2*delta)</f>
        <v>229.59822875615586</v>
      </c>
      <c r="T382" s="4">
        <f ca="1">-D*(T281-T283)/(2*delta)</f>
        <v>244.76826493927399</v>
      </c>
      <c r="U382" s="4">
        <f ca="1">-D*(U281-U283)/(2*delta)</f>
        <v>242.78569267074477</v>
      </c>
      <c r="V382" s="4">
        <f ca="1">-D*(V281-V283)/(2*delta)</f>
        <v>223.48661091329569</v>
      </c>
      <c r="W382" s="4">
        <f ca="1">-D*(W281-W283)/(2*delta)</f>
        <v>190.21553584862065</v>
      </c>
      <c r="X382" s="4">
        <f ca="1">-D*(X281-X283)/(2*delta)</f>
        <v>149.71959444801749</v>
      </c>
      <c r="Y382" s="4">
        <f ca="1">-D*(Y281-Y283)/(2*delta)</f>
        <v>108.588060751678</v>
      </c>
      <c r="Z382" s="4">
        <f ca="1">-D*(Z281-Z283)/(2*delta)</f>
        <v>69.940062261763757</v>
      </c>
      <c r="AA382" s="4">
        <f ca="1">-D*(AA281-AA283)/(2*delta)</f>
        <v>34.119789502381806</v>
      </c>
      <c r="AB382" s="3">
        <f ca="1">-D*(AB281-AB283)/(2*delta)</f>
        <v>0</v>
      </c>
    </row>
    <row r="383" spans="5:28" x14ac:dyDescent="0.25">
      <c r="E383" s="2">
        <f t="shared" si="297"/>
        <v>1.5000000000000002</v>
      </c>
      <c r="H383" s="3">
        <f ca="1">-D*(H282-H284)/(2*delta)</f>
        <v>0</v>
      </c>
      <c r="I383" s="4">
        <f ca="1">-D*(I282-I284)/(2*delta)</f>
        <v>-3.3143853787827613</v>
      </c>
      <c r="J383" s="4">
        <f ca="1">-D*(J282-J284)/(2*delta)</f>
        <v>-6.5518420214014439</v>
      </c>
      <c r="K383" s="4">
        <f ca="1">-D*(K282-K284)/(2*delta)</f>
        <v>-9.6368648284234677</v>
      </c>
      <c r="L383" s="4">
        <f ca="1">-D*(L282-L284)/(2*delta)</f>
        <v>-12.496809066467517</v>
      </c>
      <c r="M383" s="4">
        <f ca="1">-D*(M282-M284)/(2*delta)</f>
        <v>-15.063348008030207</v>
      </c>
      <c r="N383" s="4">
        <f ca="1">-D*(N282-N284)/(2*delta)</f>
        <v>-17.273949350260914</v>
      </c>
      <c r="O383" s="4">
        <f ca="1">-D*(O282-O284)/(2*delta)</f>
        <v>-19.073354785140907</v>
      </c>
      <c r="P383" s="4">
        <f ca="1">-D*(P282-P284)/(2*delta)</f>
        <v>-20.415031718627933</v>
      </c>
      <c r="Q383" s="4">
        <f ca="1">-D*(Q282-Q284)/(2*delta)</f>
        <v>-21.262550861099893</v>
      </c>
      <c r="R383" s="4">
        <f ca="1">-D*(R282-R284)/(2*delta)</f>
        <v>-21.590830439652891</v>
      </c>
      <c r="S383" s="4">
        <f ca="1">-D*(S282-S284)/(2*delta)</f>
        <v>-21.387179153027322</v>
      </c>
      <c r="T383" s="4">
        <f ca="1">-D*(T282-T284)/(2*delta)</f>
        <v>-20.652067372953216</v>
      </c>
      <c r="U383" s="4">
        <f ca="1">-D*(U282-U284)/(2*delta)</f>
        <v>-19.399560410820065</v>
      </c>
      <c r="V383" s="4">
        <f ca="1">-D*(V282-V284)/(2*delta)</f>
        <v>-17.657358994579695</v>
      </c>
      <c r="W383" s="4">
        <f ca="1">-D*(W282-W284)/(2*delta)</f>
        <v>-15.466409453367961</v>
      </c>
      <c r="X383" s="4">
        <f ca="1">-D*(X282-X284)/(2*delta)</f>
        <v>-12.880067874449125</v>
      </c>
      <c r="Y383" s="4">
        <f ca="1">-D*(Y282-Y284)/(2*delta)</f>
        <v>-9.9628263960232619</v>
      </c>
      <c r="Z383" s="4">
        <f ca="1">-D*(Z282-Z284)/(2*delta)</f>
        <v>-6.788633617354483</v>
      </c>
      <c r="AA383" s="4">
        <f ca="1">-D*(AA282-AA284)/(2*delta)</f>
        <v>-3.4388628346828334</v>
      </c>
      <c r="AB383" s="3">
        <f ca="1">-D*(AB282-AB284)/(2*delta)</f>
        <v>0</v>
      </c>
    </row>
    <row r="384" spans="5:28" x14ac:dyDescent="0.25">
      <c r="E384" s="2">
        <f t="shared" si="297"/>
        <v>1.4000000000000001</v>
      </c>
      <c r="H384" s="3">
        <f ca="1">-D*(H283-H285)/(2*delta)</f>
        <v>0</v>
      </c>
      <c r="I384" s="4">
        <f ca="1">-D*(I283-I285)/(2*delta)</f>
        <v>-15.283269174315329</v>
      </c>
      <c r="J384" s="4">
        <f ca="1">-D*(J283-J285)/(2*delta)</f>
        <v>-31.07714262244955</v>
      </c>
      <c r="K384" s="4">
        <f ca="1">-D*(K283-K285)/(2*delta)</f>
        <v>-47.937724323329988</v>
      </c>
      <c r="L384" s="4">
        <f ca="1">-D*(L283-L285)/(2*delta)</f>
        <v>-66.507199399785875</v>
      </c>
      <c r="M384" s="4">
        <f ca="1">-D*(M283-M285)/(2*delta)</f>
        <v>-87.536872700811386</v>
      </c>
      <c r="N384" s="4">
        <f ca="1">-D*(N283-N285)/(2*delta)</f>
        <v>-111.86022348632996</v>
      </c>
      <c r="O384" s="4">
        <f ca="1">-D*(O283-O285)/(2*delta)</f>
        <v>-140.24338901150921</v>
      </c>
      <c r="P384" s="4">
        <f ca="1">-D*(P283-P285)/(2*delta)</f>
        <v>-172.97585157364821</v>
      </c>
      <c r="Q384" s="4">
        <f ca="1">-D*(Q283-Q285)/(2*delta)</f>
        <v>-209.01428666343384</v>
      </c>
      <c r="R384" s="4">
        <f ca="1">-D*(R283-R285)/(2*delta)</f>
        <v>-244.67248993335483</v>
      </c>
      <c r="S384" s="4">
        <f ca="1">-D*(S283-S285)/(2*delta)</f>
        <v>-272.90404755637576</v>
      </c>
      <c r="T384" s="4">
        <f ca="1">-D*(T283-T285)/(2*delta)</f>
        <v>-286.58979486658791</v>
      </c>
      <c r="U384" s="4">
        <f ca="1">-D*(U283-U285)/(2*delta)</f>
        <v>-282.0745079468831</v>
      </c>
      <c r="V384" s="4">
        <f ca="1">-D*(V283-V285)/(2*delta)</f>
        <v>-259.25007702723099</v>
      </c>
      <c r="W384" s="4">
        <f ca="1">-D*(W283-W285)/(2*delta)</f>
        <v>-221.54374679293335</v>
      </c>
      <c r="X384" s="4">
        <f ca="1">-D*(X283-X285)/(2*delta)</f>
        <v>-175.81063009704141</v>
      </c>
      <c r="Y384" s="4">
        <f ca="1">-D*(Y283-Y285)/(2*delta)</f>
        <v>-128.7706648439036</v>
      </c>
      <c r="Z384" s="4">
        <f ca="1">-D*(Z283-Z285)/(2*delta)</f>
        <v>-83.692907500638157</v>
      </c>
      <c r="AA384" s="4">
        <f ca="1">-D*(AA283-AA285)/(2*delta)</f>
        <v>-41.086607223726084</v>
      </c>
      <c r="AB384" s="3">
        <f ca="1">-D*(AB283-AB285)/(2*delta)</f>
        <v>0</v>
      </c>
    </row>
    <row r="385" spans="5:28" x14ac:dyDescent="0.25">
      <c r="E385" s="2">
        <f t="shared" si="297"/>
        <v>1.3</v>
      </c>
      <c r="H385" s="3">
        <f ca="1">-D*(H284-H286)/(2*delta)</f>
        <v>0</v>
      </c>
      <c r="I385" s="4">
        <f ca="1">-D*(I284-I286)/(2*delta)</f>
        <v>-26.741548696012725</v>
      </c>
      <c r="J385" s="4">
        <f ca="1">-D*(J284-J286)/(2*delta)</f>
        <v>-54.535734970849155</v>
      </c>
      <c r="K385" s="4">
        <f ca="1">-D*(K284-K286)/(2*delta)</f>
        <v>-84.529690442612207</v>
      </c>
      <c r="L385" s="4">
        <f ca="1">-D*(L284-L286)/(2*delta)</f>
        <v>-118.05739150850201</v>
      </c>
      <c r="M385" s="4">
        <f ca="1">-D*(M284-M286)/(2*delta)</f>
        <v>-156.71671990932725</v>
      </c>
      <c r="N385" s="4">
        <f ca="1">-D*(N284-N286)/(2*delta)</f>
        <v>-202.38668288286954</v>
      </c>
      <c r="O385" s="4">
        <f ca="1">-D*(O284-O286)/(2*delta)</f>
        <v>-257.06412620098251</v>
      </c>
      <c r="P385" s="4">
        <f ca="1">-D*(P284-P286)/(2*delta)</f>
        <v>-322.23069890102192</v>
      </c>
      <c r="Q385" s="4">
        <f ca="1">-D*(Q284-Q286)/(2*delta)</f>
        <v>-397.14625428589244</v>
      </c>
      <c r="R385" s="4">
        <f ca="1">-D*(R284-R286)/(2*delta)</f>
        <v>-475.18079507356794</v>
      </c>
      <c r="S385" s="4">
        <f ca="1">-D*(S284-S286)/(2*delta)</f>
        <v>-538.96672627285807</v>
      </c>
      <c r="T385" s="4">
        <f ca="1">-D*(T284-T286)/(2*delta)</f>
        <v>-570.72855658994411</v>
      </c>
      <c r="U385" s="4">
        <f ca="1">-D*(U284-U286)/(2*delta)</f>
        <v>-563.05859948276293</v>
      </c>
      <c r="V385" s="4">
        <f ca="1">-D*(V284-V286)/(2*delta)</f>
        <v>-515.72469437465747</v>
      </c>
      <c r="W385" s="4">
        <f ca="1">-D*(W284-W286)/(2*delta)</f>
        <v>-435.64787059415818</v>
      </c>
      <c r="X385" s="4">
        <f ca="1">-D*(X284-X286)/(2*delta)</f>
        <v>-340.04804087694441</v>
      </c>
      <c r="Y385" s="4">
        <f ca="1">-D*(Y284-Y286)/(2*delta)</f>
        <v>-245.61629538197766</v>
      </c>
      <c r="Z385" s="4">
        <f ca="1">-D*(Z284-Z286)/(2*delta)</f>
        <v>-158.12572431753557</v>
      </c>
      <c r="AA385" s="4">
        <f ca="1">-D*(AA284-AA286)/(2*delta)</f>
        <v>-77.21465855953447</v>
      </c>
      <c r="AB385" s="3">
        <f ca="1">-D*(AB284-AB286)/(2*delta)</f>
        <v>0</v>
      </c>
    </row>
    <row r="386" spans="5:28" x14ac:dyDescent="0.25">
      <c r="E386" s="2">
        <f t="shared" si="297"/>
        <v>1.2</v>
      </c>
      <c r="H386" s="3">
        <f ca="1">-D*(H285-H287)/(2*delta)</f>
        <v>0</v>
      </c>
      <c r="I386" s="4">
        <f ca="1">-D*(I285-I287)/(2*delta)</f>
        <v>-37.147190638918978</v>
      </c>
      <c r="J386" s="4">
        <f ca="1">-D*(J285-J287)/(2*delta)</f>
        <v>-75.794558122387301</v>
      </c>
      <c r="K386" s="4">
        <f ca="1">-D*(K285-K287)/(2*delta)</f>
        <v>-117.58791096775144</v>
      </c>
      <c r="L386" s="4">
        <f ca="1">-D*(L285-L287)/(2*delta)</f>
        <v>-164.47595628231525</v>
      </c>
      <c r="M386" s="4">
        <f ca="1">-D*(M285-M287)/(2*delta)</f>
        <v>-218.88593254515868</v>
      </c>
      <c r="N386" s="4">
        <f ca="1">-D*(N285-N287)/(2*delta)</f>
        <v>-283.90566193493595</v>
      </c>
      <c r="O386" s="4">
        <f ca="1">-D*(O285-O287)/(2*delta)</f>
        <v>-363.39573400852953</v>
      </c>
      <c r="P386" s="4">
        <f ca="1">-D*(P285-P287)/(2*delta)</f>
        <v>-461.73656354310833</v>
      </c>
      <c r="Q386" s="4">
        <f ca="1">-D*(Q285-Q287)/(2*delta)</f>
        <v>-582.15923650600132</v>
      </c>
      <c r="R386" s="4">
        <f ca="1">-D*(R285-R287)/(2*delta)</f>
        <v>-719.93770980229863</v>
      </c>
      <c r="S386" s="4">
        <f ca="1">-D*(S285-S287)/(2*delta)</f>
        <v>-837.05350587134774</v>
      </c>
      <c r="T386" s="4">
        <f ca="1">-D*(T285-T287)/(2*delta)</f>
        <v>-894.2991057379578</v>
      </c>
      <c r="U386" s="4">
        <f ca="1">-D*(U285-U287)/(2*delta)</f>
        <v>-883.70663901969613</v>
      </c>
      <c r="V386" s="4">
        <f ca="1">-D*(V285-V287)/(2*delta)</f>
        <v>-804.94223039415431</v>
      </c>
      <c r="W386" s="4">
        <f ca="1">-D*(W285-W287)/(2*delta)</f>
        <v>-665.27500033248748</v>
      </c>
      <c r="X386" s="4">
        <f ca="1">-D*(X285-X287)/(2*delta)</f>
        <v>-503.11736743411194</v>
      </c>
      <c r="Y386" s="4">
        <f ca="1">-D*(Y285-Y287)/(2*delta)</f>
        <v>-355.52075148955936</v>
      </c>
      <c r="Z386" s="4">
        <f ca="1">-D*(Z285-Z287)/(2*delta)</f>
        <v>-225.97903582797565</v>
      </c>
      <c r="AA386" s="4">
        <f ca="1">-D*(AA285-AA287)/(2*delta)</f>
        <v>-109.64630269682733</v>
      </c>
      <c r="AB386" s="3">
        <f ca="1">-D*(AB285-AB287)/(2*delta)</f>
        <v>0</v>
      </c>
    </row>
    <row r="387" spans="5:28" x14ac:dyDescent="0.25">
      <c r="E387" s="2">
        <f t="shared" si="297"/>
        <v>1.0999999999999999</v>
      </c>
      <c r="H387" s="3">
        <f ca="1">-D*(H286-H288)/(2*delta)</f>
        <v>0</v>
      </c>
      <c r="I387" s="4">
        <f ca="1">-D*(I286-I288)/(2*delta)</f>
        <v>-46.05265573725957</v>
      </c>
      <c r="J387" s="4">
        <f ca="1">-D*(J286-J288)/(2*delta)</f>
        <v>-93.907395911931786</v>
      </c>
      <c r="K387" s="4">
        <f ca="1">-D*(K286-K288)/(2*delta)</f>
        <v>-145.55143902365842</v>
      </c>
      <c r="L387" s="4">
        <f ca="1">-D*(L286-L288)/(2*delta)</f>
        <v>-203.37259010771862</v>
      </c>
      <c r="M387" s="4">
        <f ca="1">-D*(M286-M288)/(2*delta)</f>
        <v>-270.44539205405619</v>
      </c>
      <c r="N387" s="4">
        <f ca="1">-D*(N286-N288)/(2*delta)</f>
        <v>-350.95429830282751</v>
      </c>
      <c r="O387" s="4">
        <f ca="1">-D*(O286-O288)/(2*delta)</f>
        <v>-450.87658435476516</v>
      </c>
      <c r="P387" s="4">
        <f ca="1">-D*(P286-P288)/(2*delta)</f>
        <v>-579.16058475675038</v>
      </c>
      <c r="Q387" s="4">
        <f ca="1">-D*(Q286-Q288)/(2*delta)</f>
        <v>-749.81641839296663</v>
      </c>
      <c r="R387" s="4">
        <f ca="1">-D*(R286-R288)/(2*delta)</f>
        <v>-985.35730175827632</v>
      </c>
      <c r="S387" s="4">
        <f ca="1">-D*(S286-S288)/(2*delta)</f>
        <v>-1195.0104816718217</v>
      </c>
      <c r="T387" s="4">
        <f ca="1">-D*(T286-T288)/(2*delta)</f>
        <v>-1285.7077214712997</v>
      </c>
      <c r="U387" s="4">
        <f ca="1">-D*(U286-U288)/(2*delta)</f>
        <v>-1272.5266204637801</v>
      </c>
      <c r="V387" s="4">
        <f ca="1">-D*(V286-V288)/(2*delta)</f>
        <v>-1155.0625878492558</v>
      </c>
      <c r="W387" s="4">
        <f ca="1">-D*(W286-W288)/(2*delta)</f>
        <v>-917.39253290768829</v>
      </c>
      <c r="X387" s="4">
        <f ca="1">-D*(X286-X288)/(2*delta)</f>
        <v>-651.62567703765149</v>
      </c>
      <c r="Y387" s="4">
        <f ca="1">-D*(Y286-Y288)/(2*delta)</f>
        <v>-447.37030731430235</v>
      </c>
      <c r="Z387" s="4">
        <f ca="1">-D*(Z286-Z288)/(2*delta)</f>
        <v>-280.62336480802912</v>
      </c>
      <c r="AA387" s="4">
        <f ca="1">-D*(AA286-AA288)/(2*delta)</f>
        <v>-135.39151639970956</v>
      </c>
      <c r="AB387" s="3">
        <f ca="1">-D*(AB286-AB288)/(2*delta)</f>
        <v>0</v>
      </c>
    </row>
    <row r="388" spans="5:28" x14ac:dyDescent="0.25">
      <c r="E388" s="2">
        <f t="shared" si="297"/>
        <v>0.99999999999999989</v>
      </c>
      <c r="H388" s="3">
        <f ca="1">-D*(H287-H289)/(2*delta)</f>
        <v>0</v>
      </c>
      <c r="I388" s="4">
        <f ca="1">-D*(I287-I289)/(2*delta)</f>
        <v>-53.156036398163131</v>
      </c>
      <c r="J388" s="4">
        <f ca="1">-D*(J287-J289)/(2*delta)</f>
        <v>-108.23093076438951</v>
      </c>
      <c r="K388" s="4">
        <f ca="1">-D*(K287-K289)/(2*delta)</f>
        <v>-167.33785910731316</v>
      </c>
      <c r="L388" s="4">
        <f ca="1">-D*(L287-L289)/(2*delta)</f>
        <v>-233.01757307081184</v>
      </c>
      <c r="M388" s="4">
        <f ca="1">-D*(M287-M289)/(2*delta)</f>
        <v>-308.56874726051996</v>
      </c>
      <c r="N388" s="4">
        <f ca="1">-D*(N287-N289)/(2*delta)</f>
        <v>-398.58955486781326</v>
      </c>
      <c r="O388" s="4">
        <f ca="1">-D*(O287-O289)/(2*delta)</f>
        <v>-509.99572035095417</v>
      </c>
      <c r="P388" s="4">
        <f ca="1">-D*(P287-P289)/(2*delta)</f>
        <v>-654.21277273668181</v>
      </c>
      <c r="Q388" s="4">
        <f ca="1">-D*(Q287-Q289)/(2*delta)</f>
        <v>-852.58855055051299</v>
      </c>
      <c r="R388" s="4">
        <f ca="1">-D*(R287-R289)/(2*delta)</f>
        <v>-1151.664597166395</v>
      </c>
      <c r="S388" s="4">
        <f ca="1">-D*(S287-S289)/(2*delta)</f>
        <v>-1421.9233975864024</v>
      </c>
      <c r="T388" s="4">
        <f ca="1">-D*(T287-T289)/(2*delta)</f>
        <v>-1530.9946780114831</v>
      </c>
      <c r="U388" s="4">
        <f ca="1">-D*(U287-U289)/(2*delta)</f>
        <v>-1515.629533514712</v>
      </c>
      <c r="V388" s="4">
        <f ca="1">-D*(V287-V289)/(2*delta)</f>
        <v>-1375.3889676318288</v>
      </c>
      <c r="W388" s="4">
        <f ca="1">-D*(W287-W289)/(2*delta)</f>
        <v>-1072.6068664109205</v>
      </c>
      <c r="X388" s="4">
        <f ca="1">-D*(X287-X289)/(2*delta)</f>
        <v>-738.62250049469958</v>
      </c>
      <c r="Y388" s="4">
        <f ca="1">-D*(Y287-Y289)/(2*delta)</f>
        <v>-501.71143592196904</v>
      </c>
      <c r="Z388" s="4">
        <f ca="1">-D*(Z287-Z289)/(2*delta)</f>
        <v>-313.75259969002354</v>
      </c>
      <c r="AA388" s="4">
        <f ca="1">-D*(AA287-AA289)/(2*delta)</f>
        <v>-151.29639809407959</v>
      </c>
      <c r="AB388" s="3">
        <f ca="1">-D*(AB287-AB289)/(2*delta)</f>
        <v>0</v>
      </c>
    </row>
    <row r="389" spans="5:28" x14ac:dyDescent="0.25">
      <c r="E389" s="2">
        <f t="shared" si="297"/>
        <v>0.89999999999999991</v>
      </c>
      <c r="H389" s="3">
        <f ca="1">-D*(H288-H290)/(2*delta)</f>
        <v>0</v>
      </c>
      <c r="I389" s="4">
        <f ca="1">-D*(I288-I290)/(2*delta)</f>
        <v>-58.340559091036063</v>
      </c>
      <c r="J389" s="4">
        <f ca="1">-D*(J288-J290)/(2*delta)</f>
        <v>-118.52243164022349</v>
      </c>
      <c r="K389" s="4">
        <f ca="1">-D*(K288-K290)/(2*delta)</f>
        <v>-182.55149357039261</v>
      </c>
      <c r="L389" s="4">
        <f ca="1">-D*(L288-L290)/(2*delta)</f>
        <v>-252.79109580782639</v>
      </c>
      <c r="M389" s="4">
        <f ca="1">-D*(M288-M290)/(2*delta)</f>
        <v>-332.22246904956137</v>
      </c>
      <c r="N389" s="4">
        <f ca="1">-D*(N288-N290)/(2*delta)</f>
        <v>-424.83945355724416</v>
      </c>
      <c r="O389" s="4">
        <f ca="1">-D*(O288-O290)/(2*delta)</f>
        <v>-536.30396944442703</v>
      </c>
      <c r="P389" s="4">
        <f ca="1">-D*(P288-P290)/(2*delta)</f>
        <v>-675.10623528877068</v>
      </c>
      <c r="Q389" s="4">
        <f ca="1">-D*(Q288-Q290)/(2*delta)</f>
        <v>-854.66041390548673</v>
      </c>
      <c r="R389" s="4">
        <f ca="1">-D*(R288-R290)/(2*delta)</f>
        <v>-1096.7891387707516</v>
      </c>
      <c r="S389" s="4">
        <f ca="1">-D*(S288-S290)/(2*delta)</f>
        <v>-1310.0238334960507</v>
      </c>
      <c r="T389" s="4">
        <f ca="1">-D*(T288-T290)/(2*delta)</f>
        <v>-1400.7180594735935</v>
      </c>
      <c r="U389" s="4">
        <f ca="1">-D*(U288-U290)/(2*delta)</f>
        <v>-1383.607867951637</v>
      </c>
      <c r="V389" s="4">
        <f ca="1">-D*(V288-V290)/(2*delta)</f>
        <v>-1258.2568827526984</v>
      </c>
      <c r="W389" s="4">
        <f ca="1">-D*(W288-W290)/(2*delta)</f>
        <v>-1009.023464609275</v>
      </c>
      <c r="X389" s="4">
        <f ca="1">-D*(X288-X290)/(2*delta)</f>
        <v>-728.54602260822617</v>
      </c>
      <c r="Y389" s="4">
        <f ca="1">-D*(Y288-Y290)/(2*delta)</f>
        <v>-507.10033618858944</v>
      </c>
      <c r="Z389" s="4">
        <f ca="1">-D*(Z288-Z290)/(2*delta)</f>
        <v>-321.37919993609819</v>
      </c>
      <c r="AA389" s="4">
        <f ca="1">-D*(AA288-AA290)/(2*delta)</f>
        <v>-156.04147628666684</v>
      </c>
      <c r="AB389" s="3">
        <f ca="1">-D*(AB288-AB290)/(2*delta)</f>
        <v>0</v>
      </c>
    </row>
    <row r="390" spans="5:28" x14ac:dyDescent="0.25">
      <c r="E390" s="2">
        <f t="shared" si="297"/>
        <v>0.79999999999999993</v>
      </c>
      <c r="H390" s="3">
        <f ca="1">-D*(H289-H291)/(2*delta)</f>
        <v>0</v>
      </c>
      <c r="I390" s="4">
        <f ca="1">-D*(I289-I291)/(2*delta)</f>
        <v>-61.683768325708726</v>
      </c>
      <c r="J390" s="4">
        <f ca="1">-D*(J289-J291)/(2*delta)</f>
        <v>-124.96674313505937</v>
      </c>
      <c r="K390" s="4">
        <f ca="1">-D*(K289-K291)/(2*delta)</f>
        <v>-191.55458772623979</v>
      </c>
      <c r="L390" s="4">
        <f ca="1">-D*(L289-L291)/(2*delta)</f>
        <v>-263.37284754044265</v>
      </c>
      <c r="M390" s="4">
        <f ca="1">-D*(M289-M291)/(2*delta)</f>
        <v>-342.69057957252414</v>
      </c>
      <c r="N390" s="4">
        <f ca="1">-D*(N289-N291)/(2*delta)</f>
        <v>-432.24182086704474</v>
      </c>
      <c r="O390" s="4">
        <f ca="1">-D*(O289-O291)/(2*delta)</f>
        <v>-535.27446858064047</v>
      </c>
      <c r="P390" s="4">
        <f ca="1">-D*(P289-P291)/(2*delta)</f>
        <v>-655.24778506812959</v>
      </c>
      <c r="Q390" s="4">
        <f ca="1">-D*(Q289-Q291)/(2*delta)</f>
        <v>-794.15773101187949</v>
      </c>
      <c r="R390" s="4">
        <f ca="1">-D*(R289-R291)/(2*delta)</f>
        <v>-945.80771051483282</v>
      </c>
      <c r="S390" s="4">
        <f ca="1">-D*(S289-S291)/(2*delta)</f>
        <v>-1070.6647381535909</v>
      </c>
      <c r="T390" s="4">
        <f ca="1">-D*(T289-T291)/(2*delta)</f>
        <v>-1128.2458584350788</v>
      </c>
      <c r="U390" s="4">
        <f ca="1">-D*(U289-U291)/(2*delta)</f>
        <v>-1109.8269960654504</v>
      </c>
      <c r="V390" s="4">
        <f ca="1">-D*(V289-V291)/(2*delta)</f>
        <v>-1015.0072308179617</v>
      </c>
      <c r="W390" s="4">
        <f ca="1">-D*(W289-W291)/(2*delta)</f>
        <v>-851.68408666543723</v>
      </c>
      <c r="X390" s="4">
        <f ca="1">-D*(X289-X291)/(2*delta)</f>
        <v>-659.43778914033965</v>
      </c>
      <c r="Y390" s="4">
        <f ca="1">-D*(Y289-Y291)/(2*delta)</f>
        <v>-476.76468628821073</v>
      </c>
      <c r="Z390" s="4">
        <f ca="1">-D*(Z289-Z291)/(2*delta)</f>
        <v>-308.62238757908852</v>
      </c>
      <c r="AA390" s="4">
        <f ca="1">-D*(AA289-AA291)/(2*delta)</f>
        <v>-151.49030711637542</v>
      </c>
      <c r="AB390" s="3">
        <f ca="1">-D*(AB289-AB291)/(2*delta)</f>
        <v>0</v>
      </c>
    </row>
    <row r="391" spans="5:28" x14ac:dyDescent="0.25">
      <c r="E391" s="2">
        <f t="shared" si="297"/>
        <v>0.7</v>
      </c>
      <c r="H391" s="3">
        <f ca="1">-D*(H290-H292)/(2*delta)</f>
        <v>0</v>
      </c>
      <c r="I391" s="4">
        <f ca="1">-D*(I290-I292)/(2*delta)</f>
        <v>-63.427771076702811</v>
      </c>
      <c r="J391" s="4">
        <f ca="1">-D*(J290-J292)/(2*delta)</f>
        <v>-128.10618484801665</v>
      </c>
      <c r="K391" s="4">
        <f ca="1">-D*(K290-K292)/(2*delta)</f>
        <v>-195.32726665906443</v>
      </c>
      <c r="L391" s="4">
        <f ca="1">-D*(L290-L292)/(2*delta)</f>
        <v>-266.45512705509839</v>
      </c>
      <c r="M391" s="4">
        <f ca="1">-D*(M290-M292)/(2*delta)</f>
        <v>-342.92518083301576</v>
      </c>
      <c r="N391" s="4">
        <f ca="1">-D*(N290-N292)/(2*delta)</f>
        <v>-426.16278175763966</v>
      </c>
      <c r="O391" s="4">
        <f ca="1">-D*(O290-O292)/(2*delta)</f>
        <v>-517.30429894305826</v>
      </c>
      <c r="P391" s="4">
        <f ca="1">-D*(P290-P292)/(2*delta)</f>
        <v>-616.45270539152034</v>
      </c>
      <c r="Q391" s="4">
        <f ca="1">-D*(Q290-Q292)/(2*delta)</f>
        <v>-720.91501455900425</v>
      </c>
      <c r="R391" s="4">
        <f ca="1">-D*(R290-R292)/(2*delta)</f>
        <v>-821.61923412323995</v>
      </c>
      <c r="S391" s="4">
        <f ca="1">-D*(S290-S292)/(2*delta)</f>
        <v>-898.58155016840135</v>
      </c>
      <c r="T391" s="4">
        <f ca="1">-D*(T290-T292)/(2*delta)</f>
        <v>-931.77364004761591</v>
      </c>
      <c r="U391" s="4">
        <f ca="1">-D*(U290-U292)/(2*delta)</f>
        <v>-912.44702705731947</v>
      </c>
      <c r="V391" s="4">
        <f ca="1">-D*(V290-V292)/(2*delta)</f>
        <v>-840.26095778809861</v>
      </c>
      <c r="W391" s="4">
        <f ca="1">-D*(W290-W292)/(2*delta)</f>
        <v>-723.26786209449904</v>
      </c>
      <c r="X391" s="4">
        <f ca="1">-D*(X290-X292)/(2*delta)</f>
        <v>-580.7563609993374</v>
      </c>
      <c r="Y391" s="4">
        <f ca="1">-D*(Y290-Y292)/(2*delta)</f>
        <v>-431.89823224484206</v>
      </c>
      <c r="Z391" s="4">
        <f ca="1">-D*(Z290-Z292)/(2*delta)</f>
        <v>-284.85535697558794</v>
      </c>
      <c r="AA391" s="4">
        <f ca="1">-D*(AA290-AA292)/(2*delta)</f>
        <v>-141.29736459974629</v>
      </c>
      <c r="AB391" s="3">
        <f ca="1">-D*(AB290-AB292)/(2*delta)</f>
        <v>0</v>
      </c>
    </row>
    <row r="392" spans="5:28" x14ac:dyDescent="0.25">
      <c r="E392" s="2">
        <f t="shared" si="297"/>
        <v>0.6</v>
      </c>
      <c r="H392" s="3">
        <f ca="1">-D*(H291-H293)/(2*delta)</f>
        <v>0</v>
      </c>
      <c r="I392" s="4">
        <f ca="1">-D*(I291-I293)/(2*delta)</f>
        <v>-63.921131133102136</v>
      </c>
      <c r="J392" s="4">
        <f ca="1">-D*(J291-J293)/(2*delta)</f>
        <v>-128.70295852133353</v>
      </c>
      <c r="K392" s="4">
        <f ca="1">-D*(K291-K293)/(2*delta)</f>
        <v>-195.19316700686247</v>
      </c>
      <c r="L392" s="4">
        <f ca="1">-D*(L291-L293)/(2*delta)</f>
        <v>-264.19521318795188</v>
      </c>
      <c r="M392" s="4">
        <f ca="1">-D*(M291-M293)/(2*delta)</f>
        <v>-336.39223494685001</v>
      </c>
      <c r="N392" s="4">
        <f ca="1">-D*(N291-N293)/(2*delta)</f>
        <v>-412.17982638753784</v>
      </c>
      <c r="O392" s="4">
        <f ca="1">-D*(O291-O293)/(2*delta)</f>
        <v>-491.32724004243221</v>
      </c>
      <c r="P392" s="4">
        <f ca="1">-D*(P291-P293)/(2*delta)</f>
        <v>-572.34372299588904</v>
      </c>
      <c r="Q392" s="4">
        <f ca="1">-D*(Q291-Q293)/(2*delta)</f>
        <v>-651.43038770947442</v>
      </c>
      <c r="R392" s="4">
        <f ca="1">-D*(R291-R293)/(2*delta)</f>
        <v>-721.17266125072069</v>
      </c>
      <c r="S392" s="4">
        <f ca="1">-D*(S291-S293)/(2*delta)</f>
        <v>-770.2685883489637</v>
      </c>
      <c r="T392" s="4">
        <f ca="1">-D*(T291-T293)/(2*delta)</f>
        <v>-787.82012452979484</v>
      </c>
      <c r="U392" s="4">
        <f ca="1">-D*(U291-U293)/(2*delta)</f>
        <v>-767.92651432837442</v>
      </c>
      <c r="V392" s="4">
        <f ca="1">-D*(V291-V293)/(2*delta)</f>
        <v>-710.32171118261317</v>
      </c>
      <c r="W392" s="4">
        <f ca="1">-D*(W291-W293)/(2*delta)</f>
        <v>-620.37004292518725</v>
      </c>
      <c r="X392" s="4">
        <f ca="1">-D*(X291-X293)/(2*delta)</f>
        <v>-508.42156051760423</v>
      </c>
      <c r="Y392" s="4">
        <f ca="1">-D*(Y291-Y293)/(2*delta)</f>
        <v>-385.21652471631381</v>
      </c>
      <c r="Z392" s="4">
        <f ca="1">-D*(Z291-Z293)/(2*delta)</f>
        <v>-257.60344347875645</v>
      </c>
      <c r="AA392" s="4">
        <f ca="1">-D*(AA291-AA293)/(2*delta)</f>
        <v>-128.84379430707477</v>
      </c>
      <c r="AB392" s="3">
        <f ca="1">-D*(AB291-AB293)/(2*delta)</f>
        <v>0</v>
      </c>
    </row>
    <row r="393" spans="5:28" x14ac:dyDescent="0.25">
      <c r="E393" s="2">
        <f t="shared" si="297"/>
        <v>0.5</v>
      </c>
      <c r="H393" s="3">
        <f ca="1">-D*(H292-H294)/(2*delta)</f>
        <v>0</v>
      </c>
      <c r="I393" s="4">
        <f ca="1">-D*(I292-I294)/(2*delta)</f>
        <v>-63.553794934368142</v>
      </c>
      <c r="J393" s="4">
        <f ca="1">-D*(J292-J294)/(2*delta)</f>
        <v>-127.5913510973447</v>
      </c>
      <c r="K393" s="4">
        <f ca="1">-D*(K292-K294)/(2*delta)</f>
        <v>-192.54722965913274</v>
      </c>
      <c r="L393" s="4">
        <f ca="1">-D*(L292-L294)/(2*delta)</f>
        <v>-258.74032374307819</v>
      </c>
      <c r="M393" s="4">
        <f ca="1">-D*(M292-M294)/(2*delta)</f>
        <v>-326.26871937879656</v>
      </c>
      <c r="N393" s="4">
        <f ca="1">-D*(N292-N294)/(2*delta)</f>
        <v>-394.83704880336012</v>
      </c>
      <c r="O393" s="4">
        <f ca="1">-D*(O292-O294)/(2*delta)</f>
        <v>-463.48111184329269</v>
      </c>
      <c r="P393" s="4">
        <f ca="1">-D*(P292-P294)/(2*delta)</f>
        <v>-530.16455884003187</v>
      </c>
      <c r="Q393" s="4">
        <f ca="1">-D*(Q292-Q294)/(2*delta)</f>
        <v>-591.29015203231631</v>
      </c>
      <c r="R393" s="4">
        <f ca="1">-D*(R292-R294)/(2*delta)</f>
        <v>-641.37243482104191</v>
      </c>
      <c r="S393" s="4">
        <f ca="1">-D*(S292-S294)/(2*delta)</f>
        <v>-673.50001744693736</v>
      </c>
      <c r="T393" s="4">
        <f ca="1">-D*(T292-T294)/(2*delta)</f>
        <v>-681.31175539409435</v>
      </c>
      <c r="U393" s="4">
        <f ca="1">-D*(U292-U294)/(2*delta)</f>
        <v>-661.1171945436065</v>
      </c>
      <c r="V393" s="4">
        <f ca="1">-D*(V292-V294)/(2*delta)</f>
        <v>-612.72932968903683</v>
      </c>
      <c r="W393" s="4">
        <f ca="1">-D*(W292-W294)/(2*delta)</f>
        <v>-539.46903790565841</v>
      </c>
      <c r="X393" s="4">
        <f ca="1">-D*(X292-X294)/(2*delta)</f>
        <v>-447.34331342957864</v>
      </c>
      <c r="Y393" s="4">
        <f ca="1">-D*(Y292-Y294)/(2*delta)</f>
        <v>-342.94286262402755</v>
      </c>
      <c r="Z393" s="4">
        <f ca="1">-D*(Z292-Z294)/(2*delta)</f>
        <v>-231.49809791607797</v>
      </c>
      <c r="AA393" s="4">
        <f ca="1">-D*(AA292-AA294)/(2*delta)</f>
        <v>-116.47436914978012</v>
      </c>
      <c r="AB393" s="3">
        <f ca="1">-D*(AB292-AB294)/(2*delta)</f>
        <v>0</v>
      </c>
    </row>
    <row r="394" spans="5:28" x14ac:dyDescent="0.25">
      <c r="E394" s="2">
        <f t="shared" si="297"/>
        <v>0.4</v>
      </c>
      <c r="H394" s="3">
        <f ca="1">-D*(H293-H295)/(2*delta)</f>
        <v>0</v>
      </c>
      <c r="I394" s="4">
        <f ca="1">-D*(I293-I295)/(2*delta)</f>
        <v>-62.702697507031836</v>
      </c>
      <c r="J394" s="4">
        <f ca="1">-D*(J293-J295)/(2*delta)</f>
        <v>-125.56142127456897</v>
      </c>
      <c r="K394" s="4">
        <f ca="1">-D*(K293-K295)/(2*delta)</f>
        <v>-188.66407678918827</v>
      </c>
      <c r="L394" s="4">
        <f ca="1">-D*(L293-L295)/(2*delta)</f>
        <v>-251.95013274636679</v>
      </c>
      <c r="M394" s="4">
        <f ca="1">-D*(M293-M295)/(2*delta)</f>
        <v>-315.10527002194681</v>
      </c>
      <c r="N394" s="4">
        <f ca="1">-D*(N293-N295)/(2*delta)</f>
        <v>-377.41853760373152</v>
      </c>
      <c r="O394" s="4">
        <f ca="1">-D*(O293-O295)/(2*delta)</f>
        <v>-437.59559968737943</v>
      </c>
      <c r="P394" s="4">
        <f ca="1">-D*(P293-P295)/(2*delta)</f>
        <v>-493.54324848859682</v>
      </c>
      <c r="Q394" s="4">
        <f ca="1">-D*(Q293-Q295)/(2*delta)</f>
        <v>-542.19322675886394</v>
      </c>
      <c r="R394" s="4">
        <f ca="1">-D*(R293-R295)/(2*delta)</f>
        <v>-579.52690855425851</v>
      </c>
      <c r="S394" s="4">
        <f ca="1">-D*(S293-S295)/(2*delta)</f>
        <v>-601.04729122361709</v>
      </c>
      <c r="T394" s="4">
        <f ca="1">-D*(T293-T295)/(2*delta)</f>
        <v>-602.80968505607166</v>
      </c>
      <c r="U394" s="4">
        <f ca="1">-D*(U293-U295)/(2*delta)</f>
        <v>-582.50117876259503</v>
      </c>
      <c r="V394" s="4">
        <f ca="1">-D*(V293-V295)/(2*delta)</f>
        <v>-540.00937512430198</v>
      </c>
      <c r="W394" s="4">
        <f ca="1">-D*(W293-W295)/(2*delta)</f>
        <v>-477.43346557873315</v>
      </c>
      <c r="X394" s="4">
        <f ca="1">-D*(X293-X295)/(2*delta)</f>
        <v>-398.53979267113812</v>
      </c>
      <c r="Y394" s="4">
        <f ca="1">-D*(Y293-Y295)/(2*delta)</f>
        <v>-307.71351443406672</v>
      </c>
      <c r="Z394" s="4">
        <f ca="1">-D*(Z293-Z295)/(2*delta)</f>
        <v>-208.97171641173119</v>
      </c>
      <c r="AA394" s="4">
        <f ca="1">-D*(AA293-AA295)/(2*delta)</f>
        <v>-105.5555843759921</v>
      </c>
      <c r="AB394" s="3">
        <f ca="1">-D*(AB293-AB295)/(2*delta)</f>
        <v>0</v>
      </c>
    </row>
    <row r="395" spans="5:28" x14ac:dyDescent="0.25">
      <c r="E395" s="2">
        <f t="shared" si="297"/>
        <v>0.30000000000000004</v>
      </c>
      <c r="H395" s="3">
        <f ca="1">-D*(H294-H296)/(2*delta)</f>
        <v>0</v>
      </c>
      <c r="I395" s="4">
        <f ca="1">-D*(I294-I296)/(2*delta)</f>
        <v>-61.695573819208541</v>
      </c>
      <c r="J395" s="4">
        <f ca="1">-D*(J294-J296)/(2*delta)</f>
        <v>-123.28755970472116</v>
      </c>
      <c r="K395" s="4">
        <f ca="1">-D*(K294-K296)/(2*delta)</f>
        <v>-184.59752347669695</v>
      </c>
      <c r="L395" s="4">
        <f ca="1">-D*(L294-L296)/(2*delta)</f>
        <v>-245.29086043126983</v>
      </c>
      <c r="M395" s="4">
        <f ca="1">-D*(M294-M296)/(2*delta)</f>
        <v>-304.78369035890876</v>
      </c>
      <c r="N395" s="4">
        <f ca="1">-D*(N294-N296)/(2*delta)</f>
        <v>-362.13623190221529</v>
      </c>
      <c r="O395" s="4">
        <f ca="1">-D*(O294-O296)/(2*delta)</f>
        <v>-415.93950081393734</v>
      </c>
      <c r="P395" s="4">
        <f ca="1">-D*(P294-P296)/(2*delta)</f>
        <v>-464.21960866804659</v>
      </c>
      <c r="Q395" s="4">
        <f ca="1">-D*(Q294-Q296)/(2*delta)</f>
        <v>-504.41259796041419</v>
      </c>
      <c r="R395" s="4">
        <f ca="1">-D*(R294-R296)/(2*delta)</f>
        <v>-533.49468141346233</v>
      </c>
      <c r="S395" s="4">
        <f ca="1">-D*(S294-S296)/(2*delta)</f>
        <v>-548.3525538373799</v>
      </c>
      <c r="T395" s="4">
        <f ca="1">-D*(T294-T296)/(2*delta)</f>
        <v>-546.3785148440129</v>
      </c>
      <c r="U395" s="4">
        <f ca="1">-D*(U294-U296)/(2*delta)</f>
        <v>-526.06846032649764</v>
      </c>
      <c r="V395" s="4">
        <f ca="1">-D*(V294-V296)/(2*delta)</f>
        <v>-487.37352646677761</v>
      </c>
      <c r="W395" s="4">
        <f ca="1">-D*(W294-W296)/(2*delta)</f>
        <v>-431.71565661406203</v>
      </c>
      <c r="X395" s="4">
        <f ca="1">-D*(X294-X296)/(2*delta)</f>
        <v>-361.66887724213325</v>
      </c>
      <c r="Y395" s="4">
        <f ca="1">-D*(Y294-Y296)/(2*delta)</f>
        <v>-280.3996860294597</v>
      </c>
      <c r="Z395" s="4">
        <f ca="1">-D*(Z294-Z296)/(2*delta)</f>
        <v>-191.11966892077993</v>
      </c>
      <c r="AA395" s="4">
        <f ca="1">-D*(AA294-AA296)/(2*delta)</f>
        <v>-96.776251942465208</v>
      </c>
      <c r="AB395" s="3">
        <f ca="1">-D*(AB294-AB296)/(2*delta)</f>
        <v>0</v>
      </c>
    </row>
    <row r="396" spans="5:28" x14ac:dyDescent="0.25">
      <c r="E396" s="2">
        <f t="shared" si="297"/>
        <v>0.2</v>
      </c>
      <c r="H396" s="3">
        <f ca="1">-D*(H295-H297)/(2*delta)</f>
        <v>0</v>
      </c>
      <c r="I396" s="4">
        <f ca="1">-D*(I295-I297)/(2*delta)</f>
        <v>-60.792038065079133</v>
      </c>
      <c r="J396" s="4">
        <f ca="1">-D*(J295-J297)/(2*delta)</f>
        <v>-121.29572024837958</v>
      </c>
      <c r="K396" s="4">
        <f ca="1">-D*(K295-K297)/(2*delta)</f>
        <v>-181.14759698159028</v>
      </c>
      <c r="L396" s="4">
        <f ca="1">-D*(L295-L297)/(2*delta)</f>
        <v>-239.83209514316789</v>
      </c>
      <c r="M396" s="4">
        <f ca="1">-D*(M295-M297)/(2*delta)</f>
        <v>-296.60239908015001</v>
      </c>
      <c r="N396" s="4">
        <f ca="1">-D*(N295-N297)/(2*delta)</f>
        <v>-350.40319883233263</v>
      </c>
      <c r="O396" s="4">
        <f ca="1">-D*(O295-O297)/(2*delta)</f>
        <v>-399.80656299803894</v>
      </c>
      <c r="P396" s="4">
        <f ca="1">-D*(P295-P297)/(2*delta)</f>
        <v>-442.98308740937642</v>
      </c>
      <c r="Q396" s="4">
        <f ca="1">-D*(Q295-Q297)/(2*delta)</f>
        <v>-477.74287500120249</v>
      </c>
      <c r="R396" s="4">
        <f ca="1">-D*(R295-R297)/(2*delta)</f>
        <v>-501.68666530178029</v>
      </c>
      <c r="S396" s="4">
        <f ca="1">-D*(S295-S297)/(2*delta)</f>
        <v>-512.48972786850049</v>
      </c>
      <c r="T396" s="4">
        <f ca="1">-D*(T295-T297)/(2*delta)</f>
        <v>-508.28336015603713</v>
      </c>
      <c r="U396" s="4">
        <f ca="1">-D*(U295-U297)/(2*delta)</f>
        <v>-488.02062123286572</v>
      </c>
      <c r="V396" s="4">
        <f ca="1">-D*(V295-V297)/(2*delta)</f>
        <v>-451.70061380226485</v>
      </c>
      <c r="W396" s="4">
        <f ca="1">-D*(W295-W297)/(2*delta)</f>
        <v>-400.38675716861661</v>
      </c>
      <c r="X396" s="4">
        <f ca="1">-D*(X295-X297)/(2*delta)</f>
        <v>-336.02037365385684</v>
      </c>
      <c r="Y396" s="4">
        <f ca="1">-D*(Y295-Y297)/(2*delta)</f>
        <v>-261.09668352085066</v>
      </c>
      <c r="Z396" s="4">
        <f ca="1">-D*(Z295-Z297)/(2*delta)</f>
        <v>-178.3310212994372</v>
      </c>
      <c r="AA396" s="4">
        <f ca="1">-D*(AA295-AA297)/(2*delta)</f>
        <v>-90.429754473086817</v>
      </c>
      <c r="AB396" s="3">
        <f ca="1">-D*(AB295-AB297)/(2*delta)</f>
        <v>0</v>
      </c>
    </row>
    <row r="397" spans="5:28" x14ac:dyDescent="0.25">
      <c r="E397" s="2">
        <f t="shared" si="297"/>
        <v>0.1</v>
      </c>
      <c r="H397" s="3">
        <f ca="1">-D*(H296-H298)/(2*delta)</f>
        <v>0</v>
      </c>
      <c r="I397" s="4">
        <f ca="1">-D*(I296-I298)/(2*delta)</f>
        <v>-60.176858192720296</v>
      </c>
      <c r="J397" s="4">
        <f ca="1">-D*(J296-J298)/(2*delta)</f>
        <v>-119.95568624212581</v>
      </c>
      <c r="K397" s="4">
        <f ca="1">-D*(K296-K298)/(2*delta)</f>
        <v>-178.86504905813695</v>
      </c>
      <c r="L397" s="4">
        <f ca="1">-D*(L296-L298)/(2*delta)</f>
        <v>-236.28752407965956</v>
      </c>
      <c r="M397" s="4">
        <f ca="1">-D*(M296-M298)/(2*delta)</f>
        <v>-291.39061198620715</v>
      </c>
      <c r="N397" s="4">
        <f ca="1">-D*(N296-N298)/(2*delta)</f>
        <v>-343.06760134894239</v>
      </c>
      <c r="O397" s="4">
        <f ca="1">-D*(O296-O298)/(2*delta)</f>
        <v>-389.9004649365009</v>
      </c>
      <c r="P397" s="4">
        <f ca="1">-D*(P296-P298)/(2*delta)</f>
        <v>-430.16330297023831</v>
      </c>
      <c r="Q397" s="4">
        <f ca="1">-D*(Q296-Q298)/(2*delta)</f>
        <v>-461.8891493332556</v>
      </c>
      <c r="R397" s="4">
        <f ca="1">-D*(R296-R298)/(2*delta)</f>
        <v>-483.0193769239641</v>
      </c>
      <c r="S397" s="4">
        <f ca="1">-D*(S296-S298)/(2*delta)</f>
        <v>-491.63633217862537</v>
      </c>
      <c r="T397" s="4">
        <f ca="1">-D*(T296-T298)/(2*delta)</f>
        <v>-486.24457667877795</v>
      </c>
      <c r="U397" s="4">
        <f ca="1">-D*(U296-U298)/(2*delta)</f>
        <v>-466.03005064667968</v>
      </c>
      <c r="V397" s="4">
        <f ca="1">-D*(V296-V298)/(2*delta)</f>
        <v>-431.02155034075486</v>
      </c>
      <c r="W397" s="4">
        <f ca="1">-D*(W296-W298)/(2*delta)</f>
        <v>-382.1103846042335</v>
      </c>
      <c r="X397" s="4">
        <f ca="1">-D*(X296-X298)/(2*delta)</f>
        <v>-320.92917668382671</v>
      </c>
      <c r="Y397" s="4">
        <f ca="1">-D*(Y296-Y298)/(2*delta)</f>
        <v>-249.635653100647</v>
      </c>
      <c r="Z397" s="4">
        <f ca="1">-D*(Z296-Z298)/(2*delta)</f>
        <v>-170.67797828304151</v>
      </c>
      <c r="AA397" s="4">
        <f ca="1">-D*(AA296-AA298)/(2*delta)</f>
        <v>-86.611744650442802</v>
      </c>
      <c r="AB397" s="3">
        <f ca="1">-D*(AB296-AB298)/(2*delta)</f>
        <v>0</v>
      </c>
    </row>
    <row r="398" spans="5:28" x14ac:dyDescent="0.25">
      <c r="E398" s="2">
        <v>0</v>
      </c>
      <c r="H398" s="11">
        <f ca="1">-D*(H297-H298)/delta</f>
        <v>0</v>
      </c>
      <c r="I398" s="11">
        <f ca="1">-D*(I297-I298)/delta</f>
        <v>-59.9597084636803</v>
      </c>
      <c r="J398" s="11">
        <f ca="1">-D*(J297-J298)/delta</f>
        <v>-119.48511746927655</v>
      </c>
      <c r="K398" s="11">
        <f ca="1">-D*(K297-K298)/delta</f>
        <v>-178.06938892917424</v>
      </c>
      <c r="L398" s="11">
        <f ca="1">-D*(L297-L298)/delta</f>
        <v>-235.06234013114656</v>
      </c>
      <c r="M398" s="11">
        <f ca="1">-D*(M297-M298)/delta</f>
        <v>-289.60492343606433</v>
      </c>
      <c r="N398" s="11">
        <f ca="1">-D*(N297-N298)/delta</f>
        <v>-340.57612964069654</v>
      </c>
      <c r="O398" s="11">
        <f ca="1">-D*(O297-O298)/delta</f>
        <v>-386.56439242885318</v>
      </c>
      <c r="P398" s="11">
        <f ca="1">-D*(P297-P298)/delta</f>
        <v>-425.88051020174692</v>
      </c>
      <c r="Q398" s="11">
        <f ca="1">-D*(Q297-Q298)/delta</f>
        <v>-456.63104243761734</v>
      </c>
      <c r="R398" s="11">
        <f ca="1">-D*(R297-R298)/delta</f>
        <v>-476.86536088224392</v>
      </c>
      <c r="S398" s="11">
        <f ca="1">-D*(S297-S298)/delta</f>
        <v>-484.79164724331599</v>
      </c>
      <c r="T398" s="11">
        <f ca="1">-D*(T297-T298)/delta</f>
        <v>-479.02856373376949</v>
      </c>
      <c r="U398" s="11">
        <f ca="1">-D*(U297-U298)/delta</f>
        <v>-458.83345433425478</v>
      </c>
      <c r="V398" s="11">
        <f ca="1">-D*(V297-V298)/delta</f>
        <v>-424.24515230985781</v>
      </c>
      <c r="W398" s="11">
        <f ca="1">-D*(W297-W298)/delta</f>
        <v>-376.10405422372355</v>
      </c>
      <c r="X398" s="11">
        <f ca="1">-D*(X297-X298)/delta</f>
        <v>-315.95029537656967</v>
      </c>
      <c r="Y398" s="11">
        <f ca="1">-D*(Y297-Y298)/delta</f>
        <v>-245.83877391488537</v>
      </c>
      <c r="Z398" s="11">
        <f ca="1">-D*(Z297-Z298)/delta</f>
        <v>-168.13349408164925</v>
      </c>
      <c r="AA398" s="11">
        <f ca="1">-D*(AA297-AA298)/delta</f>
        <v>-85.339245845632689</v>
      </c>
      <c r="AB398" s="11">
        <f ca="1">-D*(AB297-AB298)/delta</f>
        <v>0</v>
      </c>
    </row>
  </sheetData>
  <mergeCells count="16">
    <mergeCell ref="H3:AB3"/>
    <mergeCell ref="D7:D47"/>
    <mergeCell ref="H53:AB53"/>
    <mergeCell ref="D57:D97"/>
    <mergeCell ref="H103:AB103"/>
    <mergeCell ref="D308:D348"/>
    <mergeCell ref="H354:AB354"/>
    <mergeCell ref="AH53:BB53"/>
    <mergeCell ref="BH53:CB53"/>
    <mergeCell ref="D107:D147"/>
    <mergeCell ref="H153:AB153"/>
    <mergeCell ref="D157:D197"/>
    <mergeCell ref="H203:AB203"/>
    <mergeCell ref="D207:D247"/>
    <mergeCell ref="H304:AB304"/>
    <mergeCell ref="H254:AB25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Hacer_Iteraciones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18</vt:i4>
      </vt:variant>
    </vt:vector>
  </HeadingPairs>
  <TitlesOfParts>
    <vt:vector size="21" baseType="lpstr">
      <vt:lpstr>Hoja1</vt:lpstr>
      <vt:lpstr>Hoja2</vt:lpstr>
      <vt:lpstr>Hoja3</vt:lpstr>
      <vt:lpstr>a</vt:lpstr>
      <vt:lpstr>b</vt:lpstr>
      <vt:lpstr>D</vt:lpstr>
      <vt:lpstr>delta</vt:lpstr>
      <vt:lpstr>desp_w</vt:lpstr>
      <vt:lpstr>E</vt:lpstr>
      <vt:lpstr>eta</vt:lpstr>
      <vt:lpstr>Mx</vt:lpstr>
      <vt:lpstr>Mxy</vt:lpstr>
      <vt:lpstr>My</vt:lpstr>
      <vt:lpstr>nu</vt:lpstr>
      <vt:lpstr>p</vt:lpstr>
      <vt:lpstr>Qx</vt:lpstr>
      <vt:lpstr>Qy</vt:lpstr>
      <vt:lpstr>t</vt:lpstr>
      <vt:lpstr>u</vt:lpstr>
      <vt:lpstr>v</vt:lpstr>
      <vt:lpstr>xi</vt:lpstr>
    </vt:vector>
  </TitlesOfParts>
  <Company>WindowsXP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Usuario de Windows</cp:lastModifiedBy>
  <dcterms:created xsi:type="dcterms:W3CDTF">2010-05-22T19:09:40Z</dcterms:created>
  <dcterms:modified xsi:type="dcterms:W3CDTF">2017-05-11T19:07:22Z</dcterms:modified>
</cp:coreProperties>
</file>