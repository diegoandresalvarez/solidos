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0" windowWidth="21840" windowHeight="10515"/>
  </bookViews>
  <sheets>
    <sheet name="Hoja1" sheetId="1" r:id="rId1"/>
    <sheet name="Hoja2" sheetId="2" r:id="rId2"/>
    <sheet name="Hoja3" sheetId="3" r:id="rId3"/>
  </sheets>
  <functionGroups builtInGroupCount="17"/>
  <definedNames>
    <definedName name="a">Hoja1!$B$8</definedName>
    <definedName name="b">Hoja1!$B$9</definedName>
    <definedName name="D">Hoja1!$B$4</definedName>
    <definedName name="delta">Hoja1!$B$18</definedName>
    <definedName name="desp_w">Hoja1!$H$57:$AB$97</definedName>
    <definedName name="E">Hoja1!$B$2</definedName>
    <definedName name="eta">Hoja1!$B$16</definedName>
    <definedName name="Mx">Hoja1!$H$107:$AB$147</definedName>
    <definedName name="Mxy">Hoja1!$H$207:$AB$247</definedName>
    <definedName name="My">Hoja1!$H$157:$AB$197</definedName>
    <definedName name="nu">Hoja1!$B$3</definedName>
    <definedName name="p">Hoja1!$B$12</definedName>
    <definedName name="Qx">Hoja1!$H$308:$AB$348</definedName>
    <definedName name="Qy">Hoja1!$H$358:$AB$398</definedName>
    <definedName name="t">Hoja1!$B$7</definedName>
    <definedName name="u">Hoja1!$B$13</definedName>
    <definedName name="v">Hoja1!$B$14</definedName>
    <definedName name="xi">Hoja1!$B$15</definedName>
  </definedNames>
  <calcPr calcId="145621" calcMode="manual" iterate="1" iterateCount="3" iterateDelta="1E-10" calcCompleted="0" calcOnSave="0"/>
</workbook>
</file>

<file path=xl/calcChain.xml><?xml version="1.0" encoding="utf-8"?>
<calcChain xmlns="http://schemas.openxmlformats.org/spreadsheetml/2006/main">
  <c r="G97" i="1" l="1"/>
  <c r="G57" i="1"/>
  <c r="H258" i="1" l="1"/>
  <c r="H98" i="1"/>
  <c r="H298" i="1" s="1"/>
  <c r="H56" i="1"/>
  <c r="E397" i="1"/>
  <c r="E396" i="1" s="1"/>
  <c r="E395" i="1" s="1"/>
  <c r="E394" i="1" s="1"/>
  <c r="E393" i="1" s="1"/>
  <c r="E392" i="1" s="1"/>
  <c r="E391" i="1" s="1"/>
  <c r="E390" i="1" s="1"/>
  <c r="E389" i="1" s="1"/>
  <c r="E388" i="1" s="1"/>
  <c r="E387" i="1" s="1"/>
  <c r="E386" i="1" s="1"/>
  <c r="E385" i="1" s="1"/>
  <c r="E384" i="1" s="1"/>
  <c r="E383" i="1" s="1"/>
  <c r="E382" i="1" s="1"/>
  <c r="E381" i="1" s="1"/>
  <c r="E380" i="1" s="1"/>
  <c r="E379" i="1" s="1"/>
  <c r="E378" i="1" s="1"/>
  <c r="E377" i="1" s="1"/>
  <c r="E376" i="1" s="1"/>
  <c r="E375" i="1" s="1"/>
  <c r="E374" i="1" s="1"/>
  <c r="E373" i="1" s="1"/>
  <c r="E372" i="1" s="1"/>
  <c r="E371" i="1" s="1"/>
  <c r="E370" i="1" s="1"/>
  <c r="E369" i="1" s="1"/>
  <c r="E368" i="1" s="1"/>
  <c r="E367" i="1" s="1"/>
  <c r="E366" i="1" s="1"/>
  <c r="E365" i="1" s="1"/>
  <c r="E364" i="1" s="1"/>
  <c r="E363" i="1" s="1"/>
  <c r="E362" i="1" s="1"/>
  <c r="E361" i="1" s="1"/>
  <c r="E360" i="1" s="1"/>
  <c r="E359" i="1" s="1"/>
  <c r="E358" i="1" s="1"/>
  <c r="E347" i="1"/>
  <c r="E346" i="1" s="1"/>
  <c r="E345" i="1" s="1"/>
  <c r="E344" i="1" s="1"/>
  <c r="E343" i="1" s="1"/>
  <c r="E342" i="1" s="1"/>
  <c r="E341" i="1" s="1"/>
  <c r="E340" i="1" s="1"/>
  <c r="E339" i="1" s="1"/>
  <c r="E338" i="1" s="1"/>
  <c r="E337" i="1" s="1"/>
  <c r="E336" i="1" s="1"/>
  <c r="E335" i="1" s="1"/>
  <c r="E334" i="1" s="1"/>
  <c r="E333" i="1" s="1"/>
  <c r="E332" i="1" s="1"/>
  <c r="E331" i="1" s="1"/>
  <c r="E330" i="1" s="1"/>
  <c r="E329" i="1" s="1"/>
  <c r="E328" i="1" s="1"/>
  <c r="E327" i="1" s="1"/>
  <c r="E326" i="1" s="1"/>
  <c r="E325" i="1" s="1"/>
  <c r="E324" i="1" s="1"/>
  <c r="E323" i="1" s="1"/>
  <c r="E322" i="1" s="1"/>
  <c r="E321" i="1" s="1"/>
  <c r="E320" i="1" s="1"/>
  <c r="E319" i="1" s="1"/>
  <c r="E318" i="1" s="1"/>
  <c r="E317" i="1" s="1"/>
  <c r="E316" i="1" s="1"/>
  <c r="E315" i="1" s="1"/>
  <c r="E314" i="1" s="1"/>
  <c r="E313" i="1" s="1"/>
  <c r="E312" i="1" s="1"/>
  <c r="E311" i="1" s="1"/>
  <c r="E310" i="1" s="1"/>
  <c r="E309" i="1" s="1"/>
  <c r="E308" i="1" s="1"/>
  <c r="E297" i="1"/>
  <c r="E296" i="1" s="1"/>
  <c r="E295" i="1" s="1"/>
  <c r="E294" i="1" s="1"/>
  <c r="E293" i="1" s="1"/>
  <c r="E292" i="1" s="1"/>
  <c r="E291" i="1" s="1"/>
  <c r="E290" i="1" s="1"/>
  <c r="E289" i="1" s="1"/>
  <c r="E288" i="1" s="1"/>
  <c r="E287" i="1" s="1"/>
  <c r="E286" i="1" s="1"/>
  <c r="E285" i="1" s="1"/>
  <c r="E284" i="1" s="1"/>
  <c r="E283" i="1" s="1"/>
  <c r="E282" i="1" s="1"/>
  <c r="E281" i="1" s="1"/>
  <c r="E280" i="1" s="1"/>
  <c r="E279" i="1" s="1"/>
  <c r="E278" i="1" s="1"/>
  <c r="E277" i="1" s="1"/>
  <c r="E276" i="1" s="1"/>
  <c r="E275" i="1" s="1"/>
  <c r="E274" i="1" s="1"/>
  <c r="E273" i="1" s="1"/>
  <c r="E272" i="1" s="1"/>
  <c r="E271" i="1" s="1"/>
  <c r="E270" i="1" s="1"/>
  <c r="E269" i="1" s="1"/>
  <c r="E268" i="1" s="1"/>
  <c r="E267" i="1" s="1"/>
  <c r="E266" i="1" s="1"/>
  <c r="E265" i="1" s="1"/>
  <c r="E264" i="1" s="1"/>
  <c r="E263" i="1" s="1"/>
  <c r="E262" i="1" s="1"/>
  <c r="E261" i="1" s="1"/>
  <c r="E260" i="1" s="1"/>
  <c r="E259" i="1" s="1"/>
  <c r="E258" i="1" s="1"/>
  <c r="E246" i="1"/>
  <c r="E245" i="1" s="1"/>
  <c r="E244" i="1" s="1"/>
  <c r="E243" i="1" s="1"/>
  <c r="E242" i="1" s="1"/>
  <c r="E241" i="1" s="1"/>
  <c r="E240" i="1" s="1"/>
  <c r="E239" i="1" s="1"/>
  <c r="E238" i="1" s="1"/>
  <c r="E237" i="1" s="1"/>
  <c r="E236" i="1" s="1"/>
  <c r="E235" i="1" s="1"/>
  <c r="E234" i="1" s="1"/>
  <c r="E233" i="1" s="1"/>
  <c r="E232" i="1" s="1"/>
  <c r="E231" i="1" s="1"/>
  <c r="E230" i="1" s="1"/>
  <c r="E229" i="1" s="1"/>
  <c r="E228" i="1" s="1"/>
  <c r="E227" i="1" s="1"/>
  <c r="E226" i="1" s="1"/>
  <c r="E225" i="1" s="1"/>
  <c r="E224" i="1" s="1"/>
  <c r="E223" i="1" s="1"/>
  <c r="E222" i="1" s="1"/>
  <c r="E221" i="1" s="1"/>
  <c r="E220" i="1" s="1"/>
  <c r="E219" i="1" s="1"/>
  <c r="E218" i="1" s="1"/>
  <c r="E217" i="1" s="1"/>
  <c r="E216" i="1" s="1"/>
  <c r="E215" i="1" s="1"/>
  <c r="E214" i="1" s="1"/>
  <c r="E213" i="1" s="1"/>
  <c r="E212" i="1" s="1"/>
  <c r="E211" i="1" s="1"/>
  <c r="E210" i="1" s="1"/>
  <c r="E209" i="1" s="1"/>
  <c r="E208" i="1" s="1"/>
  <c r="E207" i="1" s="1"/>
  <c r="E196" i="1"/>
  <c r="E195" i="1" s="1"/>
  <c r="E194" i="1" s="1"/>
  <c r="E193" i="1" s="1"/>
  <c r="E192" i="1" s="1"/>
  <c r="E191" i="1" s="1"/>
  <c r="E190" i="1" s="1"/>
  <c r="E189" i="1" s="1"/>
  <c r="E188" i="1" s="1"/>
  <c r="E187" i="1" s="1"/>
  <c r="E186" i="1" s="1"/>
  <c r="E185" i="1" s="1"/>
  <c r="E184" i="1" s="1"/>
  <c r="E183" i="1" s="1"/>
  <c r="E182" i="1" s="1"/>
  <c r="E181" i="1" s="1"/>
  <c r="E180" i="1" s="1"/>
  <c r="E179" i="1" s="1"/>
  <c r="E178" i="1" s="1"/>
  <c r="E177" i="1" s="1"/>
  <c r="E176" i="1" s="1"/>
  <c r="E175" i="1" s="1"/>
  <c r="E174" i="1" s="1"/>
  <c r="E173" i="1" s="1"/>
  <c r="E172" i="1" s="1"/>
  <c r="E171" i="1" s="1"/>
  <c r="E170" i="1" s="1"/>
  <c r="E169" i="1" s="1"/>
  <c r="E168" i="1" s="1"/>
  <c r="E167" i="1" s="1"/>
  <c r="E166" i="1" s="1"/>
  <c r="E165" i="1" s="1"/>
  <c r="E164" i="1" s="1"/>
  <c r="E163" i="1" s="1"/>
  <c r="E162" i="1" s="1"/>
  <c r="E161" i="1" s="1"/>
  <c r="E160" i="1" s="1"/>
  <c r="E159" i="1" s="1"/>
  <c r="E158" i="1" s="1"/>
  <c r="E157" i="1" s="1"/>
  <c r="E146" i="1"/>
  <c r="E145" i="1" s="1"/>
  <c r="E144" i="1" s="1"/>
  <c r="E143" i="1" s="1"/>
  <c r="E142" i="1" s="1"/>
  <c r="E141" i="1" s="1"/>
  <c r="E140" i="1" s="1"/>
  <c r="E139" i="1" s="1"/>
  <c r="E138" i="1" s="1"/>
  <c r="E137" i="1" s="1"/>
  <c r="E136" i="1" s="1"/>
  <c r="E135" i="1" s="1"/>
  <c r="E134" i="1" s="1"/>
  <c r="E133" i="1" s="1"/>
  <c r="E132" i="1" s="1"/>
  <c r="E131" i="1" s="1"/>
  <c r="E130" i="1" s="1"/>
  <c r="E129" i="1" s="1"/>
  <c r="E128" i="1" s="1"/>
  <c r="E127" i="1" s="1"/>
  <c r="E126" i="1" s="1"/>
  <c r="E125" i="1" s="1"/>
  <c r="E124" i="1" s="1"/>
  <c r="E123" i="1" s="1"/>
  <c r="E122" i="1" s="1"/>
  <c r="E121" i="1" s="1"/>
  <c r="E120" i="1" s="1"/>
  <c r="E119" i="1" s="1"/>
  <c r="E118" i="1" s="1"/>
  <c r="E117" i="1" s="1"/>
  <c r="E116" i="1" s="1"/>
  <c r="E115" i="1" s="1"/>
  <c r="E114" i="1" s="1"/>
  <c r="E113" i="1" s="1"/>
  <c r="E112" i="1" s="1"/>
  <c r="E111" i="1" s="1"/>
  <c r="E110" i="1" s="1"/>
  <c r="E109" i="1" s="1"/>
  <c r="E108" i="1" s="1"/>
  <c r="E107" i="1" s="1"/>
  <c r="E96" i="1"/>
  <c r="E95" i="1" s="1"/>
  <c r="E94" i="1" s="1"/>
  <c r="E93" i="1" s="1"/>
  <c r="E92" i="1" s="1"/>
  <c r="E91" i="1" s="1"/>
  <c r="E90" i="1" s="1"/>
  <c r="E89" i="1" s="1"/>
  <c r="E88" i="1" s="1"/>
  <c r="E87" i="1" s="1"/>
  <c r="E86" i="1" s="1"/>
  <c r="E85" i="1" s="1"/>
  <c r="E84" i="1" s="1"/>
  <c r="E83" i="1" s="1"/>
  <c r="E82" i="1" s="1"/>
  <c r="E81" i="1" s="1"/>
  <c r="E80" i="1" s="1"/>
  <c r="E79" i="1" s="1"/>
  <c r="E78" i="1" s="1"/>
  <c r="E77" i="1" s="1"/>
  <c r="E76" i="1" s="1"/>
  <c r="E75" i="1" s="1"/>
  <c r="E74" i="1" s="1"/>
  <c r="E73" i="1" s="1"/>
  <c r="E72" i="1" s="1"/>
  <c r="E71" i="1" s="1"/>
  <c r="E70" i="1" s="1"/>
  <c r="E69" i="1" s="1"/>
  <c r="E68" i="1" s="1"/>
  <c r="E67" i="1" s="1"/>
  <c r="E66" i="1" s="1"/>
  <c r="E65" i="1" s="1"/>
  <c r="E64" i="1" s="1"/>
  <c r="E63" i="1" s="1"/>
  <c r="E62" i="1" s="1"/>
  <c r="E61" i="1" s="1"/>
  <c r="E60" i="1" s="1"/>
  <c r="E59" i="1" s="1"/>
  <c r="E58" i="1" s="1"/>
  <c r="E57" i="1" s="1"/>
  <c r="E46" i="1"/>
  <c r="E45" i="1" s="1"/>
  <c r="E44" i="1" s="1"/>
  <c r="E43" i="1" s="1"/>
  <c r="E42" i="1" s="1"/>
  <c r="E41" i="1" s="1"/>
  <c r="E40" i="1" s="1"/>
  <c r="E39" i="1" s="1"/>
  <c r="E38" i="1" s="1"/>
  <c r="E37" i="1" s="1"/>
  <c r="E36" i="1" s="1"/>
  <c r="E35" i="1" s="1"/>
  <c r="E34" i="1" s="1"/>
  <c r="E33" i="1" s="1"/>
  <c r="E32" i="1" s="1"/>
  <c r="E31" i="1" s="1"/>
  <c r="E30" i="1" s="1"/>
  <c r="E29" i="1" s="1"/>
  <c r="E28" i="1" s="1"/>
  <c r="E27" i="1" s="1"/>
  <c r="E26" i="1" s="1"/>
  <c r="E25" i="1" s="1"/>
  <c r="E24" i="1" s="1"/>
  <c r="E23" i="1" s="1"/>
  <c r="E22" i="1" s="1"/>
  <c r="E21" i="1" s="1"/>
  <c r="E20" i="1" s="1"/>
  <c r="E19" i="1" s="1"/>
  <c r="E18" i="1" s="1"/>
  <c r="E17" i="1" s="1"/>
  <c r="E16" i="1" s="1"/>
  <c r="E15" i="1" s="1"/>
  <c r="E14" i="1" s="1"/>
  <c r="E13" i="1" s="1"/>
  <c r="E12" i="1" s="1"/>
  <c r="E11" i="1" s="1"/>
  <c r="E10" i="1" s="1"/>
  <c r="E9" i="1" s="1"/>
  <c r="E8" i="1" s="1"/>
  <c r="E7" i="1" s="1"/>
  <c r="I255" i="1" l="1"/>
  <c r="J255" i="1" s="1"/>
  <c r="K255" i="1" s="1"/>
  <c r="L255" i="1" s="1"/>
  <c r="M255" i="1" s="1"/>
  <c r="N255" i="1" s="1"/>
  <c r="O255" i="1" s="1"/>
  <c r="P255" i="1" s="1"/>
  <c r="Q255" i="1" s="1"/>
  <c r="R255" i="1" s="1"/>
  <c r="S255" i="1" s="1"/>
  <c r="T255" i="1" s="1"/>
  <c r="U255" i="1" s="1"/>
  <c r="V255" i="1" s="1"/>
  <c r="W255" i="1" s="1"/>
  <c r="X255" i="1" s="1"/>
  <c r="Y255" i="1" s="1"/>
  <c r="Z255" i="1" s="1"/>
  <c r="AA255" i="1" s="1"/>
  <c r="AB255" i="1" s="1"/>
  <c r="V36" i="1" l="1"/>
  <c r="U36" i="1"/>
  <c r="T36" i="1"/>
  <c r="S36" i="1"/>
  <c r="V35" i="1"/>
  <c r="U35" i="1"/>
  <c r="T35" i="1"/>
  <c r="S35" i="1"/>
  <c r="V34" i="1"/>
  <c r="U34" i="1"/>
  <c r="T34" i="1"/>
  <c r="S34" i="1"/>
  <c r="V33" i="1"/>
  <c r="U33" i="1"/>
  <c r="T33" i="1"/>
  <c r="S33" i="1"/>
  <c r="V32" i="1"/>
  <c r="U32" i="1"/>
  <c r="T32" i="1"/>
  <c r="S32" i="1"/>
  <c r="V31" i="1"/>
  <c r="U31" i="1"/>
  <c r="T31" i="1"/>
  <c r="S31" i="1"/>
  <c r="V30" i="1"/>
  <c r="U30" i="1"/>
  <c r="T30" i="1"/>
  <c r="S30" i="1"/>
  <c r="V29" i="1"/>
  <c r="U29" i="1"/>
  <c r="T29" i="1"/>
  <c r="S29" i="1"/>
  <c r="V28" i="1"/>
  <c r="U28" i="1"/>
  <c r="T28" i="1"/>
  <c r="S28" i="1"/>
  <c r="W36" i="1"/>
  <c r="W35" i="1"/>
  <c r="W34" i="1"/>
  <c r="W33" i="1"/>
  <c r="W32" i="1"/>
  <c r="W31" i="1"/>
  <c r="W30" i="1"/>
  <c r="W29" i="1"/>
  <c r="W28" i="1"/>
  <c r="R36" i="1"/>
  <c r="R35" i="1"/>
  <c r="R34" i="1"/>
  <c r="R33" i="1"/>
  <c r="R32" i="1"/>
  <c r="R31" i="1"/>
  <c r="R30" i="1"/>
  <c r="R29" i="1"/>
  <c r="R28" i="1"/>
  <c r="V37" i="1"/>
  <c r="U37" i="1"/>
  <c r="T37" i="1"/>
  <c r="S37" i="1"/>
  <c r="V27" i="1"/>
  <c r="U27" i="1"/>
  <c r="T27" i="1"/>
  <c r="S27" i="1"/>
  <c r="W27" i="1"/>
  <c r="W37" i="1"/>
  <c r="R37" i="1"/>
  <c r="R27" i="1"/>
  <c r="B4" i="1"/>
  <c r="I355" i="1"/>
  <c r="J355" i="1" s="1"/>
  <c r="K355" i="1" s="1"/>
  <c r="L355" i="1" s="1"/>
  <c r="M355" i="1" s="1"/>
  <c r="N355" i="1" s="1"/>
  <c r="O355" i="1" s="1"/>
  <c r="P355" i="1" s="1"/>
  <c r="Q355" i="1" s="1"/>
  <c r="R355" i="1" s="1"/>
  <c r="S355" i="1" s="1"/>
  <c r="T355" i="1" s="1"/>
  <c r="U355" i="1" s="1"/>
  <c r="V355" i="1" s="1"/>
  <c r="W355" i="1" s="1"/>
  <c r="X355" i="1" s="1"/>
  <c r="Y355" i="1" s="1"/>
  <c r="Z355" i="1" s="1"/>
  <c r="AA355" i="1" s="1"/>
  <c r="AB355" i="1" s="1"/>
  <c r="I305" i="1"/>
  <c r="J305" i="1" s="1"/>
  <c r="K305" i="1" s="1"/>
  <c r="L305" i="1" s="1"/>
  <c r="M305" i="1" s="1"/>
  <c r="N305" i="1" s="1"/>
  <c r="O305" i="1" s="1"/>
  <c r="P305" i="1" s="1"/>
  <c r="Q305" i="1" s="1"/>
  <c r="R305" i="1" s="1"/>
  <c r="S305" i="1" s="1"/>
  <c r="T305" i="1" s="1"/>
  <c r="U305" i="1" s="1"/>
  <c r="V305" i="1" s="1"/>
  <c r="W305" i="1" s="1"/>
  <c r="X305" i="1" s="1"/>
  <c r="Y305" i="1" s="1"/>
  <c r="Z305" i="1" s="1"/>
  <c r="AA305" i="1" s="1"/>
  <c r="AB305" i="1" s="1"/>
  <c r="I204" i="1"/>
  <c r="J204" i="1" s="1"/>
  <c r="K204" i="1" s="1"/>
  <c r="L204" i="1" s="1"/>
  <c r="M204" i="1" s="1"/>
  <c r="N204" i="1" s="1"/>
  <c r="O204" i="1" s="1"/>
  <c r="P204" i="1" s="1"/>
  <c r="Q204" i="1" s="1"/>
  <c r="R204" i="1" s="1"/>
  <c r="S204" i="1" s="1"/>
  <c r="T204" i="1" s="1"/>
  <c r="U204" i="1" s="1"/>
  <c r="V204" i="1" s="1"/>
  <c r="W204" i="1" s="1"/>
  <c r="X204" i="1" s="1"/>
  <c r="Y204" i="1" s="1"/>
  <c r="Z204" i="1" s="1"/>
  <c r="AA204" i="1" s="1"/>
  <c r="AB204" i="1" s="1"/>
  <c r="I154" i="1"/>
  <c r="J154" i="1" s="1"/>
  <c r="K154" i="1" s="1"/>
  <c r="L154" i="1" s="1"/>
  <c r="M154" i="1" s="1"/>
  <c r="N154" i="1" s="1"/>
  <c r="O154" i="1" s="1"/>
  <c r="P154" i="1" s="1"/>
  <c r="Q154" i="1" s="1"/>
  <c r="R154" i="1" s="1"/>
  <c r="S154" i="1" s="1"/>
  <c r="T154" i="1" s="1"/>
  <c r="U154" i="1" s="1"/>
  <c r="V154" i="1" s="1"/>
  <c r="W154" i="1" s="1"/>
  <c r="X154" i="1" s="1"/>
  <c r="Y154" i="1" s="1"/>
  <c r="Z154" i="1" s="1"/>
  <c r="AA154" i="1" s="1"/>
  <c r="AB154" i="1" s="1"/>
  <c r="I104" i="1"/>
  <c r="J104" i="1" s="1"/>
  <c r="K104" i="1" s="1"/>
  <c r="L104" i="1" s="1"/>
  <c r="M104" i="1" s="1"/>
  <c r="N104" i="1" s="1"/>
  <c r="O104" i="1" s="1"/>
  <c r="P104" i="1" s="1"/>
  <c r="Q104" i="1" s="1"/>
  <c r="R104" i="1" s="1"/>
  <c r="S104" i="1" s="1"/>
  <c r="T104" i="1" s="1"/>
  <c r="U104" i="1" s="1"/>
  <c r="V104" i="1" s="1"/>
  <c r="W104" i="1" s="1"/>
  <c r="X104" i="1" s="1"/>
  <c r="Y104" i="1" s="1"/>
  <c r="Z104" i="1" s="1"/>
  <c r="AA104" i="1" s="1"/>
  <c r="AB104" i="1" s="1"/>
  <c r="I54" i="1"/>
  <c r="J54" i="1" s="1"/>
  <c r="K54" i="1" s="1"/>
  <c r="L54" i="1" s="1"/>
  <c r="M54" i="1" s="1"/>
  <c r="N54" i="1" s="1"/>
  <c r="O54" i="1" s="1"/>
  <c r="P54" i="1" s="1"/>
  <c r="Q54" i="1" s="1"/>
  <c r="R54" i="1" s="1"/>
  <c r="S54" i="1" s="1"/>
  <c r="T54" i="1" s="1"/>
  <c r="U54" i="1" s="1"/>
  <c r="V54" i="1" s="1"/>
  <c r="W54" i="1" s="1"/>
  <c r="X54" i="1" s="1"/>
  <c r="Y54" i="1" s="1"/>
  <c r="Z54" i="1" s="1"/>
  <c r="AA54" i="1" s="1"/>
  <c r="AB54" i="1" s="1"/>
  <c r="I4" i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H157" i="1" l="1"/>
  <c r="H147" i="1"/>
  <c r="H197" i="1"/>
  <c r="H107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G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G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G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G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G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G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G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G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G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G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G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G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G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G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G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G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G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G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G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G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G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G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G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G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G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G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G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G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G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G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G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G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G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G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G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G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G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G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G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I147" i="1"/>
  <c r="J147" i="1"/>
  <c r="K147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U157" i="1"/>
  <c r="V157" i="1"/>
  <c r="W157" i="1"/>
  <c r="X157" i="1"/>
  <c r="Y157" i="1"/>
  <c r="Z157" i="1"/>
  <c r="AA157" i="1"/>
  <c r="AB157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U158" i="1"/>
  <c r="V158" i="1"/>
  <c r="W158" i="1"/>
  <c r="X158" i="1"/>
  <c r="Y158" i="1"/>
  <c r="Z158" i="1"/>
  <c r="AA158" i="1"/>
  <c r="AB158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T159" i="1"/>
  <c r="U159" i="1"/>
  <c r="V159" i="1"/>
  <c r="W159" i="1"/>
  <c r="X159" i="1"/>
  <c r="Y159" i="1"/>
  <c r="Z159" i="1"/>
  <c r="AA159" i="1"/>
  <c r="AB159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Y160" i="1"/>
  <c r="Z160" i="1"/>
  <c r="AA160" i="1"/>
  <c r="AB160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T161" i="1"/>
  <c r="U161" i="1"/>
  <c r="V161" i="1"/>
  <c r="W161" i="1"/>
  <c r="X161" i="1"/>
  <c r="Y161" i="1"/>
  <c r="Z161" i="1"/>
  <c r="AA161" i="1"/>
  <c r="AB161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T162" i="1"/>
  <c r="U162" i="1"/>
  <c r="V162" i="1"/>
  <c r="W162" i="1"/>
  <c r="X162" i="1"/>
  <c r="Y162" i="1"/>
  <c r="Z162" i="1"/>
  <c r="AA162" i="1"/>
  <c r="AB162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T163" i="1"/>
  <c r="U163" i="1"/>
  <c r="V163" i="1"/>
  <c r="W163" i="1"/>
  <c r="X163" i="1"/>
  <c r="Y163" i="1"/>
  <c r="Z163" i="1"/>
  <c r="AA163" i="1"/>
  <c r="AB163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T173" i="1"/>
  <c r="U173" i="1"/>
  <c r="V173" i="1"/>
  <c r="W173" i="1"/>
  <c r="X173" i="1"/>
  <c r="Y173" i="1"/>
  <c r="Z173" i="1"/>
  <c r="AA173" i="1"/>
  <c r="AB173" i="1"/>
  <c r="H174" i="1"/>
  <c r="I174" i="1"/>
  <c r="J174" i="1"/>
  <c r="K174" i="1"/>
  <c r="L174" i="1"/>
  <c r="M174" i="1"/>
  <c r="N174" i="1"/>
  <c r="O174" i="1"/>
  <c r="P174" i="1"/>
  <c r="Q174" i="1"/>
  <c r="R174" i="1"/>
  <c r="S174" i="1"/>
  <c r="T174" i="1"/>
  <c r="U174" i="1"/>
  <c r="V174" i="1"/>
  <c r="W174" i="1"/>
  <c r="X174" i="1"/>
  <c r="Y174" i="1"/>
  <c r="Z174" i="1"/>
  <c r="AA174" i="1"/>
  <c r="AB174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X175" i="1"/>
  <c r="Y175" i="1"/>
  <c r="Z175" i="1"/>
  <c r="AA175" i="1"/>
  <c r="AB175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H182" i="1"/>
  <c r="I182" i="1"/>
  <c r="J182" i="1"/>
  <c r="K182" i="1"/>
  <c r="L182" i="1"/>
  <c r="M182" i="1"/>
  <c r="N182" i="1"/>
  <c r="O182" i="1"/>
  <c r="P182" i="1"/>
  <c r="Q182" i="1"/>
  <c r="R182" i="1"/>
  <c r="S182" i="1"/>
  <c r="T182" i="1"/>
  <c r="U182" i="1"/>
  <c r="V182" i="1"/>
  <c r="W182" i="1"/>
  <c r="X182" i="1"/>
  <c r="Y182" i="1"/>
  <c r="Z182" i="1"/>
  <c r="AA182" i="1"/>
  <c r="AB182" i="1"/>
  <c r="H183" i="1"/>
  <c r="I183" i="1"/>
  <c r="J183" i="1"/>
  <c r="K183" i="1"/>
  <c r="L183" i="1"/>
  <c r="M183" i="1"/>
  <c r="N183" i="1"/>
  <c r="O183" i="1"/>
  <c r="P183" i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T184" i="1"/>
  <c r="U184" i="1"/>
  <c r="V184" i="1"/>
  <c r="W184" i="1"/>
  <c r="X184" i="1"/>
  <c r="Y184" i="1"/>
  <c r="Z184" i="1"/>
  <c r="AA184" i="1"/>
  <c r="AB184" i="1"/>
  <c r="H185" i="1"/>
  <c r="I185" i="1"/>
  <c r="J185" i="1"/>
  <c r="K185" i="1"/>
  <c r="L185" i="1"/>
  <c r="M185" i="1"/>
  <c r="N185" i="1"/>
  <c r="O185" i="1"/>
  <c r="P185" i="1"/>
  <c r="Q185" i="1"/>
  <c r="R185" i="1"/>
  <c r="S185" i="1"/>
  <c r="T185" i="1"/>
  <c r="U185" i="1"/>
  <c r="V185" i="1"/>
  <c r="W185" i="1"/>
  <c r="X185" i="1"/>
  <c r="Y185" i="1"/>
  <c r="Z185" i="1"/>
  <c r="AA185" i="1"/>
  <c r="AB185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T186" i="1"/>
  <c r="U186" i="1"/>
  <c r="V186" i="1"/>
  <c r="W186" i="1"/>
  <c r="X186" i="1"/>
  <c r="Y186" i="1"/>
  <c r="Z186" i="1"/>
  <c r="AA186" i="1"/>
  <c r="AB186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H189" i="1"/>
  <c r="I189" i="1"/>
  <c r="J189" i="1"/>
  <c r="K189" i="1"/>
  <c r="L189" i="1"/>
  <c r="M189" i="1"/>
  <c r="N189" i="1"/>
  <c r="O189" i="1"/>
  <c r="P189" i="1"/>
  <c r="Q189" i="1"/>
  <c r="R189" i="1"/>
  <c r="S189" i="1"/>
  <c r="T189" i="1"/>
  <c r="U189" i="1"/>
  <c r="V189" i="1"/>
  <c r="W189" i="1"/>
  <c r="X189" i="1"/>
  <c r="Y189" i="1"/>
  <c r="Z189" i="1"/>
  <c r="AA189" i="1"/>
  <c r="AB189" i="1"/>
  <c r="H190" i="1"/>
  <c r="I190" i="1"/>
  <c r="J190" i="1"/>
  <c r="K190" i="1"/>
  <c r="L190" i="1"/>
  <c r="M190" i="1"/>
  <c r="N190" i="1"/>
  <c r="O190" i="1"/>
  <c r="P190" i="1"/>
  <c r="Q190" i="1"/>
  <c r="R190" i="1"/>
  <c r="S190" i="1"/>
  <c r="T190" i="1"/>
  <c r="U190" i="1"/>
  <c r="V190" i="1"/>
  <c r="W190" i="1"/>
  <c r="X190" i="1"/>
  <c r="Y190" i="1"/>
  <c r="Z190" i="1"/>
  <c r="AA190" i="1"/>
  <c r="AB190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H220" i="1"/>
  <c r="I220" i="1"/>
  <c r="J220" i="1"/>
  <c r="K220" i="1"/>
  <c r="L220" i="1"/>
  <c r="M220" i="1"/>
  <c r="N220" i="1"/>
  <c r="O220" i="1"/>
  <c r="P220" i="1"/>
  <c r="Q220" i="1"/>
  <c r="R220" i="1"/>
  <c r="S220" i="1"/>
  <c r="T220" i="1"/>
  <c r="U220" i="1"/>
  <c r="V220" i="1"/>
  <c r="W220" i="1"/>
  <c r="X220" i="1"/>
  <c r="Y220" i="1"/>
  <c r="Z220" i="1"/>
  <c r="AA220" i="1"/>
  <c r="AB220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Y258" i="1"/>
  <c r="Z258" i="1"/>
  <c r="AA258" i="1"/>
  <c r="AB258" i="1"/>
  <c r="H259" i="1"/>
  <c r="I259" i="1"/>
  <c r="J259" i="1"/>
  <c r="K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Y259" i="1"/>
  <c r="Z259" i="1"/>
  <c r="AA259" i="1"/>
  <c r="AB259" i="1"/>
  <c r="H260" i="1"/>
  <c r="I260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Y260" i="1"/>
  <c r="Z260" i="1"/>
  <c r="AA260" i="1"/>
  <c r="AB260" i="1"/>
  <c r="H261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H262" i="1"/>
  <c r="I262" i="1"/>
  <c r="J262" i="1"/>
  <c r="K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Y262" i="1"/>
  <c r="Z262" i="1"/>
  <c r="AA262" i="1"/>
  <c r="AB262" i="1"/>
  <c r="H263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Y263" i="1"/>
  <c r="Z263" i="1"/>
  <c r="AA263" i="1"/>
  <c r="AB263" i="1"/>
  <c r="H264" i="1"/>
  <c r="I264" i="1"/>
  <c r="J264" i="1"/>
  <c r="K264" i="1"/>
  <c r="L264" i="1"/>
  <c r="M264" i="1"/>
  <c r="N264" i="1"/>
  <c r="O264" i="1"/>
  <c r="P264" i="1"/>
  <c r="Q264" i="1"/>
  <c r="R264" i="1"/>
  <c r="S264" i="1"/>
  <c r="T264" i="1"/>
  <c r="U264" i="1"/>
  <c r="V264" i="1"/>
  <c r="W264" i="1"/>
  <c r="X264" i="1"/>
  <c r="Y264" i="1"/>
  <c r="Z264" i="1"/>
  <c r="AA264" i="1"/>
  <c r="AB264" i="1"/>
  <c r="H265" i="1"/>
  <c r="I265" i="1"/>
  <c r="J265" i="1"/>
  <c r="K265" i="1"/>
  <c r="L265" i="1"/>
  <c r="M265" i="1"/>
  <c r="N265" i="1"/>
  <c r="O265" i="1"/>
  <c r="P265" i="1"/>
  <c r="Q265" i="1"/>
  <c r="R265" i="1"/>
  <c r="S265" i="1"/>
  <c r="T265" i="1"/>
  <c r="U265" i="1"/>
  <c r="V265" i="1"/>
  <c r="W265" i="1"/>
  <c r="X265" i="1"/>
  <c r="Y265" i="1"/>
  <c r="Z265" i="1"/>
  <c r="AA265" i="1"/>
  <c r="AB265" i="1"/>
  <c r="H266" i="1"/>
  <c r="I266" i="1"/>
  <c r="J266" i="1"/>
  <c r="K266" i="1"/>
  <c r="L266" i="1"/>
  <c r="M266" i="1"/>
  <c r="N266" i="1"/>
  <c r="O266" i="1"/>
  <c r="P266" i="1"/>
  <c r="Q266" i="1"/>
  <c r="R266" i="1"/>
  <c r="S266" i="1"/>
  <c r="T266" i="1"/>
  <c r="U266" i="1"/>
  <c r="V266" i="1"/>
  <c r="W266" i="1"/>
  <c r="X266" i="1"/>
  <c r="Y266" i="1"/>
  <c r="Z266" i="1"/>
  <c r="AA266" i="1"/>
  <c r="AB266" i="1"/>
  <c r="H267" i="1"/>
  <c r="I267" i="1"/>
  <c r="J267" i="1"/>
  <c r="K267" i="1"/>
  <c r="L267" i="1"/>
  <c r="M267" i="1"/>
  <c r="N267" i="1"/>
  <c r="O267" i="1"/>
  <c r="P267" i="1"/>
  <c r="Q267" i="1"/>
  <c r="R267" i="1"/>
  <c r="S267" i="1"/>
  <c r="T267" i="1"/>
  <c r="U267" i="1"/>
  <c r="V267" i="1"/>
  <c r="W267" i="1"/>
  <c r="X267" i="1"/>
  <c r="Y267" i="1"/>
  <c r="Z267" i="1"/>
  <c r="AA267" i="1"/>
  <c r="AB267" i="1"/>
  <c r="H268" i="1"/>
  <c r="I268" i="1"/>
  <c r="J268" i="1"/>
  <c r="K268" i="1"/>
  <c r="L268" i="1"/>
  <c r="M268" i="1"/>
  <c r="N268" i="1"/>
  <c r="O268" i="1"/>
  <c r="P268" i="1"/>
  <c r="Q268" i="1"/>
  <c r="R268" i="1"/>
  <c r="S268" i="1"/>
  <c r="T268" i="1"/>
  <c r="U268" i="1"/>
  <c r="V268" i="1"/>
  <c r="W268" i="1"/>
  <c r="X268" i="1"/>
  <c r="Y268" i="1"/>
  <c r="Z268" i="1"/>
  <c r="AA268" i="1"/>
  <c r="AB268" i="1"/>
  <c r="H269" i="1"/>
  <c r="I269" i="1"/>
  <c r="J269" i="1"/>
  <c r="K269" i="1"/>
  <c r="L269" i="1"/>
  <c r="M269" i="1"/>
  <c r="N269" i="1"/>
  <c r="O269" i="1"/>
  <c r="P269" i="1"/>
  <c r="Q269" i="1"/>
  <c r="R269" i="1"/>
  <c r="S269" i="1"/>
  <c r="T269" i="1"/>
  <c r="U269" i="1"/>
  <c r="V269" i="1"/>
  <c r="W269" i="1"/>
  <c r="X269" i="1"/>
  <c r="Y269" i="1"/>
  <c r="Z269" i="1"/>
  <c r="AA269" i="1"/>
  <c r="AB269" i="1"/>
  <c r="H270" i="1"/>
  <c r="I270" i="1"/>
  <c r="J270" i="1"/>
  <c r="K270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H271" i="1"/>
  <c r="I271" i="1"/>
  <c r="J271" i="1"/>
  <c r="K271" i="1"/>
  <c r="L271" i="1"/>
  <c r="M271" i="1"/>
  <c r="N271" i="1"/>
  <c r="O271" i="1"/>
  <c r="P271" i="1"/>
  <c r="Q271" i="1"/>
  <c r="R271" i="1"/>
  <c r="S271" i="1"/>
  <c r="T271" i="1"/>
  <c r="U271" i="1"/>
  <c r="V271" i="1"/>
  <c r="W271" i="1"/>
  <c r="X271" i="1"/>
  <c r="Y271" i="1"/>
  <c r="Z271" i="1"/>
  <c r="AA271" i="1"/>
  <c r="AB271" i="1"/>
  <c r="H272" i="1"/>
  <c r="I272" i="1"/>
  <c r="J272" i="1"/>
  <c r="K272" i="1"/>
  <c r="L272" i="1"/>
  <c r="M272" i="1"/>
  <c r="N272" i="1"/>
  <c r="O272" i="1"/>
  <c r="P272" i="1"/>
  <c r="Q272" i="1"/>
  <c r="R272" i="1"/>
  <c r="S272" i="1"/>
  <c r="T272" i="1"/>
  <c r="U272" i="1"/>
  <c r="V272" i="1"/>
  <c r="W272" i="1"/>
  <c r="X272" i="1"/>
  <c r="Y272" i="1"/>
  <c r="Z272" i="1"/>
  <c r="AA272" i="1"/>
  <c r="AB272" i="1"/>
  <c r="H273" i="1"/>
  <c r="I273" i="1"/>
  <c r="J273" i="1"/>
  <c r="K273" i="1"/>
  <c r="L273" i="1"/>
  <c r="M273" i="1"/>
  <c r="N273" i="1"/>
  <c r="O273" i="1"/>
  <c r="P273" i="1"/>
  <c r="Q273" i="1"/>
  <c r="R273" i="1"/>
  <c r="S273" i="1"/>
  <c r="T273" i="1"/>
  <c r="U273" i="1"/>
  <c r="V273" i="1"/>
  <c r="W273" i="1"/>
  <c r="X273" i="1"/>
  <c r="Y273" i="1"/>
  <c r="Z273" i="1"/>
  <c r="AA273" i="1"/>
  <c r="AB273" i="1"/>
  <c r="H274" i="1"/>
  <c r="I274" i="1"/>
  <c r="J274" i="1"/>
  <c r="K274" i="1"/>
  <c r="L274" i="1"/>
  <c r="M274" i="1"/>
  <c r="N274" i="1"/>
  <c r="O274" i="1"/>
  <c r="P274" i="1"/>
  <c r="Q274" i="1"/>
  <c r="R274" i="1"/>
  <c r="S274" i="1"/>
  <c r="T274" i="1"/>
  <c r="U274" i="1"/>
  <c r="V274" i="1"/>
  <c r="W274" i="1"/>
  <c r="X274" i="1"/>
  <c r="Y274" i="1"/>
  <c r="Z274" i="1"/>
  <c r="AA274" i="1"/>
  <c r="AB274" i="1"/>
  <c r="H275" i="1"/>
  <c r="I275" i="1"/>
  <c r="J275" i="1"/>
  <c r="K275" i="1"/>
  <c r="L275" i="1"/>
  <c r="M275" i="1"/>
  <c r="N275" i="1"/>
  <c r="O275" i="1"/>
  <c r="P275" i="1"/>
  <c r="Q275" i="1"/>
  <c r="R275" i="1"/>
  <c r="S275" i="1"/>
  <c r="T275" i="1"/>
  <c r="U275" i="1"/>
  <c r="V275" i="1"/>
  <c r="W275" i="1"/>
  <c r="X275" i="1"/>
  <c r="Y275" i="1"/>
  <c r="Z275" i="1"/>
  <c r="AA275" i="1"/>
  <c r="AB275" i="1"/>
  <c r="H276" i="1"/>
  <c r="I276" i="1"/>
  <c r="J276" i="1"/>
  <c r="K276" i="1"/>
  <c r="L276" i="1"/>
  <c r="M276" i="1"/>
  <c r="N276" i="1"/>
  <c r="O276" i="1"/>
  <c r="P276" i="1"/>
  <c r="Q276" i="1"/>
  <c r="R276" i="1"/>
  <c r="S276" i="1"/>
  <c r="T276" i="1"/>
  <c r="U276" i="1"/>
  <c r="V276" i="1"/>
  <c r="W276" i="1"/>
  <c r="X276" i="1"/>
  <c r="Y276" i="1"/>
  <c r="Z276" i="1"/>
  <c r="AA276" i="1"/>
  <c r="AB276" i="1"/>
  <c r="H277" i="1"/>
  <c r="I277" i="1"/>
  <c r="J277" i="1"/>
  <c r="K277" i="1"/>
  <c r="L277" i="1"/>
  <c r="M277" i="1"/>
  <c r="N277" i="1"/>
  <c r="O277" i="1"/>
  <c r="P277" i="1"/>
  <c r="Q277" i="1"/>
  <c r="R277" i="1"/>
  <c r="S277" i="1"/>
  <c r="T277" i="1"/>
  <c r="U277" i="1"/>
  <c r="V277" i="1"/>
  <c r="W277" i="1"/>
  <c r="X277" i="1"/>
  <c r="Y277" i="1"/>
  <c r="Z277" i="1"/>
  <c r="AA277" i="1"/>
  <c r="AB277" i="1"/>
  <c r="H278" i="1"/>
  <c r="I278" i="1"/>
  <c r="J278" i="1"/>
  <c r="K278" i="1"/>
  <c r="L278" i="1"/>
  <c r="M278" i="1"/>
  <c r="N278" i="1"/>
  <c r="O278" i="1"/>
  <c r="P278" i="1"/>
  <c r="Q278" i="1"/>
  <c r="R278" i="1"/>
  <c r="S278" i="1"/>
  <c r="T278" i="1"/>
  <c r="U278" i="1"/>
  <c r="V278" i="1"/>
  <c r="W278" i="1"/>
  <c r="X278" i="1"/>
  <c r="Y278" i="1"/>
  <c r="Z278" i="1"/>
  <c r="AA278" i="1"/>
  <c r="AB278" i="1"/>
  <c r="H279" i="1"/>
  <c r="I279" i="1"/>
  <c r="J279" i="1"/>
  <c r="K279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H280" i="1"/>
  <c r="I280" i="1"/>
  <c r="J280" i="1"/>
  <c r="K280" i="1"/>
  <c r="L280" i="1"/>
  <c r="M280" i="1"/>
  <c r="N280" i="1"/>
  <c r="O280" i="1"/>
  <c r="P280" i="1"/>
  <c r="Q280" i="1"/>
  <c r="R280" i="1"/>
  <c r="S280" i="1"/>
  <c r="T280" i="1"/>
  <c r="U280" i="1"/>
  <c r="V280" i="1"/>
  <c r="W280" i="1"/>
  <c r="X280" i="1"/>
  <c r="Y280" i="1"/>
  <c r="Z280" i="1"/>
  <c r="AA280" i="1"/>
  <c r="AB280" i="1"/>
  <c r="H281" i="1"/>
  <c r="I281" i="1"/>
  <c r="J281" i="1"/>
  <c r="K281" i="1"/>
  <c r="L281" i="1"/>
  <c r="M281" i="1"/>
  <c r="N281" i="1"/>
  <c r="O281" i="1"/>
  <c r="P281" i="1"/>
  <c r="Q281" i="1"/>
  <c r="R281" i="1"/>
  <c r="S281" i="1"/>
  <c r="T281" i="1"/>
  <c r="U281" i="1"/>
  <c r="V281" i="1"/>
  <c r="W281" i="1"/>
  <c r="X281" i="1"/>
  <c r="Y281" i="1"/>
  <c r="Z281" i="1"/>
  <c r="AA281" i="1"/>
  <c r="AB281" i="1"/>
  <c r="H282" i="1"/>
  <c r="I282" i="1"/>
  <c r="J282" i="1"/>
  <c r="K282" i="1"/>
  <c r="L282" i="1"/>
  <c r="M282" i="1"/>
  <c r="N282" i="1"/>
  <c r="O282" i="1"/>
  <c r="P282" i="1"/>
  <c r="Q282" i="1"/>
  <c r="R282" i="1"/>
  <c r="S282" i="1"/>
  <c r="T282" i="1"/>
  <c r="U282" i="1"/>
  <c r="V282" i="1"/>
  <c r="W282" i="1"/>
  <c r="X282" i="1"/>
  <c r="Y282" i="1"/>
  <c r="Z282" i="1"/>
  <c r="AA282" i="1"/>
  <c r="AB282" i="1"/>
  <c r="H283" i="1"/>
  <c r="I283" i="1"/>
  <c r="J283" i="1"/>
  <c r="K283" i="1"/>
  <c r="L283" i="1"/>
  <c r="M283" i="1"/>
  <c r="N283" i="1"/>
  <c r="O283" i="1"/>
  <c r="P283" i="1"/>
  <c r="Q283" i="1"/>
  <c r="R283" i="1"/>
  <c r="S283" i="1"/>
  <c r="T283" i="1"/>
  <c r="U283" i="1"/>
  <c r="V283" i="1"/>
  <c r="W283" i="1"/>
  <c r="X283" i="1"/>
  <c r="Y283" i="1"/>
  <c r="Z283" i="1"/>
  <c r="AA283" i="1"/>
  <c r="AB283" i="1"/>
  <c r="H284" i="1"/>
  <c r="I284" i="1"/>
  <c r="J284" i="1"/>
  <c r="K284" i="1"/>
  <c r="L284" i="1"/>
  <c r="M284" i="1"/>
  <c r="N284" i="1"/>
  <c r="O284" i="1"/>
  <c r="P284" i="1"/>
  <c r="Q284" i="1"/>
  <c r="R284" i="1"/>
  <c r="S284" i="1"/>
  <c r="T284" i="1"/>
  <c r="U284" i="1"/>
  <c r="V284" i="1"/>
  <c r="W284" i="1"/>
  <c r="X284" i="1"/>
  <c r="Y284" i="1"/>
  <c r="Z284" i="1"/>
  <c r="AA284" i="1"/>
  <c r="AB284" i="1"/>
  <c r="H285" i="1"/>
  <c r="I285" i="1"/>
  <c r="J285" i="1"/>
  <c r="K285" i="1"/>
  <c r="L285" i="1"/>
  <c r="M285" i="1"/>
  <c r="N285" i="1"/>
  <c r="O285" i="1"/>
  <c r="P285" i="1"/>
  <c r="Q285" i="1"/>
  <c r="R285" i="1"/>
  <c r="S285" i="1"/>
  <c r="T285" i="1"/>
  <c r="U285" i="1"/>
  <c r="V285" i="1"/>
  <c r="W285" i="1"/>
  <c r="X285" i="1"/>
  <c r="Y285" i="1"/>
  <c r="Z285" i="1"/>
  <c r="AA285" i="1"/>
  <c r="AB285" i="1"/>
  <c r="H286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Z286" i="1"/>
  <c r="AA286" i="1"/>
  <c r="AB286" i="1"/>
  <c r="H287" i="1"/>
  <c r="I287" i="1"/>
  <c r="J287" i="1"/>
  <c r="K287" i="1"/>
  <c r="L287" i="1"/>
  <c r="M287" i="1"/>
  <c r="N287" i="1"/>
  <c r="O287" i="1"/>
  <c r="P287" i="1"/>
  <c r="Q287" i="1"/>
  <c r="R287" i="1"/>
  <c r="S287" i="1"/>
  <c r="T287" i="1"/>
  <c r="U287" i="1"/>
  <c r="V287" i="1"/>
  <c r="W287" i="1"/>
  <c r="X287" i="1"/>
  <c r="Y287" i="1"/>
  <c r="Z287" i="1"/>
  <c r="AA287" i="1"/>
  <c r="AB287" i="1"/>
  <c r="H288" i="1"/>
  <c r="I288" i="1"/>
  <c r="J288" i="1"/>
  <c r="K288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H289" i="1"/>
  <c r="I289" i="1"/>
  <c r="J289" i="1"/>
  <c r="K289" i="1"/>
  <c r="L289" i="1"/>
  <c r="M289" i="1"/>
  <c r="N289" i="1"/>
  <c r="O289" i="1"/>
  <c r="P289" i="1"/>
  <c r="Q289" i="1"/>
  <c r="R289" i="1"/>
  <c r="S289" i="1"/>
  <c r="T289" i="1"/>
  <c r="U289" i="1"/>
  <c r="V289" i="1"/>
  <c r="W289" i="1"/>
  <c r="X289" i="1"/>
  <c r="Y289" i="1"/>
  <c r="Z289" i="1"/>
  <c r="AA289" i="1"/>
  <c r="AB289" i="1"/>
  <c r="H290" i="1"/>
  <c r="I290" i="1"/>
  <c r="J290" i="1"/>
  <c r="K290" i="1"/>
  <c r="L290" i="1"/>
  <c r="M290" i="1"/>
  <c r="N290" i="1"/>
  <c r="O290" i="1"/>
  <c r="P290" i="1"/>
  <c r="Q290" i="1"/>
  <c r="R290" i="1"/>
  <c r="S290" i="1"/>
  <c r="T290" i="1"/>
  <c r="U290" i="1"/>
  <c r="V290" i="1"/>
  <c r="W290" i="1"/>
  <c r="X290" i="1"/>
  <c r="Y290" i="1"/>
  <c r="Z290" i="1"/>
  <c r="AA290" i="1"/>
  <c r="AB290" i="1"/>
  <c r="H291" i="1"/>
  <c r="I291" i="1"/>
  <c r="J291" i="1"/>
  <c r="K291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H292" i="1"/>
  <c r="I292" i="1"/>
  <c r="J292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W292" i="1"/>
  <c r="X292" i="1"/>
  <c r="Y292" i="1"/>
  <c r="Z292" i="1"/>
  <c r="AA292" i="1"/>
  <c r="AB292" i="1"/>
  <c r="H293" i="1"/>
  <c r="I293" i="1"/>
  <c r="J293" i="1"/>
  <c r="K293" i="1"/>
  <c r="L293" i="1"/>
  <c r="M293" i="1"/>
  <c r="N293" i="1"/>
  <c r="O293" i="1"/>
  <c r="P293" i="1"/>
  <c r="Q293" i="1"/>
  <c r="R293" i="1"/>
  <c r="S293" i="1"/>
  <c r="T293" i="1"/>
  <c r="U293" i="1"/>
  <c r="V293" i="1"/>
  <c r="W293" i="1"/>
  <c r="X293" i="1"/>
  <c r="Y293" i="1"/>
  <c r="Z293" i="1"/>
  <c r="AA293" i="1"/>
  <c r="AB293" i="1"/>
  <c r="H294" i="1"/>
  <c r="I294" i="1"/>
  <c r="J294" i="1"/>
  <c r="K294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H295" i="1"/>
  <c r="I295" i="1"/>
  <c r="J295" i="1"/>
  <c r="K295" i="1"/>
  <c r="L295" i="1"/>
  <c r="M295" i="1"/>
  <c r="N295" i="1"/>
  <c r="O295" i="1"/>
  <c r="P295" i="1"/>
  <c r="Q295" i="1"/>
  <c r="R295" i="1"/>
  <c r="S295" i="1"/>
  <c r="T295" i="1"/>
  <c r="U295" i="1"/>
  <c r="V295" i="1"/>
  <c r="W295" i="1"/>
  <c r="X295" i="1"/>
  <c r="Y295" i="1"/>
  <c r="Z295" i="1"/>
  <c r="AA295" i="1"/>
  <c r="AB295" i="1"/>
  <c r="H296" i="1"/>
  <c r="I296" i="1"/>
  <c r="J296" i="1"/>
  <c r="K296" i="1"/>
  <c r="L296" i="1"/>
  <c r="M296" i="1"/>
  <c r="N296" i="1"/>
  <c r="O296" i="1"/>
  <c r="P296" i="1"/>
  <c r="Q296" i="1"/>
  <c r="R296" i="1"/>
  <c r="S296" i="1"/>
  <c r="T296" i="1"/>
  <c r="U296" i="1"/>
  <c r="V296" i="1"/>
  <c r="W296" i="1"/>
  <c r="X296" i="1"/>
  <c r="Y296" i="1"/>
  <c r="Z296" i="1"/>
  <c r="AA296" i="1"/>
  <c r="AB296" i="1"/>
  <c r="H297" i="1"/>
  <c r="I297" i="1"/>
  <c r="J297" i="1"/>
  <c r="K297" i="1"/>
  <c r="L297" i="1"/>
  <c r="M297" i="1"/>
  <c r="N297" i="1"/>
  <c r="O297" i="1"/>
  <c r="P297" i="1"/>
  <c r="Q297" i="1"/>
  <c r="R297" i="1"/>
  <c r="S297" i="1"/>
  <c r="T297" i="1"/>
  <c r="U297" i="1"/>
  <c r="V297" i="1"/>
  <c r="W297" i="1"/>
  <c r="X297" i="1"/>
  <c r="Y297" i="1"/>
  <c r="Z297" i="1"/>
  <c r="AA297" i="1"/>
  <c r="AB297" i="1"/>
  <c r="I298" i="1"/>
  <c r="J298" i="1"/>
  <c r="K298" i="1"/>
  <c r="L298" i="1"/>
  <c r="M298" i="1"/>
  <c r="N298" i="1"/>
  <c r="O298" i="1"/>
  <c r="P298" i="1"/>
  <c r="Q298" i="1"/>
  <c r="R298" i="1"/>
  <c r="S298" i="1"/>
  <c r="T298" i="1"/>
  <c r="U298" i="1"/>
  <c r="V298" i="1"/>
  <c r="W298" i="1"/>
  <c r="X298" i="1"/>
  <c r="Y298" i="1"/>
  <c r="Z298" i="1"/>
  <c r="AA298" i="1"/>
  <c r="AB298" i="1"/>
  <c r="H308" i="1"/>
  <c r="I308" i="1"/>
  <c r="J308" i="1"/>
  <c r="K308" i="1"/>
  <c r="L308" i="1"/>
  <c r="M308" i="1"/>
  <c r="N308" i="1"/>
  <c r="O308" i="1"/>
  <c r="P308" i="1"/>
  <c r="Q308" i="1"/>
  <c r="R308" i="1"/>
  <c r="S308" i="1"/>
  <c r="T308" i="1"/>
  <c r="U308" i="1"/>
  <c r="V308" i="1"/>
  <c r="W308" i="1"/>
  <c r="X308" i="1"/>
  <c r="Y308" i="1"/>
  <c r="Z308" i="1"/>
  <c r="AA308" i="1"/>
  <c r="AB308" i="1"/>
  <c r="H309" i="1"/>
  <c r="I309" i="1"/>
  <c r="J309" i="1"/>
  <c r="K309" i="1"/>
  <c r="L309" i="1"/>
  <c r="M309" i="1"/>
  <c r="N309" i="1"/>
  <c r="O309" i="1"/>
  <c r="P309" i="1"/>
  <c r="Q309" i="1"/>
  <c r="R309" i="1"/>
  <c r="S309" i="1"/>
  <c r="T309" i="1"/>
  <c r="U309" i="1"/>
  <c r="V309" i="1"/>
  <c r="W309" i="1"/>
  <c r="X309" i="1"/>
  <c r="Y309" i="1"/>
  <c r="Z309" i="1"/>
  <c r="AA309" i="1"/>
  <c r="AB309" i="1"/>
  <c r="H310" i="1"/>
  <c r="I310" i="1"/>
  <c r="J310" i="1"/>
  <c r="K310" i="1"/>
  <c r="L310" i="1"/>
  <c r="M310" i="1"/>
  <c r="N310" i="1"/>
  <c r="O310" i="1"/>
  <c r="P310" i="1"/>
  <c r="Q310" i="1"/>
  <c r="R310" i="1"/>
  <c r="S310" i="1"/>
  <c r="T310" i="1"/>
  <c r="U310" i="1"/>
  <c r="V310" i="1"/>
  <c r="W310" i="1"/>
  <c r="X310" i="1"/>
  <c r="Y310" i="1"/>
  <c r="Z310" i="1"/>
  <c r="AA310" i="1"/>
  <c r="AB310" i="1"/>
  <c r="H311" i="1"/>
  <c r="I311" i="1"/>
  <c r="J311" i="1"/>
  <c r="K311" i="1"/>
  <c r="L311" i="1"/>
  <c r="M311" i="1"/>
  <c r="N311" i="1"/>
  <c r="O311" i="1"/>
  <c r="P311" i="1"/>
  <c r="Q311" i="1"/>
  <c r="R311" i="1"/>
  <c r="S311" i="1"/>
  <c r="T311" i="1"/>
  <c r="U311" i="1"/>
  <c r="V311" i="1"/>
  <c r="W311" i="1"/>
  <c r="X311" i="1"/>
  <c r="Y311" i="1"/>
  <c r="Z311" i="1"/>
  <c r="AA311" i="1"/>
  <c r="AB311" i="1"/>
  <c r="H312" i="1"/>
  <c r="I312" i="1"/>
  <c r="J312" i="1"/>
  <c r="K312" i="1"/>
  <c r="L312" i="1"/>
  <c r="M312" i="1"/>
  <c r="N312" i="1"/>
  <c r="O312" i="1"/>
  <c r="P312" i="1"/>
  <c r="Q312" i="1"/>
  <c r="R312" i="1"/>
  <c r="S312" i="1"/>
  <c r="T312" i="1"/>
  <c r="U312" i="1"/>
  <c r="V312" i="1"/>
  <c r="W312" i="1"/>
  <c r="X312" i="1"/>
  <c r="Y312" i="1"/>
  <c r="Z312" i="1"/>
  <c r="AA312" i="1"/>
  <c r="AB312" i="1"/>
  <c r="H313" i="1"/>
  <c r="I313" i="1"/>
  <c r="J313" i="1"/>
  <c r="K313" i="1"/>
  <c r="L313" i="1"/>
  <c r="M313" i="1"/>
  <c r="N313" i="1"/>
  <c r="O313" i="1"/>
  <c r="P313" i="1"/>
  <c r="Q313" i="1"/>
  <c r="R313" i="1"/>
  <c r="S313" i="1"/>
  <c r="T313" i="1"/>
  <c r="U313" i="1"/>
  <c r="V313" i="1"/>
  <c r="W313" i="1"/>
  <c r="X313" i="1"/>
  <c r="Y313" i="1"/>
  <c r="Z313" i="1"/>
  <c r="AA313" i="1"/>
  <c r="AB313" i="1"/>
  <c r="H314" i="1"/>
  <c r="I314" i="1"/>
  <c r="J314" i="1"/>
  <c r="K314" i="1"/>
  <c r="L314" i="1"/>
  <c r="M314" i="1"/>
  <c r="N314" i="1"/>
  <c r="O314" i="1"/>
  <c r="P314" i="1"/>
  <c r="Q314" i="1"/>
  <c r="R314" i="1"/>
  <c r="S314" i="1"/>
  <c r="T314" i="1"/>
  <c r="U314" i="1"/>
  <c r="V314" i="1"/>
  <c r="W314" i="1"/>
  <c r="X314" i="1"/>
  <c r="Y314" i="1"/>
  <c r="Z314" i="1"/>
  <c r="AA314" i="1"/>
  <c r="AB314" i="1"/>
  <c r="H315" i="1"/>
  <c r="I315" i="1"/>
  <c r="J315" i="1"/>
  <c r="K315" i="1"/>
  <c r="L315" i="1"/>
  <c r="M315" i="1"/>
  <c r="N315" i="1"/>
  <c r="O315" i="1"/>
  <c r="P315" i="1"/>
  <c r="Q315" i="1"/>
  <c r="R315" i="1"/>
  <c r="S315" i="1"/>
  <c r="T315" i="1"/>
  <c r="U315" i="1"/>
  <c r="V315" i="1"/>
  <c r="W315" i="1"/>
  <c r="X315" i="1"/>
  <c r="Y315" i="1"/>
  <c r="Z315" i="1"/>
  <c r="AA315" i="1"/>
  <c r="AB315" i="1"/>
  <c r="H316" i="1"/>
  <c r="I316" i="1"/>
  <c r="J316" i="1"/>
  <c r="K316" i="1"/>
  <c r="L316" i="1"/>
  <c r="M316" i="1"/>
  <c r="N316" i="1"/>
  <c r="O316" i="1"/>
  <c r="P316" i="1"/>
  <c r="Q316" i="1"/>
  <c r="R316" i="1"/>
  <c r="S316" i="1"/>
  <c r="T316" i="1"/>
  <c r="U316" i="1"/>
  <c r="V316" i="1"/>
  <c r="W316" i="1"/>
  <c r="X316" i="1"/>
  <c r="Y316" i="1"/>
  <c r="Z316" i="1"/>
  <c r="AA316" i="1"/>
  <c r="AB316" i="1"/>
  <c r="H317" i="1"/>
  <c r="I317" i="1"/>
  <c r="J317" i="1"/>
  <c r="K317" i="1"/>
  <c r="L317" i="1"/>
  <c r="M317" i="1"/>
  <c r="N317" i="1"/>
  <c r="O317" i="1"/>
  <c r="P317" i="1"/>
  <c r="Q317" i="1"/>
  <c r="R317" i="1"/>
  <c r="S317" i="1"/>
  <c r="T317" i="1"/>
  <c r="U317" i="1"/>
  <c r="V317" i="1"/>
  <c r="W317" i="1"/>
  <c r="X317" i="1"/>
  <c r="Y317" i="1"/>
  <c r="Z317" i="1"/>
  <c r="AA317" i="1"/>
  <c r="AB317" i="1"/>
  <c r="H318" i="1"/>
  <c r="I318" i="1"/>
  <c r="J318" i="1"/>
  <c r="K318" i="1"/>
  <c r="L318" i="1"/>
  <c r="M318" i="1"/>
  <c r="N318" i="1"/>
  <c r="O318" i="1"/>
  <c r="P318" i="1"/>
  <c r="Q318" i="1"/>
  <c r="R318" i="1"/>
  <c r="S318" i="1"/>
  <c r="T318" i="1"/>
  <c r="U318" i="1"/>
  <c r="V318" i="1"/>
  <c r="W318" i="1"/>
  <c r="X318" i="1"/>
  <c r="Y318" i="1"/>
  <c r="Z318" i="1"/>
  <c r="AA318" i="1"/>
  <c r="AB318" i="1"/>
  <c r="H319" i="1"/>
  <c r="I319" i="1"/>
  <c r="J319" i="1"/>
  <c r="K319" i="1"/>
  <c r="L319" i="1"/>
  <c r="M319" i="1"/>
  <c r="N319" i="1"/>
  <c r="O319" i="1"/>
  <c r="P319" i="1"/>
  <c r="Q319" i="1"/>
  <c r="R319" i="1"/>
  <c r="S319" i="1"/>
  <c r="T319" i="1"/>
  <c r="U319" i="1"/>
  <c r="V319" i="1"/>
  <c r="W319" i="1"/>
  <c r="X319" i="1"/>
  <c r="Y319" i="1"/>
  <c r="Z319" i="1"/>
  <c r="AA319" i="1"/>
  <c r="AB319" i="1"/>
  <c r="H320" i="1"/>
  <c r="I320" i="1"/>
  <c r="J320" i="1"/>
  <c r="K320" i="1"/>
  <c r="L320" i="1"/>
  <c r="M320" i="1"/>
  <c r="N320" i="1"/>
  <c r="O320" i="1"/>
  <c r="P320" i="1"/>
  <c r="Q320" i="1"/>
  <c r="R320" i="1"/>
  <c r="S320" i="1"/>
  <c r="T320" i="1"/>
  <c r="U320" i="1"/>
  <c r="V320" i="1"/>
  <c r="W320" i="1"/>
  <c r="X320" i="1"/>
  <c r="Y320" i="1"/>
  <c r="Z320" i="1"/>
  <c r="AA320" i="1"/>
  <c r="AB320" i="1"/>
  <c r="H321" i="1"/>
  <c r="I321" i="1"/>
  <c r="J321" i="1"/>
  <c r="K321" i="1"/>
  <c r="L321" i="1"/>
  <c r="M321" i="1"/>
  <c r="N321" i="1"/>
  <c r="O321" i="1"/>
  <c r="P321" i="1"/>
  <c r="Q321" i="1"/>
  <c r="R321" i="1"/>
  <c r="S321" i="1"/>
  <c r="T321" i="1"/>
  <c r="U321" i="1"/>
  <c r="V321" i="1"/>
  <c r="W321" i="1"/>
  <c r="X321" i="1"/>
  <c r="Y321" i="1"/>
  <c r="Z321" i="1"/>
  <c r="AA321" i="1"/>
  <c r="AB321" i="1"/>
  <c r="H322" i="1"/>
  <c r="I322" i="1"/>
  <c r="J322" i="1"/>
  <c r="K322" i="1"/>
  <c r="L322" i="1"/>
  <c r="M322" i="1"/>
  <c r="N322" i="1"/>
  <c r="O322" i="1"/>
  <c r="P322" i="1"/>
  <c r="Q322" i="1"/>
  <c r="R322" i="1"/>
  <c r="S322" i="1"/>
  <c r="T322" i="1"/>
  <c r="U322" i="1"/>
  <c r="V322" i="1"/>
  <c r="W322" i="1"/>
  <c r="X322" i="1"/>
  <c r="Y322" i="1"/>
  <c r="Z322" i="1"/>
  <c r="AA322" i="1"/>
  <c r="AB322" i="1"/>
  <c r="H323" i="1"/>
  <c r="I323" i="1"/>
  <c r="J323" i="1"/>
  <c r="K323" i="1"/>
  <c r="L323" i="1"/>
  <c r="M323" i="1"/>
  <c r="N323" i="1"/>
  <c r="O323" i="1"/>
  <c r="P323" i="1"/>
  <c r="Q323" i="1"/>
  <c r="R323" i="1"/>
  <c r="S323" i="1"/>
  <c r="T323" i="1"/>
  <c r="U323" i="1"/>
  <c r="V323" i="1"/>
  <c r="W323" i="1"/>
  <c r="X323" i="1"/>
  <c r="Y323" i="1"/>
  <c r="Z323" i="1"/>
  <c r="AA323" i="1"/>
  <c r="AB323" i="1"/>
  <c r="H324" i="1"/>
  <c r="I324" i="1"/>
  <c r="J324" i="1"/>
  <c r="K324" i="1"/>
  <c r="L324" i="1"/>
  <c r="M324" i="1"/>
  <c r="N324" i="1"/>
  <c r="O324" i="1"/>
  <c r="P324" i="1"/>
  <c r="Q324" i="1"/>
  <c r="R324" i="1"/>
  <c r="S324" i="1"/>
  <c r="T324" i="1"/>
  <c r="U324" i="1"/>
  <c r="V324" i="1"/>
  <c r="W324" i="1"/>
  <c r="X324" i="1"/>
  <c r="Y324" i="1"/>
  <c r="Z324" i="1"/>
  <c r="AA324" i="1"/>
  <c r="AB324" i="1"/>
  <c r="H325" i="1"/>
  <c r="I325" i="1"/>
  <c r="J325" i="1"/>
  <c r="K325" i="1"/>
  <c r="L325" i="1"/>
  <c r="M325" i="1"/>
  <c r="N325" i="1"/>
  <c r="O325" i="1"/>
  <c r="P325" i="1"/>
  <c r="Q325" i="1"/>
  <c r="R325" i="1"/>
  <c r="S325" i="1"/>
  <c r="T325" i="1"/>
  <c r="U325" i="1"/>
  <c r="V325" i="1"/>
  <c r="W325" i="1"/>
  <c r="X325" i="1"/>
  <c r="Y325" i="1"/>
  <c r="Z325" i="1"/>
  <c r="AA325" i="1"/>
  <c r="AB325" i="1"/>
  <c r="H326" i="1"/>
  <c r="I326" i="1"/>
  <c r="J326" i="1"/>
  <c r="K326" i="1"/>
  <c r="L326" i="1"/>
  <c r="M326" i="1"/>
  <c r="N326" i="1"/>
  <c r="O326" i="1"/>
  <c r="P326" i="1"/>
  <c r="Q326" i="1"/>
  <c r="R326" i="1"/>
  <c r="S326" i="1"/>
  <c r="T326" i="1"/>
  <c r="U326" i="1"/>
  <c r="V326" i="1"/>
  <c r="W326" i="1"/>
  <c r="X326" i="1"/>
  <c r="Y326" i="1"/>
  <c r="Z326" i="1"/>
  <c r="AA326" i="1"/>
  <c r="AB326" i="1"/>
  <c r="H327" i="1"/>
  <c r="I327" i="1"/>
  <c r="J327" i="1"/>
  <c r="K327" i="1"/>
  <c r="L327" i="1"/>
  <c r="M327" i="1"/>
  <c r="N327" i="1"/>
  <c r="O327" i="1"/>
  <c r="P327" i="1"/>
  <c r="Q327" i="1"/>
  <c r="R327" i="1"/>
  <c r="S327" i="1"/>
  <c r="T327" i="1"/>
  <c r="U327" i="1"/>
  <c r="V327" i="1"/>
  <c r="W327" i="1"/>
  <c r="X327" i="1"/>
  <c r="Y327" i="1"/>
  <c r="Z327" i="1"/>
  <c r="AA327" i="1"/>
  <c r="AB327" i="1"/>
  <c r="H328" i="1"/>
  <c r="I328" i="1"/>
  <c r="J328" i="1"/>
  <c r="K328" i="1"/>
  <c r="L328" i="1"/>
  <c r="M328" i="1"/>
  <c r="N328" i="1"/>
  <c r="O328" i="1"/>
  <c r="P328" i="1"/>
  <c r="Q328" i="1"/>
  <c r="R328" i="1"/>
  <c r="S328" i="1"/>
  <c r="T328" i="1"/>
  <c r="U328" i="1"/>
  <c r="V328" i="1"/>
  <c r="W328" i="1"/>
  <c r="X328" i="1"/>
  <c r="Y328" i="1"/>
  <c r="Z328" i="1"/>
  <c r="AA328" i="1"/>
  <c r="AB328" i="1"/>
  <c r="H329" i="1"/>
  <c r="I329" i="1"/>
  <c r="J329" i="1"/>
  <c r="K329" i="1"/>
  <c r="L329" i="1"/>
  <c r="M329" i="1"/>
  <c r="N329" i="1"/>
  <c r="O329" i="1"/>
  <c r="P329" i="1"/>
  <c r="Q329" i="1"/>
  <c r="R329" i="1"/>
  <c r="S329" i="1"/>
  <c r="T329" i="1"/>
  <c r="U329" i="1"/>
  <c r="V329" i="1"/>
  <c r="W329" i="1"/>
  <c r="X329" i="1"/>
  <c r="Y329" i="1"/>
  <c r="Z329" i="1"/>
  <c r="AA329" i="1"/>
  <c r="AB329" i="1"/>
  <c r="H330" i="1"/>
  <c r="I330" i="1"/>
  <c r="J330" i="1"/>
  <c r="K330" i="1"/>
  <c r="L330" i="1"/>
  <c r="M330" i="1"/>
  <c r="N330" i="1"/>
  <c r="O330" i="1"/>
  <c r="P330" i="1"/>
  <c r="Q330" i="1"/>
  <c r="R330" i="1"/>
  <c r="S330" i="1"/>
  <c r="T330" i="1"/>
  <c r="U330" i="1"/>
  <c r="V330" i="1"/>
  <c r="W330" i="1"/>
  <c r="X330" i="1"/>
  <c r="Y330" i="1"/>
  <c r="Z330" i="1"/>
  <c r="AA330" i="1"/>
  <c r="AB330" i="1"/>
  <c r="H331" i="1"/>
  <c r="I331" i="1"/>
  <c r="J331" i="1"/>
  <c r="K331" i="1"/>
  <c r="L331" i="1"/>
  <c r="M331" i="1"/>
  <c r="N331" i="1"/>
  <c r="O331" i="1"/>
  <c r="P331" i="1"/>
  <c r="Q331" i="1"/>
  <c r="R331" i="1"/>
  <c r="S331" i="1"/>
  <c r="T331" i="1"/>
  <c r="U331" i="1"/>
  <c r="V331" i="1"/>
  <c r="W331" i="1"/>
  <c r="X331" i="1"/>
  <c r="Y331" i="1"/>
  <c r="Z331" i="1"/>
  <c r="AA331" i="1"/>
  <c r="AB331" i="1"/>
  <c r="H332" i="1"/>
  <c r="I332" i="1"/>
  <c r="J332" i="1"/>
  <c r="K332" i="1"/>
  <c r="L332" i="1"/>
  <c r="M332" i="1"/>
  <c r="N332" i="1"/>
  <c r="O332" i="1"/>
  <c r="P332" i="1"/>
  <c r="Q332" i="1"/>
  <c r="R332" i="1"/>
  <c r="S332" i="1"/>
  <c r="T332" i="1"/>
  <c r="U332" i="1"/>
  <c r="V332" i="1"/>
  <c r="W332" i="1"/>
  <c r="X332" i="1"/>
  <c r="Y332" i="1"/>
  <c r="Z332" i="1"/>
  <c r="AA332" i="1"/>
  <c r="AB332" i="1"/>
  <c r="H333" i="1"/>
  <c r="I333" i="1"/>
  <c r="J333" i="1"/>
  <c r="K333" i="1"/>
  <c r="L333" i="1"/>
  <c r="M333" i="1"/>
  <c r="N333" i="1"/>
  <c r="O333" i="1"/>
  <c r="P333" i="1"/>
  <c r="Q333" i="1"/>
  <c r="R333" i="1"/>
  <c r="S333" i="1"/>
  <c r="T333" i="1"/>
  <c r="U333" i="1"/>
  <c r="V333" i="1"/>
  <c r="W333" i="1"/>
  <c r="X333" i="1"/>
  <c r="Y333" i="1"/>
  <c r="Z333" i="1"/>
  <c r="AA333" i="1"/>
  <c r="AB333" i="1"/>
  <c r="H334" i="1"/>
  <c r="I334" i="1"/>
  <c r="J334" i="1"/>
  <c r="K334" i="1"/>
  <c r="L334" i="1"/>
  <c r="M334" i="1"/>
  <c r="N334" i="1"/>
  <c r="O334" i="1"/>
  <c r="P334" i="1"/>
  <c r="Q334" i="1"/>
  <c r="R334" i="1"/>
  <c r="S334" i="1"/>
  <c r="T334" i="1"/>
  <c r="U334" i="1"/>
  <c r="V334" i="1"/>
  <c r="W334" i="1"/>
  <c r="X334" i="1"/>
  <c r="Y334" i="1"/>
  <c r="Z334" i="1"/>
  <c r="AA334" i="1"/>
  <c r="AB334" i="1"/>
  <c r="H335" i="1"/>
  <c r="I335" i="1"/>
  <c r="J335" i="1"/>
  <c r="K335" i="1"/>
  <c r="L335" i="1"/>
  <c r="M335" i="1"/>
  <c r="N335" i="1"/>
  <c r="O335" i="1"/>
  <c r="P335" i="1"/>
  <c r="Q335" i="1"/>
  <c r="R335" i="1"/>
  <c r="S335" i="1"/>
  <c r="T335" i="1"/>
  <c r="U335" i="1"/>
  <c r="V335" i="1"/>
  <c r="W335" i="1"/>
  <c r="X335" i="1"/>
  <c r="Y335" i="1"/>
  <c r="Z335" i="1"/>
  <c r="AA335" i="1"/>
  <c r="AB335" i="1"/>
  <c r="H336" i="1"/>
  <c r="I336" i="1"/>
  <c r="J336" i="1"/>
  <c r="K336" i="1"/>
  <c r="L336" i="1"/>
  <c r="M336" i="1"/>
  <c r="N336" i="1"/>
  <c r="O336" i="1"/>
  <c r="P336" i="1"/>
  <c r="Q336" i="1"/>
  <c r="R336" i="1"/>
  <c r="S336" i="1"/>
  <c r="T336" i="1"/>
  <c r="U336" i="1"/>
  <c r="V336" i="1"/>
  <c r="W336" i="1"/>
  <c r="X336" i="1"/>
  <c r="Y336" i="1"/>
  <c r="Z336" i="1"/>
  <c r="AA336" i="1"/>
  <c r="AB336" i="1"/>
  <c r="H337" i="1"/>
  <c r="I337" i="1"/>
  <c r="J337" i="1"/>
  <c r="K337" i="1"/>
  <c r="L337" i="1"/>
  <c r="M337" i="1"/>
  <c r="N337" i="1"/>
  <c r="O337" i="1"/>
  <c r="P337" i="1"/>
  <c r="Q337" i="1"/>
  <c r="R337" i="1"/>
  <c r="S337" i="1"/>
  <c r="T337" i="1"/>
  <c r="U337" i="1"/>
  <c r="V337" i="1"/>
  <c r="W337" i="1"/>
  <c r="X337" i="1"/>
  <c r="Y337" i="1"/>
  <c r="Z337" i="1"/>
  <c r="AA337" i="1"/>
  <c r="AB337" i="1"/>
  <c r="H338" i="1"/>
  <c r="I338" i="1"/>
  <c r="J338" i="1"/>
  <c r="K338" i="1"/>
  <c r="L338" i="1"/>
  <c r="M338" i="1"/>
  <c r="N338" i="1"/>
  <c r="O338" i="1"/>
  <c r="P338" i="1"/>
  <c r="Q338" i="1"/>
  <c r="R338" i="1"/>
  <c r="S338" i="1"/>
  <c r="T338" i="1"/>
  <c r="U338" i="1"/>
  <c r="V338" i="1"/>
  <c r="W338" i="1"/>
  <c r="X338" i="1"/>
  <c r="Y338" i="1"/>
  <c r="Z338" i="1"/>
  <c r="AA338" i="1"/>
  <c r="AB338" i="1"/>
  <c r="H339" i="1"/>
  <c r="I339" i="1"/>
  <c r="J339" i="1"/>
  <c r="K339" i="1"/>
  <c r="L339" i="1"/>
  <c r="M339" i="1"/>
  <c r="N339" i="1"/>
  <c r="O339" i="1"/>
  <c r="P339" i="1"/>
  <c r="Q339" i="1"/>
  <c r="R339" i="1"/>
  <c r="S339" i="1"/>
  <c r="T339" i="1"/>
  <c r="U339" i="1"/>
  <c r="V339" i="1"/>
  <c r="W339" i="1"/>
  <c r="X339" i="1"/>
  <c r="Y339" i="1"/>
  <c r="Z339" i="1"/>
  <c r="AA339" i="1"/>
  <c r="AB339" i="1"/>
  <c r="H340" i="1"/>
  <c r="I340" i="1"/>
  <c r="J340" i="1"/>
  <c r="K340" i="1"/>
  <c r="L340" i="1"/>
  <c r="M340" i="1"/>
  <c r="N340" i="1"/>
  <c r="O340" i="1"/>
  <c r="P340" i="1"/>
  <c r="Q340" i="1"/>
  <c r="R340" i="1"/>
  <c r="S340" i="1"/>
  <c r="T340" i="1"/>
  <c r="U340" i="1"/>
  <c r="V340" i="1"/>
  <c r="W340" i="1"/>
  <c r="X340" i="1"/>
  <c r="Y340" i="1"/>
  <c r="Z340" i="1"/>
  <c r="AA340" i="1"/>
  <c r="AB340" i="1"/>
  <c r="H341" i="1"/>
  <c r="I341" i="1"/>
  <c r="J341" i="1"/>
  <c r="K341" i="1"/>
  <c r="L341" i="1"/>
  <c r="M341" i="1"/>
  <c r="N341" i="1"/>
  <c r="O341" i="1"/>
  <c r="P341" i="1"/>
  <c r="Q341" i="1"/>
  <c r="R341" i="1"/>
  <c r="S341" i="1"/>
  <c r="T341" i="1"/>
  <c r="U341" i="1"/>
  <c r="V341" i="1"/>
  <c r="W341" i="1"/>
  <c r="X341" i="1"/>
  <c r="Y341" i="1"/>
  <c r="Z341" i="1"/>
  <c r="AA341" i="1"/>
  <c r="AB341" i="1"/>
  <c r="H342" i="1"/>
  <c r="I342" i="1"/>
  <c r="J342" i="1"/>
  <c r="K342" i="1"/>
  <c r="L342" i="1"/>
  <c r="M342" i="1"/>
  <c r="N342" i="1"/>
  <c r="O342" i="1"/>
  <c r="P342" i="1"/>
  <c r="Q342" i="1"/>
  <c r="R342" i="1"/>
  <c r="S342" i="1"/>
  <c r="T342" i="1"/>
  <c r="U342" i="1"/>
  <c r="V342" i="1"/>
  <c r="W342" i="1"/>
  <c r="X342" i="1"/>
  <c r="Y342" i="1"/>
  <c r="Z342" i="1"/>
  <c r="AA342" i="1"/>
  <c r="AB342" i="1"/>
  <c r="H343" i="1"/>
  <c r="I343" i="1"/>
  <c r="J343" i="1"/>
  <c r="K343" i="1"/>
  <c r="L343" i="1"/>
  <c r="M343" i="1"/>
  <c r="N343" i="1"/>
  <c r="O343" i="1"/>
  <c r="P343" i="1"/>
  <c r="Q343" i="1"/>
  <c r="R343" i="1"/>
  <c r="S343" i="1"/>
  <c r="T343" i="1"/>
  <c r="U343" i="1"/>
  <c r="V343" i="1"/>
  <c r="W343" i="1"/>
  <c r="X343" i="1"/>
  <c r="Y343" i="1"/>
  <c r="Z343" i="1"/>
  <c r="AA343" i="1"/>
  <c r="AB343" i="1"/>
  <c r="H344" i="1"/>
  <c r="I344" i="1"/>
  <c r="J344" i="1"/>
  <c r="K344" i="1"/>
  <c r="L344" i="1"/>
  <c r="M344" i="1"/>
  <c r="N344" i="1"/>
  <c r="O344" i="1"/>
  <c r="P344" i="1"/>
  <c r="Q344" i="1"/>
  <c r="R344" i="1"/>
  <c r="S344" i="1"/>
  <c r="T344" i="1"/>
  <c r="U344" i="1"/>
  <c r="V344" i="1"/>
  <c r="W344" i="1"/>
  <c r="X344" i="1"/>
  <c r="Y344" i="1"/>
  <c r="Z344" i="1"/>
  <c r="AA344" i="1"/>
  <c r="AB344" i="1"/>
  <c r="H345" i="1"/>
  <c r="I345" i="1"/>
  <c r="J345" i="1"/>
  <c r="K345" i="1"/>
  <c r="L345" i="1"/>
  <c r="M345" i="1"/>
  <c r="N345" i="1"/>
  <c r="O345" i="1"/>
  <c r="P345" i="1"/>
  <c r="Q345" i="1"/>
  <c r="R345" i="1"/>
  <c r="S345" i="1"/>
  <c r="T345" i="1"/>
  <c r="U345" i="1"/>
  <c r="V345" i="1"/>
  <c r="W345" i="1"/>
  <c r="X345" i="1"/>
  <c r="Y345" i="1"/>
  <c r="Z345" i="1"/>
  <c r="AA345" i="1"/>
  <c r="AB345" i="1"/>
  <c r="H346" i="1"/>
  <c r="I346" i="1"/>
  <c r="J346" i="1"/>
  <c r="K346" i="1"/>
  <c r="L346" i="1"/>
  <c r="M346" i="1"/>
  <c r="N346" i="1"/>
  <c r="O346" i="1"/>
  <c r="P346" i="1"/>
  <c r="Q346" i="1"/>
  <c r="R346" i="1"/>
  <c r="S346" i="1"/>
  <c r="T346" i="1"/>
  <c r="U346" i="1"/>
  <c r="V346" i="1"/>
  <c r="W346" i="1"/>
  <c r="X346" i="1"/>
  <c r="Y346" i="1"/>
  <c r="Z346" i="1"/>
  <c r="AA346" i="1"/>
  <c r="AB346" i="1"/>
  <c r="H347" i="1"/>
  <c r="I347" i="1"/>
  <c r="J347" i="1"/>
  <c r="K347" i="1"/>
  <c r="L347" i="1"/>
  <c r="M347" i="1"/>
  <c r="N347" i="1"/>
  <c r="O347" i="1"/>
  <c r="P347" i="1"/>
  <c r="Q347" i="1"/>
  <c r="R347" i="1"/>
  <c r="S347" i="1"/>
  <c r="T347" i="1"/>
  <c r="U347" i="1"/>
  <c r="V347" i="1"/>
  <c r="W347" i="1"/>
  <c r="X347" i="1"/>
  <c r="Y347" i="1"/>
  <c r="Z347" i="1"/>
  <c r="AA347" i="1"/>
  <c r="AB347" i="1"/>
  <c r="H348" i="1"/>
  <c r="I348" i="1"/>
  <c r="J348" i="1"/>
  <c r="K348" i="1"/>
  <c r="L348" i="1"/>
  <c r="M348" i="1"/>
  <c r="N348" i="1"/>
  <c r="O348" i="1"/>
  <c r="P348" i="1"/>
  <c r="Q348" i="1"/>
  <c r="R348" i="1"/>
  <c r="S348" i="1"/>
  <c r="T348" i="1"/>
  <c r="U348" i="1"/>
  <c r="V348" i="1"/>
  <c r="W348" i="1"/>
  <c r="X348" i="1"/>
  <c r="Y348" i="1"/>
  <c r="Z348" i="1"/>
  <c r="AA348" i="1"/>
  <c r="AB348" i="1"/>
  <c r="H358" i="1"/>
  <c r="I358" i="1"/>
  <c r="J358" i="1"/>
  <c r="K358" i="1"/>
  <c r="L358" i="1"/>
  <c r="M358" i="1"/>
  <c r="N358" i="1"/>
  <c r="O358" i="1"/>
  <c r="P358" i="1"/>
  <c r="Q358" i="1"/>
  <c r="R358" i="1"/>
  <c r="S358" i="1"/>
  <c r="T358" i="1"/>
  <c r="U358" i="1"/>
  <c r="V358" i="1"/>
  <c r="W358" i="1"/>
  <c r="X358" i="1"/>
  <c r="Y358" i="1"/>
  <c r="Z358" i="1"/>
  <c r="AA358" i="1"/>
  <c r="AB358" i="1"/>
  <c r="H359" i="1"/>
  <c r="I359" i="1"/>
  <c r="J359" i="1"/>
  <c r="K359" i="1"/>
  <c r="L359" i="1"/>
  <c r="M359" i="1"/>
  <c r="N359" i="1"/>
  <c r="O359" i="1"/>
  <c r="P359" i="1"/>
  <c r="Q359" i="1"/>
  <c r="R359" i="1"/>
  <c r="S359" i="1"/>
  <c r="T359" i="1"/>
  <c r="U359" i="1"/>
  <c r="V359" i="1"/>
  <c r="W359" i="1"/>
  <c r="X359" i="1"/>
  <c r="Y359" i="1"/>
  <c r="Z359" i="1"/>
  <c r="AA359" i="1"/>
  <c r="AB359" i="1"/>
  <c r="H360" i="1"/>
  <c r="I360" i="1"/>
  <c r="J360" i="1"/>
  <c r="K360" i="1"/>
  <c r="L360" i="1"/>
  <c r="M360" i="1"/>
  <c r="N360" i="1"/>
  <c r="O360" i="1"/>
  <c r="P360" i="1"/>
  <c r="Q360" i="1"/>
  <c r="R360" i="1"/>
  <c r="S360" i="1"/>
  <c r="T360" i="1"/>
  <c r="U360" i="1"/>
  <c r="V360" i="1"/>
  <c r="W360" i="1"/>
  <c r="X360" i="1"/>
  <c r="Y360" i="1"/>
  <c r="Z360" i="1"/>
  <c r="AA360" i="1"/>
  <c r="AB360" i="1"/>
  <c r="H361" i="1"/>
  <c r="I361" i="1"/>
  <c r="J361" i="1"/>
  <c r="K361" i="1"/>
  <c r="L361" i="1"/>
  <c r="M361" i="1"/>
  <c r="N361" i="1"/>
  <c r="O361" i="1"/>
  <c r="P361" i="1"/>
  <c r="Q361" i="1"/>
  <c r="R361" i="1"/>
  <c r="S361" i="1"/>
  <c r="T361" i="1"/>
  <c r="U361" i="1"/>
  <c r="V361" i="1"/>
  <c r="W361" i="1"/>
  <c r="X361" i="1"/>
  <c r="Y361" i="1"/>
  <c r="Z361" i="1"/>
  <c r="AA361" i="1"/>
  <c r="AB361" i="1"/>
  <c r="H362" i="1"/>
  <c r="I362" i="1"/>
  <c r="J362" i="1"/>
  <c r="K362" i="1"/>
  <c r="L362" i="1"/>
  <c r="M362" i="1"/>
  <c r="N362" i="1"/>
  <c r="O362" i="1"/>
  <c r="P362" i="1"/>
  <c r="Q362" i="1"/>
  <c r="R362" i="1"/>
  <c r="S362" i="1"/>
  <c r="T362" i="1"/>
  <c r="U362" i="1"/>
  <c r="V362" i="1"/>
  <c r="W362" i="1"/>
  <c r="X362" i="1"/>
  <c r="Y362" i="1"/>
  <c r="Z362" i="1"/>
  <c r="AA362" i="1"/>
  <c r="AB362" i="1"/>
  <c r="H363" i="1"/>
  <c r="I363" i="1"/>
  <c r="J363" i="1"/>
  <c r="K363" i="1"/>
  <c r="L363" i="1"/>
  <c r="M363" i="1"/>
  <c r="N363" i="1"/>
  <c r="O363" i="1"/>
  <c r="P363" i="1"/>
  <c r="Q363" i="1"/>
  <c r="R363" i="1"/>
  <c r="S363" i="1"/>
  <c r="T363" i="1"/>
  <c r="U363" i="1"/>
  <c r="V363" i="1"/>
  <c r="W363" i="1"/>
  <c r="X363" i="1"/>
  <c r="Y363" i="1"/>
  <c r="Z363" i="1"/>
  <c r="AA363" i="1"/>
  <c r="AB363" i="1"/>
  <c r="H364" i="1"/>
  <c r="I364" i="1"/>
  <c r="J364" i="1"/>
  <c r="K364" i="1"/>
  <c r="L364" i="1"/>
  <c r="M364" i="1"/>
  <c r="N364" i="1"/>
  <c r="O364" i="1"/>
  <c r="P364" i="1"/>
  <c r="Q364" i="1"/>
  <c r="R364" i="1"/>
  <c r="S364" i="1"/>
  <c r="T364" i="1"/>
  <c r="U364" i="1"/>
  <c r="V364" i="1"/>
  <c r="W364" i="1"/>
  <c r="X364" i="1"/>
  <c r="Y364" i="1"/>
  <c r="Z364" i="1"/>
  <c r="AA364" i="1"/>
  <c r="AB364" i="1"/>
  <c r="H365" i="1"/>
  <c r="I365" i="1"/>
  <c r="J365" i="1"/>
  <c r="K365" i="1"/>
  <c r="L365" i="1"/>
  <c r="M365" i="1"/>
  <c r="N365" i="1"/>
  <c r="O365" i="1"/>
  <c r="P365" i="1"/>
  <c r="Q365" i="1"/>
  <c r="R365" i="1"/>
  <c r="S365" i="1"/>
  <c r="T365" i="1"/>
  <c r="U365" i="1"/>
  <c r="V365" i="1"/>
  <c r="W365" i="1"/>
  <c r="X365" i="1"/>
  <c r="Y365" i="1"/>
  <c r="Z365" i="1"/>
  <c r="AA365" i="1"/>
  <c r="AB365" i="1"/>
  <c r="H366" i="1"/>
  <c r="I366" i="1"/>
  <c r="J366" i="1"/>
  <c r="K366" i="1"/>
  <c r="L366" i="1"/>
  <c r="M366" i="1"/>
  <c r="N366" i="1"/>
  <c r="O366" i="1"/>
  <c r="P366" i="1"/>
  <c r="Q366" i="1"/>
  <c r="R366" i="1"/>
  <c r="S366" i="1"/>
  <c r="T366" i="1"/>
  <c r="U366" i="1"/>
  <c r="V366" i="1"/>
  <c r="W366" i="1"/>
  <c r="X366" i="1"/>
  <c r="Y366" i="1"/>
  <c r="Z366" i="1"/>
  <c r="AA366" i="1"/>
  <c r="AB366" i="1"/>
  <c r="H367" i="1"/>
  <c r="I367" i="1"/>
  <c r="J367" i="1"/>
  <c r="K367" i="1"/>
  <c r="L367" i="1"/>
  <c r="M367" i="1"/>
  <c r="N367" i="1"/>
  <c r="O367" i="1"/>
  <c r="P367" i="1"/>
  <c r="Q367" i="1"/>
  <c r="R367" i="1"/>
  <c r="S367" i="1"/>
  <c r="T367" i="1"/>
  <c r="U367" i="1"/>
  <c r="V367" i="1"/>
  <c r="W367" i="1"/>
  <c r="X367" i="1"/>
  <c r="Y367" i="1"/>
  <c r="Z367" i="1"/>
  <c r="AA367" i="1"/>
  <c r="AB367" i="1"/>
  <c r="H368" i="1"/>
  <c r="I368" i="1"/>
  <c r="J368" i="1"/>
  <c r="K368" i="1"/>
  <c r="L368" i="1"/>
  <c r="M368" i="1"/>
  <c r="N368" i="1"/>
  <c r="O368" i="1"/>
  <c r="P368" i="1"/>
  <c r="Q368" i="1"/>
  <c r="R368" i="1"/>
  <c r="S368" i="1"/>
  <c r="T368" i="1"/>
  <c r="U368" i="1"/>
  <c r="V368" i="1"/>
  <c r="W368" i="1"/>
  <c r="X368" i="1"/>
  <c r="Y368" i="1"/>
  <c r="Z368" i="1"/>
  <c r="AA368" i="1"/>
  <c r="AB368" i="1"/>
  <c r="H369" i="1"/>
  <c r="I369" i="1"/>
  <c r="J369" i="1"/>
  <c r="K369" i="1"/>
  <c r="L369" i="1"/>
  <c r="M369" i="1"/>
  <c r="N369" i="1"/>
  <c r="O369" i="1"/>
  <c r="P369" i="1"/>
  <c r="Q369" i="1"/>
  <c r="R369" i="1"/>
  <c r="S369" i="1"/>
  <c r="T369" i="1"/>
  <c r="U369" i="1"/>
  <c r="V369" i="1"/>
  <c r="W369" i="1"/>
  <c r="X369" i="1"/>
  <c r="Y369" i="1"/>
  <c r="Z369" i="1"/>
  <c r="AA369" i="1"/>
  <c r="AB369" i="1"/>
  <c r="H370" i="1"/>
  <c r="I370" i="1"/>
  <c r="J370" i="1"/>
  <c r="K370" i="1"/>
  <c r="L370" i="1"/>
  <c r="M370" i="1"/>
  <c r="N370" i="1"/>
  <c r="O370" i="1"/>
  <c r="P370" i="1"/>
  <c r="Q370" i="1"/>
  <c r="R370" i="1"/>
  <c r="S370" i="1"/>
  <c r="T370" i="1"/>
  <c r="U370" i="1"/>
  <c r="V370" i="1"/>
  <c r="W370" i="1"/>
  <c r="X370" i="1"/>
  <c r="Y370" i="1"/>
  <c r="Z370" i="1"/>
  <c r="AA370" i="1"/>
  <c r="AB370" i="1"/>
  <c r="H371" i="1"/>
  <c r="I371" i="1"/>
  <c r="J371" i="1"/>
  <c r="K371" i="1"/>
  <c r="L371" i="1"/>
  <c r="M371" i="1"/>
  <c r="N371" i="1"/>
  <c r="O371" i="1"/>
  <c r="P371" i="1"/>
  <c r="Q371" i="1"/>
  <c r="R371" i="1"/>
  <c r="S371" i="1"/>
  <c r="T371" i="1"/>
  <c r="U371" i="1"/>
  <c r="V371" i="1"/>
  <c r="W371" i="1"/>
  <c r="X371" i="1"/>
  <c r="Y371" i="1"/>
  <c r="Z371" i="1"/>
  <c r="AA371" i="1"/>
  <c r="AB371" i="1"/>
  <c r="H372" i="1"/>
  <c r="I372" i="1"/>
  <c r="J372" i="1"/>
  <c r="K372" i="1"/>
  <c r="L372" i="1"/>
  <c r="M372" i="1"/>
  <c r="N372" i="1"/>
  <c r="O372" i="1"/>
  <c r="P372" i="1"/>
  <c r="Q372" i="1"/>
  <c r="R372" i="1"/>
  <c r="S372" i="1"/>
  <c r="T372" i="1"/>
  <c r="U372" i="1"/>
  <c r="V372" i="1"/>
  <c r="W372" i="1"/>
  <c r="X372" i="1"/>
  <c r="Y372" i="1"/>
  <c r="Z372" i="1"/>
  <c r="AA372" i="1"/>
  <c r="AB372" i="1"/>
  <c r="H373" i="1"/>
  <c r="I373" i="1"/>
  <c r="J373" i="1"/>
  <c r="K373" i="1"/>
  <c r="L373" i="1"/>
  <c r="M373" i="1"/>
  <c r="N373" i="1"/>
  <c r="O373" i="1"/>
  <c r="P373" i="1"/>
  <c r="Q373" i="1"/>
  <c r="R373" i="1"/>
  <c r="S373" i="1"/>
  <c r="T373" i="1"/>
  <c r="U373" i="1"/>
  <c r="V373" i="1"/>
  <c r="W373" i="1"/>
  <c r="X373" i="1"/>
  <c r="Y373" i="1"/>
  <c r="Z373" i="1"/>
  <c r="AA373" i="1"/>
  <c r="AB373" i="1"/>
  <c r="H374" i="1"/>
  <c r="I374" i="1"/>
  <c r="J374" i="1"/>
  <c r="K374" i="1"/>
  <c r="L374" i="1"/>
  <c r="M374" i="1"/>
  <c r="N374" i="1"/>
  <c r="O374" i="1"/>
  <c r="P374" i="1"/>
  <c r="Q374" i="1"/>
  <c r="R374" i="1"/>
  <c r="S374" i="1"/>
  <c r="T374" i="1"/>
  <c r="U374" i="1"/>
  <c r="V374" i="1"/>
  <c r="W374" i="1"/>
  <c r="X374" i="1"/>
  <c r="Y374" i="1"/>
  <c r="Z374" i="1"/>
  <c r="AA374" i="1"/>
  <c r="AB374" i="1"/>
  <c r="H375" i="1"/>
  <c r="I375" i="1"/>
  <c r="J375" i="1"/>
  <c r="K375" i="1"/>
  <c r="L375" i="1"/>
  <c r="M375" i="1"/>
  <c r="N375" i="1"/>
  <c r="O375" i="1"/>
  <c r="P375" i="1"/>
  <c r="Q375" i="1"/>
  <c r="R375" i="1"/>
  <c r="S375" i="1"/>
  <c r="T375" i="1"/>
  <c r="U375" i="1"/>
  <c r="V375" i="1"/>
  <c r="W375" i="1"/>
  <c r="X375" i="1"/>
  <c r="Y375" i="1"/>
  <c r="Z375" i="1"/>
  <c r="AA375" i="1"/>
  <c r="AB375" i="1"/>
  <c r="H376" i="1"/>
  <c r="I376" i="1"/>
  <c r="J376" i="1"/>
  <c r="K376" i="1"/>
  <c r="L376" i="1"/>
  <c r="M376" i="1"/>
  <c r="N376" i="1"/>
  <c r="O376" i="1"/>
  <c r="P376" i="1"/>
  <c r="Q376" i="1"/>
  <c r="R376" i="1"/>
  <c r="S376" i="1"/>
  <c r="T376" i="1"/>
  <c r="U376" i="1"/>
  <c r="V376" i="1"/>
  <c r="W376" i="1"/>
  <c r="X376" i="1"/>
  <c r="Y376" i="1"/>
  <c r="Z376" i="1"/>
  <c r="AA376" i="1"/>
  <c r="AB376" i="1"/>
  <c r="H377" i="1"/>
  <c r="I377" i="1"/>
  <c r="J377" i="1"/>
  <c r="K377" i="1"/>
  <c r="L377" i="1"/>
  <c r="M377" i="1"/>
  <c r="N377" i="1"/>
  <c r="O377" i="1"/>
  <c r="P377" i="1"/>
  <c r="Q377" i="1"/>
  <c r="R377" i="1"/>
  <c r="S377" i="1"/>
  <c r="T377" i="1"/>
  <c r="U377" i="1"/>
  <c r="V377" i="1"/>
  <c r="W377" i="1"/>
  <c r="X377" i="1"/>
  <c r="Y377" i="1"/>
  <c r="Z377" i="1"/>
  <c r="AA377" i="1"/>
  <c r="AB377" i="1"/>
  <c r="H378" i="1"/>
  <c r="I378" i="1"/>
  <c r="J378" i="1"/>
  <c r="K378" i="1"/>
  <c r="L378" i="1"/>
  <c r="M378" i="1"/>
  <c r="N378" i="1"/>
  <c r="O378" i="1"/>
  <c r="P378" i="1"/>
  <c r="Q378" i="1"/>
  <c r="R378" i="1"/>
  <c r="S378" i="1"/>
  <c r="T378" i="1"/>
  <c r="U378" i="1"/>
  <c r="V378" i="1"/>
  <c r="W378" i="1"/>
  <c r="X378" i="1"/>
  <c r="Y378" i="1"/>
  <c r="Z378" i="1"/>
  <c r="AA378" i="1"/>
  <c r="AB378" i="1"/>
  <c r="H379" i="1"/>
  <c r="I379" i="1"/>
  <c r="J379" i="1"/>
  <c r="K379" i="1"/>
  <c r="L379" i="1"/>
  <c r="M379" i="1"/>
  <c r="N379" i="1"/>
  <c r="O379" i="1"/>
  <c r="P379" i="1"/>
  <c r="Q379" i="1"/>
  <c r="R379" i="1"/>
  <c r="S379" i="1"/>
  <c r="T379" i="1"/>
  <c r="U379" i="1"/>
  <c r="V379" i="1"/>
  <c r="W379" i="1"/>
  <c r="X379" i="1"/>
  <c r="Y379" i="1"/>
  <c r="Z379" i="1"/>
  <c r="AA379" i="1"/>
  <c r="AB379" i="1"/>
  <c r="H380" i="1"/>
  <c r="I380" i="1"/>
  <c r="J380" i="1"/>
  <c r="K380" i="1"/>
  <c r="L380" i="1"/>
  <c r="M380" i="1"/>
  <c r="N380" i="1"/>
  <c r="O380" i="1"/>
  <c r="P380" i="1"/>
  <c r="Q380" i="1"/>
  <c r="R380" i="1"/>
  <c r="S380" i="1"/>
  <c r="T380" i="1"/>
  <c r="U380" i="1"/>
  <c r="V380" i="1"/>
  <c r="W380" i="1"/>
  <c r="X380" i="1"/>
  <c r="Y380" i="1"/>
  <c r="Z380" i="1"/>
  <c r="AA380" i="1"/>
  <c r="AB380" i="1"/>
  <c r="H381" i="1"/>
  <c r="I381" i="1"/>
  <c r="J381" i="1"/>
  <c r="K381" i="1"/>
  <c r="L381" i="1"/>
  <c r="M381" i="1"/>
  <c r="N381" i="1"/>
  <c r="O381" i="1"/>
  <c r="P381" i="1"/>
  <c r="Q381" i="1"/>
  <c r="R381" i="1"/>
  <c r="S381" i="1"/>
  <c r="T381" i="1"/>
  <c r="U381" i="1"/>
  <c r="V381" i="1"/>
  <c r="W381" i="1"/>
  <c r="X381" i="1"/>
  <c r="Y381" i="1"/>
  <c r="Z381" i="1"/>
  <c r="AA381" i="1"/>
  <c r="AB381" i="1"/>
  <c r="H382" i="1"/>
  <c r="I382" i="1"/>
  <c r="J382" i="1"/>
  <c r="K382" i="1"/>
  <c r="L382" i="1"/>
  <c r="M382" i="1"/>
  <c r="N382" i="1"/>
  <c r="O382" i="1"/>
  <c r="P382" i="1"/>
  <c r="Q382" i="1"/>
  <c r="R382" i="1"/>
  <c r="S382" i="1"/>
  <c r="T382" i="1"/>
  <c r="U382" i="1"/>
  <c r="V382" i="1"/>
  <c r="W382" i="1"/>
  <c r="X382" i="1"/>
  <c r="Y382" i="1"/>
  <c r="Z382" i="1"/>
  <c r="AA382" i="1"/>
  <c r="AB382" i="1"/>
  <c r="H383" i="1"/>
  <c r="I383" i="1"/>
  <c r="J383" i="1"/>
  <c r="K383" i="1"/>
  <c r="L383" i="1"/>
  <c r="M383" i="1"/>
  <c r="N383" i="1"/>
  <c r="O383" i="1"/>
  <c r="P383" i="1"/>
  <c r="Q383" i="1"/>
  <c r="R383" i="1"/>
  <c r="S383" i="1"/>
  <c r="T383" i="1"/>
  <c r="U383" i="1"/>
  <c r="V383" i="1"/>
  <c r="W383" i="1"/>
  <c r="X383" i="1"/>
  <c r="Y383" i="1"/>
  <c r="Z383" i="1"/>
  <c r="AA383" i="1"/>
  <c r="AB383" i="1"/>
  <c r="H384" i="1"/>
  <c r="I384" i="1"/>
  <c r="J384" i="1"/>
  <c r="K384" i="1"/>
  <c r="L384" i="1"/>
  <c r="M384" i="1"/>
  <c r="N384" i="1"/>
  <c r="O384" i="1"/>
  <c r="P384" i="1"/>
  <c r="Q384" i="1"/>
  <c r="R384" i="1"/>
  <c r="S384" i="1"/>
  <c r="T384" i="1"/>
  <c r="U384" i="1"/>
  <c r="V384" i="1"/>
  <c r="W384" i="1"/>
  <c r="X384" i="1"/>
  <c r="Y384" i="1"/>
  <c r="Z384" i="1"/>
  <c r="AA384" i="1"/>
  <c r="AB384" i="1"/>
  <c r="H385" i="1"/>
  <c r="I385" i="1"/>
  <c r="J385" i="1"/>
  <c r="K385" i="1"/>
  <c r="L385" i="1"/>
  <c r="M385" i="1"/>
  <c r="N385" i="1"/>
  <c r="O385" i="1"/>
  <c r="P385" i="1"/>
  <c r="Q385" i="1"/>
  <c r="R385" i="1"/>
  <c r="S385" i="1"/>
  <c r="T385" i="1"/>
  <c r="U385" i="1"/>
  <c r="V385" i="1"/>
  <c r="W385" i="1"/>
  <c r="X385" i="1"/>
  <c r="Y385" i="1"/>
  <c r="Z385" i="1"/>
  <c r="AA385" i="1"/>
  <c r="AB385" i="1"/>
  <c r="H386" i="1"/>
  <c r="I386" i="1"/>
  <c r="J386" i="1"/>
  <c r="K386" i="1"/>
  <c r="L386" i="1"/>
  <c r="M386" i="1"/>
  <c r="N386" i="1"/>
  <c r="O386" i="1"/>
  <c r="P386" i="1"/>
  <c r="Q386" i="1"/>
  <c r="R386" i="1"/>
  <c r="S386" i="1"/>
  <c r="T386" i="1"/>
  <c r="U386" i="1"/>
  <c r="V386" i="1"/>
  <c r="W386" i="1"/>
  <c r="X386" i="1"/>
  <c r="Y386" i="1"/>
  <c r="Z386" i="1"/>
  <c r="AA386" i="1"/>
  <c r="AB386" i="1"/>
  <c r="H387" i="1"/>
  <c r="I387" i="1"/>
  <c r="J387" i="1"/>
  <c r="K387" i="1"/>
  <c r="L387" i="1"/>
  <c r="M387" i="1"/>
  <c r="N387" i="1"/>
  <c r="O387" i="1"/>
  <c r="P387" i="1"/>
  <c r="Q387" i="1"/>
  <c r="R387" i="1"/>
  <c r="S387" i="1"/>
  <c r="T387" i="1"/>
  <c r="U387" i="1"/>
  <c r="V387" i="1"/>
  <c r="W387" i="1"/>
  <c r="X387" i="1"/>
  <c r="Y387" i="1"/>
  <c r="Z387" i="1"/>
  <c r="AA387" i="1"/>
  <c r="AB387" i="1"/>
  <c r="H388" i="1"/>
  <c r="I388" i="1"/>
  <c r="J388" i="1"/>
  <c r="K388" i="1"/>
  <c r="L388" i="1"/>
  <c r="M388" i="1"/>
  <c r="N388" i="1"/>
  <c r="O388" i="1"/>
  <c r="P388" i="1"/>
  <c r="Q388" i="1"/>
  <c r="R388" i="1"/>
  <c r="S388" i="1"/>
  <c r="T388" i="1"/>
  <c r="U388" i="1"/>
  <c r="V388" i="1"/>
  <c r="W388" i="1"/>
  <c r="X388" i="1"/>
  <c r="Y388" i="1"/>
  <c r="Z388" i="1"/>
  <c r="AA388" i="1"/>
  <c r="AB388" i="1"/>
  <c r="H389" i="1"/>
  <c r="I389" i="1"/>
  <c r="J389" i="1"/>
  <c r="K389" i="1"/>
  <c r="L389" i="1"/>
  <c r="M389" i="1"/>
  <c r="N389" i="1"/>
  <c r="O389" i="1"/>
  <c r="P389" i="1"/>
  <c r="Q389" i="1"/>
  <c r="R389" i="1"/>
  <c r="S389" i="1"/>
  <c r="T389" i="1"/>
  <c r="U389" i="1"/>
  <c r="V389" i="1"/>
  <c r="W389" i="1"/>
  <c r="X389" i="1"/>
  <c r="Y389" i="1"/>
  <c r="Z389" i="1"/>
  <c r="AA389" i="1"/>
  <c r="AB389" i="1"/>
  <c r="H390" i="1"/>
  <c r="I390" i="1"/>
  <c r="J390" i="1"/>
  <c r="K390" i="1"/>
  <c r="L390" i="1"/>
  <c r="M390" i="1"/>
  <c r="N390" i="1"/>
  <c r="O390" i="1"/>
  <c r="P390" i="1"/>
  <c r="Q390" i="1"/>
  <c r="R390" i="1"/>
  <c r="S390" i="1"/>
  <c r="T390" i="1"/>
  <c r="U390" i="1"/>
  <c r="V390" i="1"/>
  <c r="W390" i="1"/>
  <c r="X390" i="1"/>
  <c r="Y390" i="1"/>
  <c r="Z390" i="1"/>
  <c r="AA390" i="1"/>
  <c r="AB390" i="1"/>
  <c r="H391" i="1"/>
  <c r="I391" i="1"/>
  <c r="J391" i="1"/>
  <c r="K391" i="1"/>
  <c r="L391" i="1"/>
  <c r="M391" i="1"/>
  <c r="N391" i="1"/>
  <c r="O391" i="1"/>
  <c r="P391" i="1"/>
  <c r="Q391" i="1"/>
  <c r="R391" i="1"/>
  <c r="S391" i="1"/>
  <c r="T391" i="1"/>
  <c r="U391" i="1"/>
  <c r="V391" i="1"/>
  <c r="W391" i="1"/>
  <c r="X391" i="1"/>
  <c r="Y391" i="1"/>
  <c r="Z391" i="1"/>
  <c r="AA391" i="1"/>
  <c r="AB391" i="1"/>
  <c r="H392" i="1"/>
  <c r="I392" i="1"/>
  <c r="J392" i="1"/>
  <c r="K392" i="1"/>
  <c r="L392" i="1"/>
  <c r="M392" i="1"/>
  <c r="N392" i="1"/>
  <c r="O392" i="1"/>
  <c r="P392" i="1"/>
  <c r="Q392" i="1"/>
  <c r="R392" i="1"/>
  <c r="S392" i="1"/>
  <c r="T392" i="1"/>
  <c r="U392" i="1"/>
  <c r="V392" i="1"/>
  <c r="W392" i="1"/>
  <c r="X392" i="1"/>
  <c r="Y392" i="1"/>
  <c r="Z392" i="1"/>
  <c r="AA392" i="1"/>
  <c r="AB392" i="1"/>
  <c r="H393" i="1"/>
  <c r="I393" i="1"/>
  <c r="J393" i="1"/>
  <c r="K393" i="1"/>
  <c r="L393" i="1"/>
  <c r="M393" i="1"/>
  <c r="N393" i="1"/>
  <c r="O393" i="1"/>
  <c r="P393" i="1"/>
  <c r="Q393" i="1"/>
  <c r="R393" i="1"/>
  <c r="S393" i="1"/>
  <c r="T393" i="1"/>
  <c r="U393" i="1"/>
  <c r="V393" i="1"/>
  <c r="W393" i="1"/>
  <c r="X393" i="1"/>
  <c r="Y393" i="1"/>
  <c r="Z393" i="1"/>
  <c r="AA393" i="1"/>
  <c r="AB393" i="1"/>
  <c r="H394" i="1"/>
  <c r="I394" i="1"/>
  <c r="J394" i="1"/>
  <c r="K394" i="1"/>
  <c r="L394" i="1"/>
  <c r="M394" i="1"/>
  <c r="N394" i="1"/>
  <c r="O394" i="1"/>
  <c r="P394" i="1"/>
  <c r="Q394" i="1"/>
  <c r="R394" i="1"/>
  <c r="S394" i="1"/>
  <c r="T394" i="1"/>
  <c r="U394" i="1"/>
  <c r="V394" i="1"/>
  <c r="W394" i="1"/>
  <c r="X394" i="1"/>
  <c r="Y394" i="1"/>
  <c r="Z394" i="1"/>
  <c r="AA394" i="1"/>
  <c r="AB394" i="1"/>
  <c r="H395" i="1"/>
  <c r="I395" i="1"/>
  <c r="J395" i="1"/>
  <c r="K395" i="1"/>
  <c r="L395" i="1"/>
  <c r="M395" i="1"/>
  <c r="N395" i="1"/>
  <c r="O395" i="1"/>
  <c r="P395" i="1"/>
  <c r="Q395" i="1"/>
  <c r="R395" i="1"/>
  <c r="S395" i="1"/>
  <c r="T395" i="1"/>
  <c r="U395" i="1"/>
  <c r="V395" i="1"/>
  <c r="W395" i="1"/>
  <c r="X395" i="1"/>
  <c r="Y395" i="1"/>
  <c r="Z395" i="1"/>
  <c r="AA395" i="1"/>
  <c r="AB395" i="1"/>
  <c r="H396" i="1"/>
  <c r="I396" i="1"/>
  <c r="J396" i="1"/>
  <c r="K396" i="1"/>
  <c r="L396" i="1"/>
  <c r="M396" i="1"/>
  <c r="N396" i="1"/>
  <c r="O396" i="1"/>
  <c r="P396" i="1"/>
  <c r="Q396" i="1"/>
  <c r="R396" i="1"/>
  <c r="S396" i="1"/>
  <c r="T396" i="1"/>
  <c r="U396" i="1"/>
  <c r="V396" i="1"/>
  <c r="W396" i="1"/>
  <c r="X396" i="1"/>
  <c r="Y396" i="1"/>
  <c r="Z396" i="1"/>
  <c r="AA396" i="1"/>
  <c r="AB396" i="1"/>
  <c r="H397" i="1"/>
  <c r="I397" i="1"/>
  <c r="J397" i="1"/>
  <c r="K397" i="1"/>
  <c r="L397" i="1"/>
  <c r="M397" i="1"/>
  <c r="N397" i="1"/>
  <c r="O397" i="1"/>
  <c r="P397" i="1"/>
  <c r="Q397" i="1"/>
  <c r="R397" i="1"/>
  <c r="S397" i="1"/>
  <c r="T397" i="1"/>
  <c r="U397" i="1"/>
  <c r="V397" i="1"/>
  <c r="W397" i="1"/>
  <c r="X397" i="1"/>
  <c r="Y397" i="1"/>
  <c r="Z397" i="1"/>
  <c r="AA397" i="1"/>
  <c r="AB397" i="1"/>
  <c r="H398" i="1"/>
  <c r="I398" i="1"/>
  <c r="J398" i="1"/>
  <c r="K398" i="1"/>
  <c r="L398" i="1"/>
  <c r="M398" i="1"/>
  <c r="N398" i="1"/>
  <c r="O398" i="1"/>
  <c r="P398" i="1"/>
  <c r="Q398" i="1"/>
  <c r="R398" i="1"/>
  <c r="S398" i="1"/>
  <c r="T398" i="1"/>
  <c r="U398" i="1"/>
  <c r="V398" i="1"/>
  <c r="W398" i="1"/>
  <c r="X398" i="1"/>
  <c r="Y398" i="1"/>
  <c r="Z398" i="1"/>
  <c r="AA398" i="1"/>
  <c r="AB398" i="1"/>
</calcChain>
</file>

<file path=xl/comments1.xml><?xml version="1.0" encoding="utf-8"?>
<comments xmlns="http://schemas.openxmlformats.org/spreadsheetml/2006/main">
  <authors>
    <author>Windows XP</author>
  </authors>
  <commentList>
    <comment ref="A2" authorId="0">
      <text>
        <r>
          <rPr>
            <b/>
            <sz val="8"/>
            <color indexed="81"/>
            <rFont val="Tahoma"/>
            <family val="2"/>
          </rPr>
          <t>módulo de elasticidad</t>
        </r>
      </text>
    </comment>
    <comment ref="A3" authorId="0">
      <text>
        <r>
          <rPr>
            <b/>
            <sz val="8"/>
            <color indexed="81"/>
            <rFont val="Tahoma"/>
            <family val="2"/>
          </rPr>
          <t>coeficiente de Poisson</t>
        </r>
      </text>
    </comment>
    <comment ref="A4" authorId="0">
      <text>
        <r>
          <rPr>
            <b/>
            <sz val="8"/>
            <color indexed="81"/>
            <rFont val="Tahoma"/>
            <family val="2"/>
          </rPr>
          <t>rigidez a la flexión de la placa</t>
        </r>
      </text>
    </comment>
    <comment ref="A7" authorId="0">
      <text>
        <r>
          <rPr>
            <b/>
            <sz val="8"/>
            <color indexed="81"/>
            <rFont val="Tahoma"/>
            <family val="2"/>
          </rPr>
          <t>espesor</t>
        </r>
      </text>
    </comment>
    <comment ref="A8" authorId="0">
      <text>
        <r>
          <rPr>
            <b/>
            <sz val="8"/>
            <color indexed="81"/>
            <rFont val="Tahoma"/>
            <family val="2"/>
          </rPr>
          <t>a,b son el ancho en la dirección x y en la dirección y de la placa</t>
        </r>
      </text>
    </comment>
    <comment ref="A13" authorId="0">
      <text>
        <r>
          <rPr>
            <b/>
            <sz val="8"/>
            <color indexed="81"/>
            <rFont val="Tahoma"/>
            <family val="2"/>
          </rPr>
          <t>u,v son el ancho en la dirección x y en la dirección y de la carga distribuída</t>
        </r>
      </text>
    </comment>
    <comment ref="A15" authorId="0">
      <text>
        <r>
          <rPr>
            <b/>
            <sz val="8"/>
            <color indexed="81"/>
            <rFont val="Tahoma"/>
            <family val="2"/>
          </rPr>
          <t>(xi,eta) representa el centro de la carga distribuída</t>
        </r>
      </text>
    </comment>
  </commentList>
</comments>
</file>

<file path=xl/sharedStrings.xml><?xml version="1.0" encoding="utf-8"?>
<sst xmlns="http://schemas.openxmlformats.org/spreadsheetml/2006/main" count="53" uniqueCount="34">
  <si>
    <t>Material</t>
  </si>
  <si>
    <t>E =</t>
  </si>
  <si>
    <t xml:space="preserve">D = </t>
  </si>
  <si>
    <t xml:space="preserve">Losa = </t>
  </si>
  <si>
    <t>a  =</t>
  </si>
  <si>
    <t xml:space="preserve">b = </t>
  </si>
  <si>
    <t xml:space="preserve">u = </t>
  </si>
  <si>
    <t xml:space="preserve">v = </t>
  </si>
  <si>
    <t>xi =</t>
  </si>
  <si>
    <t>eta =</t>
  </si>
  <si>
    <t>Carga</t>
  </si>
  <si>
    <t>nu =</t>
  </si>
  <si>
    <t>t =</t>
  </si>
  <si>
    <t>p =</t>
  </si>
  <si>
    <t>m</t>
  </si>
  <si>
    <t xml:space="preserve">delta = </t>
  </si>
  <si>
    <t>Eje y</t>
  </si>
  <si>
    <t>Eje X</t>
  </si>
  <si>
    <t>Momento Mx</t>
  </si>
  <si>
    <t>Momento My</t>
  </si>
  <si>
    <t>Momento Mxy</t>
  </si>
  <si>
    <t>Pa</t>
  </si>
  <si>
    <t>N/m^2</t>
  </si>
  <si>
    <t>Para hacer las iteraciones</t>
  </si>
  <si>
    <t>más rápido en vez de utilizar</t>
  </si>
  <si>
    <t>el botón F9 utilice el botón</t>
  </si>
  <si>
    <t>Hacer iteraciones:</t>
  </si>
  <si>
    <t>El código de dicho botón se puede ver</t>
  </si>
  <si>
    <r>
      <t xml:space="preserve">presionando </t>
    </r>
    <r>
      <rPr>
        <b/>
        <sz val="11"/>
        <color rgb="FFFF0000"/>
        <rFont val="Calibri"/>
        <family val="2"/>
      </rPr>
      <t>Alt+F11</t>
    </r>
  </si>
  <si>
    <t>Fuerza cortante Qx</t>
  </si>
  <si>
    <t>Fuerza cortante Qy</t>
  </si>
  <si>
    <t>Laplaciano de w</t>
  </si>
  <si>
    <t>p = Carga (N/m^2)</t>
  </si>
  <si>
    <t>Deformación vertical w calculada por diferencias finitas (losa empotrada a la izquierda, borde libre a la derecha, simplemente apoyada arriba y abajo)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</si>
</sst>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8"/>
      <color indexed="81"/>
      <name val="Tahoma"/>
      <family val="2"/>
    </font>
    <font>
      <b/>
      <sz val="11"/>
      <color rgb="FFFF0000"/>
      <name val="Calibri"/>
      <family val="2"/>
    </font>
    <font>
      <b/>
      <sz val="16"/>
      <color rgb="FF000000"/>
      <name val="Calibri"/>
      <family val="2"/>
    </font>
    <font>
      <b/>
      <u/>
      <sz val="14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164" fontId="0" fillId="2" borderId="0" xfId="0" applyNumberForma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6" borderId="0" xfId="0" applyFill="1"/>
    <xf numFmtId="11" fontId="0" fillId="0" borderId="0" xfId="0" applyNumberFormat="1"/>
    <xf numFmtId="0" fontId="0" fillId="4" borderId="0" xfId="0" applyFill="1" applyAlignment="1">
      <alignment shrinkToFit="1"/>
    </xf>
    <xf numFmtId="0" fontId="0" fillId="3" borderId="0" xfId="0" applyFill="1" applyAlignment="1">
      <alignment shrinkToFit="1"/>
    </xf>
    <xf numFmtId="0" fontId="0" fillId="6" borderId="0" xfId="0" applyFill="1" applyAlignment="1">
      <alignment shrinkToFit="1"/>
    </xf>
    <xf numFmtId="0" fontId="0" fillId="7" borderId="0" xfId="0" applyFill="1"/>
    <xf numFmtId="11" fontId="0" fillId="5" borderId="0" xfId="0" applyNumberFormat="1" applyFill="1" applyAlignment="1">
      <alignment shrinkToFit="1"/>
    </xf>
    <xf numFmtId="0" fontId="5" fillId="0" borderId="0" xfId="0" applyFont="1"/>
    <xf numFmtId="0" fontId="0" fillId="8" borderId="0" xfId="0" applyFill="1" applyAlignment="1">
      <alignment shrinkToFit="1"/>
    </xf>
    <xf numFmtId="0" fontId="0" fillId="9" borderId="0" xfId="0" applyFill="1"/>
    <xf numFmtId="11" fontId="0" fillId="10" borderId="0" xfId="0" applyNumberFormat="1" applyFill="1" applyAlignment="1">
      <alignment shrinkToFi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Hacer iteraciones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D398"/>
  <sheetViews>
    <sheetView tabSelected="1" topLeftCell="A43" zoomScaleNormal="100" workbookViewId="0">
      <selection activeCell="AE65" sqref="AE65"/>
    </sheetView>
  </sheetViews>
  <sheetFormatPr baseColWidth="10" defaultRowHeight="15" x14ac:dyDescent="0.25"/>
  <cols>
    <col min="2" max="2" width="11.85546875" bestFit="1" customWidth="1"/>
    <col min="4" max="31" width="6.28515625" customWidth="1"/>
  </cols>
  <sheetData>
    <row r="1" spans="1:28" ht="18.75" x14ac:dyDescent="0.3">
      <c r="A1" s="12" t="s">
        <v>0</v>
      </c>
    </row>
    <row r="2" spans="1:28" ht="18.75" x14ac:dyDescent="0.3">
      <c r="A2" t="s">
        <v>1</v>
      </c>
      <c r="B2" s="6">
        <v>210000000000</v>
      </c>
      <c r="C2" t="s">
        <v>21</v>
      </c>
      <c r="E2" s="1" t="s">
        <v>32</v>
      </c>
    </row>
    <row r="3" spans="1:28" x14ac:dyDescent="0.25">
      <c r="A3" t="s">
        <v>11</v>
      </c>
      <c r="B3">
        <v>0.3</v>
      </c>
      <c r="H3" s="16" t="s">
        <v>17</v>
      </c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</row>
    <row r="4" spans="1:28" x14ac:dyDescent="0.25">
      <c r="A4" t="s">
        <v>2</v>
      </c>
      <c r="B4">
        <f xml:space="preserve"> (E*t^3)/(12*(1-nu^2))</f>
        <v>2403846.1538461545</v>
      </c>
      <c r="H4" s="2">
        <v>0</v>
      </c>
      <c r="I4" s="2">
        <f t="shared" ref="I4:AB4" si="0">+H4+delta</f>
        <v>0.1</v>
      </c>
      <c r="J4" s="2">
        <f t="shared" si="0"/>
        <v>0.2</v>
      </c>
      <c r="K4" s="2">
        <f t="shared" si="0"/>
        <v>0.30000000000000004</v>
      </c>
      <c r="L4" s="2">
        <f t="shared" si="0"/>
        <v>0.4</v>
      </c>
      <c r="M4" s="2">
        <f t="shared" si="0"/>
        <v>0.5</v>
      </c>
      <c r="N4" s="2">
        <f t="shared" si="0"/>
        <v>0.6</v>
      </c>
      <c r="O4" s="2">
        <f t="shared" si="0"/>
        <v>0.7</v>
      </c>
      <c r="P4" s="2">
        <f t="shared" si="0"/>
        <v>0.79999999999999993</v>
      </c>
      <c r="Q4" s="2">
        <f t="shared" si="0"/>
        <v>0.89999999999999991</v>
      </c>
      <c r="R4" s="2">
        <f t="shared" si="0"/>
        <v>0.99999999999999989</v>
      </c>
      <c r="S4" s="2">
        <f t="shared" si="0"/>
        <v>1.0999999999999999</v>
      </c>
      <c r="T4" s="2">
        <f t="shared" si="0"/>
        <v>1.2</v>
      </c>
      <c r="U4" s="2">
        <f t="shared" si="0"/>
        <v>1.3</v>
      </c>
      <c r="V4" s="2">
        <f t="shared" si="0"/>
        <v>1.4000000000000001</v>
      </c>
      <c r="W4" s="2">
        <f t="shared" si="0"/>
        <v>1.5000000000000002</v>
      </c>
      <c r="X4" s="2">
        <f t="shared" si="0"/>
        <v>1.6000000000000003</v>
      </c>
      <c r="Y4" s="2">
        <f t="shared" si="0"/>
        <v>1.7000000000000004</v>
      </c>
      <c r="Z4" s="2">
        <f t="shared" si="0"/>
        <v>1.8000000000000005</v>
      </c>
      <c r="AA4" s="2">
        <f t="shared" si="0"/>
        <v>1.9000000000000006</v>
      </c>
      <c r="AB4" s="2">
        <f t="shared" si="0"/>
        <v>2.0000000000000004</v>
      </c>
    </row>
    <row r="5" spans="1:28" ht="15" customHeight="1" x14ac:dyDescent="0.25"/>
    <row r="6" spans="1:28" ht="18.75" x14ac:dyDescent="0.3">
      <c r="A6" s="1" t="s">
        <v>3</v>
      </c>
    </row>
    <row r="7" spans="1:28" ht="20.25" customHeight="1" x14ac:dyDescent="0.25">
      <c r="A7" t="s">
        <v>12</v>
      </c>
      <c r="B7">
        <v>0.05</v>
      </c>
      <c r="C7" t="s">
        <v>14</v>
      </c>
      <c r="D7" s="17" t="s">
        <v>16</v>
      </c>
      <c r="E7" s="2">
        <f t="shared" ref="E7:E46" si="1">E8+delta</f>
        <v>4.0000000000000018</v>
      </c>
      <c r="H7" s="8">
        <v>0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0</v>
      </c>
      <c r="R7" s="8">
        <v>0</v>
      </c>
      <c r="S7" s="8">
        <v>0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0</v>
      </c>
    </row>
    <row r="8" spans="1:28" x14ac:dyDescent="0.25">
      <c r="A8" t="s">
        <v>4</v>
      </c>
      <c r="B8">
        <v>2</v>
      </c>
      <c r="C8" t="s">
        <v>14</v>
      </c>
      <c r="D8" s="17"/>
      <c r="E8" s="2">
        <f t="shared" si="1"/>
        <v>3.9000000000000021</v>
      </c>
      <c r="H8" s="8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  <c r="R8" s="7">
        <v>0</v>
      </c>
      <c r="S8" s="7">
        <v>0</v>
      </c>
      <c r="T8" s="7">
        <v>0</v>
      </c>
      <c r="U8" s="7">
        <v>0</v>
      </c>
      <c r="V8" s="7">
        <v>0</v>
      </c>
      <c r="W8" s="7">
        <v>0</v>
      </c>
      <c r="X8" s="7">
        <v>0</v>
      </c>
      <c r="Y8" s="7">
        <v>0</v>
      </c>
      <c r="Z8" s="7">
        <v>0</v>
      </c>
      <c r="AA8" s="7">
        <v>0</v>
      </c>
      <c r="AB8" s="8">
        <v>0</v>
      </c>
    </row>
    <row r="9" spans="1:28" x14ac:dyDescent="0.25">
      <c r="A9" t="s">
        <v>5</v>
      </c>
      <c r="B9">
        <v>4</v>
      </c>
      <c r="C9" t="s">
        <v>14</v>
      </c>
      <c r="D9" s="17"/>
      <c r="E9" s="2">
        <f t="shared" si="1"/>
        <v>3.800000000000002</v>
      </c>
      <c r="H9" s="8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v>0</v>
      </c>
      <c r="W9" s="7">
        <v>0</v>
      </c>
      <c r="X9" s="7">
        <v>0</v>
      </c>
      <c r="Y9" s="7">
        <v>0</v>
      </c>
      <c r="Z9" s="7">
        <v>0</v>
      </c>
      <c r="AA9" s="7">
        <v>0</v>
      </c>
      <c r="AB9" s="8">
        <v>0</v>
      </c>
    </row>
    <row r="10" spans="1:28" x14ac:dyDescent="0.25">
      <c r="D10" s="17"/>
      <c r="E10" s="2">
        <f t="shared" si="1"/>
        <v>3.700000000000002</v>
      </c>
      <c r="H10" s="8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8">
        <v>0</v>
      </c>
    </row>
    <row r="11" spans="1:28" ht="18.75" x14ac:dyDescent="0.3">
      <c r="A11" s="1" t="s">
        <v>10</v>
      </c>
      <c r="D11" s="17"/>
      <c r="E11" s="2">
        <f t="shared" si="1"/>
        <v>3.6000000000000019</v>
      </c>
      <c r="H11" s="8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8">
        <v>0</v>
      </c>
    </row>
    <row r="12" spans="1:28" x14ac:dyDescent="0.25">
      <c r="A12" t="s">
        <v>13</v>
      </c>
      <c r="B12">
        <v>-10000</v>
      </c>
      <c r="C12" t="s">
        <v>22</v>
      </c>
      <c r="D12" s="17"/>
      <c r="E12" s="2">
        <f t="shared" si="1"/>
        <v>3.5000000000000018</v>
      </c>
      <c r="H12" s="8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0</v>
      </c>
      <c r="U12" s="7">
        <v>0</v>
      </c>
      <c r="V12" s="7">
        <v>0</v>
      </c>
      <c r="W12" s="7">
        <v>0</v>
      </c>
      <c r="X12" s="7">
        <v>0</v>
      </c>
      <c r="Y12" s="7">
        <v>0</v>
      </c>
      <c r="Z12" s="7">
        <v>0</v>
      </c>
      <c r="AA12" s="7">
        <v>0</v>
      </c>
      <c r="AB12" s="8">
        <v>0</v>
      </c>
    </row>
    <row r="13" spans="1:28" x14ac:dyDescent="0.25">
      <c r="A13" t="s">
        <v>6</v>
      </c>
      <c r="B13">
        <v>0.5</v>
      </c>
      <c r="C13" t="s">
        <v>14</v>
      </c>
      <c r="D13" s="17"/>
      <c r="E13" s="2">
        <f t="shared" si="1"/>
        <v>3.4000000000000017</v>
      </c>
      <c r="H13" s="8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v>0</v>
      </c>
      <c r="W13" s="7">
        <v>0</v>
      </c>
      <c r="X13" s="7">
        <v>0</v>
      </c>
      <c r="Y13" s="7">
        <v>0</v>
      </c>
      <c r="Z13" s="7">
        <v>0</v>
      </c>
      <c r="AA13" s="7">
        <v>0</v>
      </c>
      <c r="AB13" s="8">
        <v>0</v>
      </c>
    </row>
    <row r="14" spans="1:28" x14ac:dyDescent="0.25">
      <c r="A14" t="s">
        <v>7</v>
      </c>
      <c r="B14">
        <v>1</v>
      </c>
      <c r="C14" t="s">
        <v>14</v>
      </c>
      <c r="D14" s="17"/>
      <c r="E14" s="2">
        <f t="shared" si="1"/>
        <v>3.3000000000000016</v>
      </c>
      <c r="H14" s="8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  <c r="R14" s="7">
        <v>0</v>
      </c>
      <c r="S14" s="7">
        <v>0</v>
      </c>
      <c r="T14" s="7">
        <v>0</v>
      </c>
      <c r="U14" s="7">
        <v>0</v>
      </c>
      <c r="V14" s="7">
        <v>0</v>
      </c>
      <c r="W14" s="7">
        <v>0</v>
      </c>
      <c r="X14" s="7">
        <v>0</v>
      </c>
      <c r="Y14" s="7">
        <v>0</v>
      </c>
      <c r="Z14" s="7">
        <v>0</v>
      </c>
      <c r="AA14" s="7">
        <v>0</v>
      </c>
      <c r="AB14" s="8">
        <v>0</v>
      </c>
    </row>
    <row r="15" spans="1:28" x14ac:dyDescent="0.25">
      <c r="A15" t="s">
        <v>8</v>
      </c>
      <c r="B15">
        <v>1.25</v>
      </c>
      <c r="C15" t="s">
        <v>14</v>
      </c>
      <c r="D15" s="17"/>
      <c r="E15" s="2">
        <f t="shared" si="1"/>
        <v>3.2000000000000015</v>
      </c>
      <c r="H15" s="8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8">
        <v>0</v>
      </c>
    </row>
    <row r="16" spans="1:28" x14ac:dyDescent="0.25">
      <c r="A16" t="s">
        <v>9</v>
      </c>
      <c r="B16">
        <v>1.5</v>
      </c>
      <c r="C16" t="s">
        <v>14</v>
      </c>
      <c r="D16" s="17"/>
      <c r="E16" s="2">
        <f t="shared" si="1"/>
        <v>3.1000000000000014</v>
      </c>
      <c r="H16" s="8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8">
        <v>0</v>
      </c>
    </row>
    <row r="17" spans="1:28" x14ac:dyDescent="0.25">
      <c r="D17" s="17"/>
      <c r="E17" s="2">
        <f t="shared" si="1"/>
        <v>3.0000000000000013</v>
      </c>
      <c r="H17" s="8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8">
        <v>0</v>
      </c>
    </row>
    <row r="18" spans="1:28" x14ac:dyDescent="0.25">
      <c r="A18" t="s">
        <v>15</v>
      </c>
      <c r="B18">
        <v>0.1</v>
      </c>
      <c r="C18" t="s">
        <v>14</v>
      </c>
      <c r="D18" s="17"/>
      <c r="E18" s="2">
        <f t="shared" si="1"/>
        <v>2.9000000000000012</v>
      </c>
      <c r="H18" s="8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W18" s="7">
        <v>0</v>
      </c>
      <c r="X18" s="7">
        <v>0</v>
      </c>
      <c r="Y18" s="7">
        <v>0</v>
      </c>
      <c r="Z18" s="7">
        <v>0</v>
      </c>
      <c r="AA18" s="7">
        <v>0</v>
      </c>
      <c r="AB18" s="8">
        <v>0</v>
      </c>
    </row>
    <row r="19" spans="1:28" x14ac:dyDescent="0.25">
      <c r="D19" s="17"/>
      <c r="E19" s="2">
        <f t="shared" si="1"/>
        <v>2.8000000000000012</v>
      </c>
      <c r="H19" s="8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8">
        <v>0</v>
      </c>
    </row>
    <row r="20" spans="1:28" x14ac:dyDescent="0.25">
      <c r="D20" s="17"/>
      <c r="E20" s="2">
        <f t="shared" si="1"/>
        <v>2.7000000000000011</v>
      </c>
      <c r="H20" s="8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8">
        <v>0</v>
      </c>
    </row>
    <row r="21" spans="1:28" x14ac:dyDescent="0.25">
      <c r="A21" t="s">
        <v>23</v>
      </c>
      <c r="D21" s="17"/>
      <c r="E21" s="2">
        <f t="shared" si="1"/>
        <v>2.600000000000001</v>
      </c>
      <c r="H21" s="8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8">
        <v>0</v>
      </c>
    </row>
    <row r="22" spans="1:28" x14ac:dyDescent="0.25">
      <c r="A22" t="s">
        <v>24</v>
      </c>
      <c r="D22" s="17"/>
      <c r="E22" s="2">
        <f t="shared" si="1"/>
        <v>2.5000000000000009</v>
      </c>
      <c r="H22" s="8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7">
        <v>0</v>
      </c>
      <c r="AA22" s="7">
        <v>0</v>
      </c>
      <c r="AB22" s="8">
        <v>0</v>
      </c>
    </row>
    <row r="23" spans="1:28" x14ac:dyDescent="0.25">
      <c r="A23" t="s">
        <v>25</v>
      </c>
      <c r="D23" s="17"/>
      <c r="E23" s="2">
        <f t="shared" si="1"/>
        <v>2.4000000000000008</v>
      </c>
      <c r="H23" s="8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W23" s="7">
        <v>0</v>
      </c>
      <c r="X23" s="7">
        <v>0</v>
      </c>
      <c r="Y23" s="7">
        <v>0</v>
      </c>
      <c r="Z23" s="7">
        <v>0</v>
      </c>
      <c r="AA23" s="7">
        <v>0</v>
      </c>
      <c r="AB23" s="8">
        <v>0</v>
      </c>
    </row>
    <row r="24" spans="1:28" x14ac:dyDescent="0.25">
      <c r="A24" t="s">
        <v>26</v>
      </c>
      <c r="D24" s="17"/>
      <c r="E24" s="2">
        <f t="shared" si="1"/>
        <v>2.3000000000000007</v>
      </c>
      <c r="H24" s="8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8">
        <v>0</v>
      </c>
    </row>
    <row r="25" spans="1:28" x14ac:dyDescent="0.25">
      <c r="D25" s="17"/>
      <c r="E25" s="2">
        <f t="shared" si="1"/>
        <v>2.2000000000000006</v>
      </c>
      <c r="H25" s="8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v>0</v>
      </c>
      <c r="W25" s="7">
        <v>0</v>
      </c>
      <c r="X25" s="7">
        <v>0</v>
      </c>
      <c r="Y25" s="7">
        <v>0</v>
      </c>
      <c r="Z25" s="7">
        <v>0</v>
      </c>
      <c r="AA25" s="7">
        <v>0</v>
      </c>
      <c r="AB25" s="8">
        <v>0</v>
      </c>
    </row>
    <row r="26" spans="1:28" x14ac:dyDescent="0.25">
      <c r="D26" s="17"/>
      <c r="E26" s="2">
        <f t="shared" si="1"/>
        <v>2.1000000000000005</v>
      </c>
      <c r="H26" s="8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  <c r="R26" s="7">
        <v>0</v>
      </c>
      <c r="S26" s="7">
        <v>0</v>
      </c>
      <c r="T26" s="7">
        <v>0</v>
      </c>
      <c r="U26" s="7">
        <v>0</v>
      </c>
      <c r="V26" s="7">
        <v>0</v>
      </c>
      <c r="W26" s="7">
        <v>0</v>
      </c>
      <c r="X26" s="7">
        <v>0</v>
      </c>
      <c r="Y26" s="7">
        <v>0</v>
      </c>
      <c r="Z26" s="7">
        <v>0</v>
      </c>
      <c r="AA26" s="7">
        <v>0</v>
      </c>
      <c r="AB26" s="8">
        <v>0</v>
      </c>
    </row>
    <row r="27" spans="1:28" x14ac:dyDescent="0.25">
      <c r="D27" s="17"/>
      <c r="E27" s="2">
        <f t="shared" si="1"/>
        <v>2.0000000000000004</v>
      </c>
      <c r="H27" s="8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9">
        <f>p/4</f>
        <v>-2500</v>
      </c>
      <c r="S27" s="9">
        <f>p/2</f>
        <v>-5000</v>
      </c>
      <c r="T27" s="9">
        <f>p/2</f>
        <v>-5000</v>
      </c>
      <c r="U27" s="9">
        <f>p/2</f>
        <v>-5000</v>
      </c>
      <c r="V27" s="9">
        <f>p/2</f>
        <v>-5000</v>
      </c>
      <c r="W27" s="9">
        <f>p/4</f>
        <v>-2500</v>
      </c>
      <c r="X27" s="7">
        <v>0</v>
      </c>
      <c r="Y27" s="7">
        <v>0</v>
      </c>
      <c r="Z27" s="7">
        <v>0</v>
      </c>
      <c r="AA27" s="7">
        <v>0</v>
      </c>
      <c r="AB27" s="8">
        <v>0</v>
      </c>
    </row>
    <row r="28" spans="1:28" x14ac:dyDescent="0.25">
      <c r="D28" s="17"/>
      <c r="E28" s="2">
        <f t="shared" si="1"/>
        <v>1.9000000000000006</v>
      </c>
      <c r="H28" s="8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9">
        <f t="shared" ref="R28:R36" si="2">p/2</f>
        <v>-5000</v>
      </c>
      <c r="S28" s="9">
        <f t="shared" ref="S28:V36" si="3">p</f>
        <v>-10000</v>
      </c>
      <c r="T28" s="9">
        <f t="shared" si="3"/>
        <v>-10000</v>
      </c>
      <c r="U28" s="9">
        <f t="shared" si="3"/>
        <v>-10000</v>
      </c>
      <c r="V28" s="9">
        <f t="shared" si="3"/>
        <v>-10000</v>
      </c>
      <c r="W28" s="9">
        <f t="shared" ref="W28:W36" si="4">p/2</f>
        <v>-5000</v>
      </c>
      <c r="X28" s="7">
        <v>0</v>
      </c>
      <c r="Y28" s="7">
        <v>0</v>
      </c>
      <c r="Z28" s="7">
        <v>0</v>
      </c>
      <c r="AA28" s="7">
        <v>0</v>
      </c>
      <c r="AB28" s="8">
        <v>0</v>
      </c>
    </row>
    <row r="29" spans="1:28" x14ac:dyDescent="0.25">
      <c r="D29" s="17"/>
      <c r="E29" s="2">
        <f t="shared" si="1"/>
        <v>1.8000000000000005</v>
      </c>
      <c r="H29" s="8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9">
        <f t="shared" si="2"/>
        <v>-5000</v>
      </c>
      <c r="S29" s="9">
        <f t="shared" si="3"/>
        <v>-10000</v>
      </c>
      <c r="T29" s="9">
        <f t="shared" si="3"/>
        <v>-10000</v>
      </c>
      <c r="U29" s="9">
        <f t="shared" si="3"/>
        <v>-10000</v>
      </c>
      <c r="V29" s="9">
        <f t="shared" si="3"/>
        <v>-10000</v>
      </c>
      <c r="W29" s="9">
        <f t="shared" si="4"/>
        <v>-5000</v>
      </c>
      <c r="X29" s="7">
        <v>0</v>
      </c>
      <c r="Y29" s="7">
        <v>0</v>
      </c>
      <c r="Z29" s="7">
        <v>0</v>
      </c>
      <c r="AA29" s="7">
        <v>0</v>
      </c>
      <c r="AB29" s="8">
        <v>0</v>
      </c>
    </row>
    <row r="30" spans="1:28" x14ac:dyDescent="0.25">
      <c r="A30" t="s">
        <v>27</v>
      </c>
      <c r="D30" s="17"/>
      <c r="E30" s="2">
        <f t="shared" si="1"/>
        <v>1.7000000000000004</v>
      </c>
      <c r="H30" s="8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9">
        <f t="shared" si="2"/>
        <v>-5000</v>
      </c>
      <c r="S30" s="9">
        <f t="shared" si="3"/>
        <v>-10000</v>
      </c>
      <c r="T30" s="9">
        <f t="shared" si="3"/>
        <v>-10000</v>
      </c>
      <c r="U30" s="9">
        <f t="shared" si="3"/>
        <v>-10000</v>
      </c>
      <c r="V30" s="9">
        <f t="shared" si="3"/>
        <v>-10000</v>
      </c>
      <c r="W30" s="9">
        <f t="shared" si="4"/>
        <v>-5000</v>
      </c>
      <c r="X30" s="7">
        <v>0</v>
      </c>
      <c r="Y30" s="7">
        <v>0</v>
      </c>
      <c r="Z30" s="7">
        <v>0</v>
      </c>
      <c r="AA30" s="7">
        <v>0</v>
      </c>
      <c r="AB30" s="8">
        <v>0</v>
      </c>
    </row>
    <row r="31" spans="1:28" x14ac:dyDescent="0.25">
      <c r="A31" t="s">
        <v>28</v>
      </c>
      <c r="D31" s="17"/>
      <c r="E31" s="2">
        <f t="shared" si="1"/>
        <v>1.6000000000000003</v>
      </c>
      <c r="H31" s="8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9">
        <f t="shared" si="2"/>
        <v>-5000</v>
      </c>
      <c r="S31" s="9">
        <f t="shared" si="3"/>
        <v>-10000</v>
      </c>
      <c r="T31" s="9">
        <f t="shared" si="3"/>
        <v>-10000</v>
      </c>
      <c r="U31" s="9">
        <f t="shared" si="3"/>
        <v>-10000</v>
      </c>
      <c r="V31" s="9">
        <f t="shared" si="3"/>
        <v>-10000</v>
      </c>
      <c r="W31" s="9">
        <f t="shared" si="4"/>
        <v>-5000</v>
      </c>
      <c r="X31" s="7">
        <v>0</v>
      </c>
      <c r="Y31" s="7">
        <v>0</v>
      </c>
      <c r="Z31" s="7">
        <v>0</v>
      </c>
      <c r="AA31" s="7">
        <v>0</v>
      </c>
      <c r="AB31" s="8">
        <v>0</v>
      </c>
    </row>
    <row r="32" spans="1:28" x14ac:dyDescent="0.25">
      <c r="D32" s="17"/>
      <c r="E32" s="2">
        <f t="shared" si="1"/>
        <v>1.5000000000000002</v>
      </c>
      <c r="H32" s="8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9">
        <f t="shared" si="2"/>
        <v>-5000</v>
      </c>
      <c r="S32" s="9">
        <f t="shared" si="3"/>
        <v>-10000</v>
      </c>
      <c r="T32" s="9">
        <f t="shared" si="3"/>
        <v>-10000</v>
      </c>
      <c r="U32" s="9">
        <f t="shared" si="3"/>
        <v>-10000</v>
      </c>
      <c r="V32" s="9">
        <f t="shared" si="3"/>
        <v>-10000</v>
      </c>
      <c r="W32" s="9">
        <f t="shared" si="4"/>
        <v>-5000</v>
      </c>
      <c r="X32" s="7">
        <v>0</v>
      </c>
      <c r="Y32" s="7">
        <v>0</v>
      </c>
      <c r="Z32" s="7">
        <v>0</v>
      </c>
      <c r="AA32" s="7">
        <v>0</v>
      </c>
      <c r="AB32" s="8">
        <v>0</v>
      </c>
    </row>
    <row r="33" spans="4:28" x14ac:dyDescent="0.25">
      <c r="D33" s="17"/>
      <c r="E33" s="2">
        <f t="shared" si="1"/>
        <v>1.4000000000000001</v>
      </c>
      <c r="H33" s="8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9">
        <f t="shared" si="2"/>
        <v>-5000</v>
      </c>
      <c r="S33" s="9">
        <f t="shared" si="3"/>
        <v>-10000</v>
      </c>
      <c r="T33" s="9">
        <f t="shared" si="3"/>
        <v>-10000</v>
      </c>
      <c r="U33" s="9">
        <f t="shared" si="3"/>
        <v>-10000</v>
      </c>
      <c r="V33" s="9">
        <f t="shared" si="3"/>
        <v>-10000</v>
      </c>
      <c r="W33" s="9">
        <f t="shared" si="4"/>
        <v>-5000</v>
      </c>
      <c r="X33" s="7">
        <v>0</v>
      </c>
      <c r="Y33" s="7">
        <v>0</v>
      </c>
      <c r="Z33" s="7">
        <v>0</v>
      </c>
      <c r="AA33" s="7">
        <v>0</v>
      </c>
      <c r="AB33" s="8">
        <v>0</v>
      </c>
    </row>
    <row r="34" spans="4:28" x14ac:dyDescent="0.25">
      <c r="D34" s="17"/>
      <c r="E34" s="2">
        <f t="shared" si="1"/>
        <v>1.3</v>
      </c>
      <c r="H34" s="8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9">
        <f t="shared" si="2"/>
        <v>-5000</v>
      </c>
      <c r="S34" s="9">
        <f t="shared" si="3"/>
        <v>-10000</v>
      </c>
      <c r="T34" s="9">
        <f t="shared" si="3"/>
        <v>-10000</v>
      </c>
      <c r="U34" s="9">
        <f t="shared" si="3"/>
        <v>-10000</v>
      </c>
      <c r="V34" s="9">
        <f t="shared" si="3"/>
        <v>-10000</v>
      </c>
      <c r="W34" s="9">
        <f t="shared" si="4"/>
        <v>-5000</v>
      </c>
      <c r="X34" s="7">
        <v>0</v>
      </c>
      <c r="Y34" s="7">
        <v>0</v>
      </c>
      <c r="Z34" s="7">
        <v>0</v>
      </c>
      <c r="AA34" s="7">
        <v>0</v>
      </c>
      <c r="AB34" s="8">
        <v>0</v>
      </c>
    </row>
    <row r="35" spans="4:28" x14ac:dyDescent="0.25">
      <c r="D35" s="17"/>
      <c r="E35" s="2">
        <f t="shared" si="1"/>
        <v>1.2</v>
      </c>
      <c r="H35" s="8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9">
        <f t="shared" si="2"/>
        <v>-5000</v>
      </c>
      <c r="S35" s="9">
        <f t="shared" si="3"/>
        <v>-10000</v>
      </c>
      <c r="T35" s="9">
        <f t="shared" si="3"/>
        <v>-10000</v>
      </c>
      <c r="U35" s="9">
        <f t="shared" si="3"/>
        <v>-10000</v>
      </c>
      <c r="V35" s="9">
        <f t="shared" si="3"/>
        <v>-10000</v>
      </c>
      <c r="W35" s="9">
        <f t="shared" si="4"/>
        <v>-5000</v>
      </c>
      <c r="X35" s="7">
        <v>0</v>
      </c>
      <c r="Y35" s="7">
        <v>0</v>
      </c>
      <c r="Z35" s="7">
        <v>0</v>
      </c>
      <c r="AA35" s="7">
        <v>0</v>
      </c>
      <c r="AB35" s="8">
        <v>0</v>
      </c>
    </row>
    <row r="36" spans="4:28" x14ac:dyDescent="0.25">
      <c r="D36" s="17"/>
      <c r="E36" s="2">
        <f t="shared" si="1"/>
        <v>1.0999999999999999</v>
      </c>
      <c r="H36" s="8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  <c r="R36" s="9">
        <f t="shared" si="2"/>
        <v>-5000</v>
      </c>
      <c r="S36" s="9">
        <f t="shared" si="3"/>
        <v>-10000</v>
      </c>
      <c r="T36" s="9">
        <f t="shared" si="3"/>
        <v>-10000</v>
      </c>
      <c r="U36" s="9">
        <f t="shared" si="3"/>
        <v>-10000</v>
      </c>
      <c r="V36" s="9">
        <f t="shared" si="3"/>
        <v>-10000</v>
      </c>
      <c r="W36" s="9">
        <f t="shared" si="4"/>
        <v>-5000</v>
      </c>
      <c r="X36" s="7">
        <v>0</v>
      </c>
      <c r="Y36" s="7">
        <v>0</v>
      </c>
      <c r="Z36" s="7">
        <v>0</v>
      </c>
      <c r="AA36" s="7">
        <v>0</v>
      </c>
      <c r="AB36" s="8">
        <v>0</v>
      </c>
    </row>
    <row r="37" spans="4:28" x14ac:dyDescent="0.25">
      <c r="D37" s="17"/>
      <c r="E37" s="2">
        <f t="shared" si="1"/>
        <v>0.99999999999999989</v>
      </c>
      <c r="H37" s="8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9">
        <f>p/4</f>
        <v>-2500</v>
      </c>
      <c r="S37" s="9">
        <f>p/2</f>
        <v>-5000</v>
      </c>
      <c r="T37" s="9">
        <f>p/2</f>
        <v>-5000</v>
      </c>
      <c r="U37" s="9">
        <f>p/2</f>
        <v>-5000</v>
      </c>
      <c r="V37" s="9">
        <f>p/2</f>
        <v>-5000</v>
      </c>
      <c r="W37" s="9">
        <f>p/4</f>
        <v>-2500</v>
      </c>
      <c r="X37" s="7">
        <v>0</v>
      </c>
      <c r="Y37" s="7">
        <v>0</v>
      </c>
      <c r="Z37" s="7">
        <v>0</v>
      </c>
      <c r="AA37" s="7">
        <v>0</v>
      </c>
      <c r="AB37" s="8">
        <v>0</v>
      </c>
    </row>
    <row r="38" spans="4:28" x14ac:dyDescent="0.25">
      <c r="D38" s="17"/>
      <c r="E38" s="2">
        <f t="shared" si="1"/>
        <v>0.89999999999999991</v>
      </c>
      <c r="H38" s="8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  <c r="R38" s="7">
        <v>0</v>
      </c>
      <c r="S38" s="7">
        <v>0</v>
      </c>
      <c r="T38" s="7">
        <v>0</v>
      </c>
      <c r="U38" s="7">
        <v>0</v>
      </c>
      <c r="V38" s="7">
        <v>0</v>
      </c>
      <c r="W38" s="7">
        <v>0</v>
      </c>
      <c r="X38" s="7">
        <v>0</v>
      </c>
      <c r="Y38" s="7">
        <v>0</v>
      </c>
      <c r="Z38" s="7">
        <v>0</v>
      </c>
      <c r="AA38" s="7">
        <v>0</v>
      </c>
      <c r="AB38" s="8">
        <v>0</v>
      </c>
    </row>
    <row r="39" spans="4:28" x14ac:dyDescent="0.25">
      <c r="D39" s="17"/>
      <c r="E39" s="2">
        <f t="shared" si="1"/>
        <v>0.79999999999999993</v>
      </c>
      <c r="H39" s="8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v>0</v>
      </c>
      <c r="W39" s="7">
        <v>0</v>
      </c>
      <c r="X39" s="7">
        <v>0</v>
      </c>
      <c r="Y39" s="7">
        <v>0</v>
      </c>
      <c r="Z39" s="7">
        <v>0</v>
      </c>
      <c r="AA39" s="7">
        <v>0</v>
      </c>
      <c r="AB39" s="8">
        <v>0</v>
      </c>
    </row>
    <row r="40" spans="4:28" x14ac:dyDescent="0.25">
      <c r="D40" s="17"/>
      <c r="E40" s="2">
        <f t="shared" si="1"/>
        <v>0.7</v>
      </c>
      <c r="H40" s="8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  <c r="R40" s="7">
        <v>0</v>
      </c>
      <c r="S40" s="7">
        <v>0</v>
      </c>
      <c r="T40" s="7">
        <v>0</v>
      </c>
      <c r="U40" s="7">
        <v>0</v>
      </c>
      <c r="V40" s="7">
        <v>0</v>
      </c>
      <c r="W40" s="7">
        <v>0</v>
      </c>
      <c r="X40" s="7">
        <v>0</v>
      </c>
      <c r="Y40" s="7">
        <v>0</v>
      </c>
      <c r="Z40" s="7">
        <v>0</v>
      </c>
      <c r="AA40" s="7">
        <v>0</v>
      </c>
      <c r="AB40" s="8">
        <v>0</v>
      </c>
    </row>
    <row r="41" spans="4:28" x14ac:dyDescent="0.25">
      <c r="D41" s="17"/>
      <c r="E41" s="2">
        <f t="shared" si="1"/>
        <v>0.6</v>
      </c>
      <c r="H41" s="8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0</v>
      </c>
      <c r="U41" s="7">
        <v>0</v>
      </c>
      <c r="V41" s="7">
        <v>0</v>
      </c>
      <c r="W41" s="7">
        <v>0</v>
      </c>
      <c r="X41" s="7">
        <v>0</v>
      </c>
      <c r="Y41" s="7">
        <v>0</v>
      </c>
      <c r="Z41" s="7">
        <v>0</v>
      </c>
      <c r="AA41" s="7">
        <v>0</v>
      </c>
      <c r="AB41" s="8">
        <v>0</v>
      </c>
    </row>
    <row r="42" spans="4:28" x14ac:dyDescent="0.25">
      <c r="D42" s="17"/>
      <c r="E42" s="2">
        <f t="shared" si="1"/>
        <v>0.5</v>
      </c>
      <c r="H42" s="8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  <c r="R42" s="7">
        <v>0</v>
      </c>
      <c r="S42" s="7">
        <v>0</v>
      </c>
      <c r="T42" s="7">
        <v>0</v>
      </c>
      <c r="U42" s="7">
        <v>0</v>
      </c>
      <c r="V42" s="7">
        <v>0</v>
      </c>
      <c r="W42" s="7">
        <v>0</v>
      </c>
      <c r="X42" s="7">
        <v>0</v>
      </c>
      <c r="Y42" s="7">
        <v>0</v>
      </c>
      <c r="Z42" s="7">
        <v>0</v>
      </c>
      <c r="AA42" s="7">
        <v>0</v>
      </c>
      <c r="AB42" s="8">
        <v>0</v>
      </c>
    </row>
    <row r="43" spans="4:28" x14ac:dyDescent="0.25">
      <c r="D43" s="17"/>
      <c r="E43" s="2">
        <f t="shared" si="1"/>
        <v>0.4</v>
      </c>
      <c r="H43" s="8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8">
        <v>0</v>
      </c>
    </row>
    <row r="44" spans="4:28" x14ac:dyDescent="0.25">
      <c r="D44" s="17"/>
      <c r="E44" s="2">
        <f t="shared" si="1"/>
        <v>0.30000000000000004</v>
      </c>
      <c r="H44" s="8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  <c r="R44" s="7">
        <v>0</v>
      </c>
      <c r="S44" s="7">
        <v>0</v>
      </c>
      <c r="T44" s="7">
        <v>0</v>
      </c>
      <c r="U44" s="7">
        <v>0</v>
      </c>
      <c r="V44" s="7">
        <v>0</v>
      </c>
      <c r="W44" s="7">
        <v>0</v>
      </c>
      <c r="X44" s="7">
        <v>0</v>
      </c>
      <c r="Y44" s="7">
        <v>0</v>
      </c>
      <c r="Z44" s="7">
        <v>0</v>
      </c>
      <c r="AA44" s="7">
        <v>0</v>
      </c>
      <c r="AB44" s="8">
        <v>0</v>
      </c>
    </row>
    <row r="45" spans="4:28" x14ac:dyDescent="0.25">
      <c r="D45" s="17"/>
      <c r="E45" s="2">
        <f t="shared" si="1"/>
        <v>0.2</v>
      </c>
      <c r="H45" s="8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v>0</v>
      </c>
      <c r="W45" s="7">
        <v>0</v>
      </c>
      <c r="X45" s="7">
        <v>0</v>
      </c>
      <c r="Y45" s="7">
        <v>0</v>
      </c>
      <c r="Z45" s="7">
        <v>0</v>
      </c>
      <c r="AA45" s="7">
        <v>0</v>
      </c>
      <c r="AB45" s="8">
        <v>0</v>
      </c>
    </row>
    <row r="46" spans="4:28" x14ac:dyDescent="0.25">
      <c r="D46" s="17"/>
      <c r="E46" s="2">
        <f t="shared" si="1"/>
        <v>0.1</v>
      </c>
      <c r="H46" s="8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  <c r="R46" s="7">
        <v>0</v>
      </c>
      <c r="S46" s="7">
        <v>0</v>
      </c>
      <c r="T46" s="7">
        <v>0</v>
      </c>
      <c r="U46" s="7">
        <v>0</v>
      </c>
      <c r="V46" s="7">
        <v>0</v>
      </c>
      <c r="W46" s="7">
        <v>0</v>
      </c>
      <c r="X46" s="7">
        <v>0</v>
      </c>
      <c r="Y46" s="7">
        <v>0</v>
      </c>
      <c r="Z46" s="7">
        <v>0</v>
      </c>
      <c r="AA46" s="7">
        <v>0</v>
      </c>
      <c r="AB46" s="8">
        <v>0</v>
      </c>
    </row>
    <row r="47" spans="4:28" x14ac:dyDescent="0.25">
      <c r="D47" s="17"/>
      <c r="E47" s="2">
        <v>0</v>
      </c>
      <c r="H47" s="8">
        <v>0</v>
      </c>
      <c r="I47" s="8">
        <v>0</v>
      </c>
      <c r="J47" s="8">
        <v>0</v>
      </c>
      <c r="K47" s="8">
        <v>0</v>
      </c>
      <c r="L47" s="8">
        <v>0</v>
      </c>
      <c r="M47" s="8">
        <v>0</v>
      </c>
      <c r="N47" s="8">
        <v>0</v>
      </c>
      <c r="O47" s="8">
        <v>0</v>
      </c>
      <c r="P47" s="8">
        <v>0</v>
      </c>
      <c r="Q47" s="8">
        <v>0</v>
      </c>
      <c r="R47" s="8">
        <v>0</v>
      </c>
      <c r="S47" s="8">
        <v>0</v>
      </c>
      <c r="T47" s="8">
        <v>0</v>
      </c>
      <c r="U47" s="8">
        <v>0</v>
      </c>
      <c r="V47" s="8">
        <v>0</v>
      </c>
      <c r="W47" s="8">
        <v>0</v>
      </c>
      <c r="X47" s="8">
        <v>0</v>
      </c>
      <c r="Y47" s="8">
        <v>0</v>
      </c>
      <c r="Z47" s="8">
        <v>0</v>
      </c>
      <c r="AA47" s="8">
        <v>0</v>
      </c>
      <c r="AB47" s="8">
        <v>0</v>
      </c>
    </row>
    <row r="52" spans="4:30" ht="18.75" x14ac:dyDescent="0.3">
      <c r="E52" s="1" t="s">
        <v>33</v>
      </c>
    </row>
    <row r="53" spans="4:30" x14ac:dyDescent="0.25">
      <c r="H53" s="16" t="s">
        <v>17</v>
      </c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</row>
    <row r="54" spans="4:30" x14ac:dyDescent="0.25">
      <c r="H54" s="2">
        <v>0</v>
      </c>
      <c r="I54" s="2">
        <f t="shared" ref="I54:AB54" si="5">+H54+delta</f>
        <v>0.1</v>
      </c>
      <c r="J54" s="2">
        <f t="shared" si="5"/>
        <v>0.2</v>
      </c>
      <c r="K54" s="2">
        <f t="shared" si="5"/>
        <v>0.30000000000000004</v>
      </c>
      <c r="L54" s="2">
        <f t="shared" si="5"/>
        <v>0.4</v>
      </c>
      <c r="M54" s="2">
        <f t="shared" si="5"/>
        <v>0.5</v>
      </c>
      <c r="N54" s="2">
        <f t="shared" si="5"/>
        <v>0.6</v>
      </c>
      <c r="O54" s="2">
        <f t="shared" si="5"/>
        <v>0.7</v>
      </c>
      <c r="P54" s="2">
        <f t="shared" si="5"/>
        <v>0.79999999999999993</v>
      </c>
      <c r="Q54" s="2">
        <f t="shared" si="5"/>
        <v>0.89999999999999991</v>
      </c>
      <c r="R54" s="2">
        <f t="shared" si="5"/>
        <v>0.99999999999999989</v>
      </c>
      <c r="S54" s="2">
        <f t="shared" si="5"/>
        <v>1.0999999999999999</v>
      </c>
      <c r="T54" s="2">
        <f t="shared" si="5"/>
        <v>1.2</v>
      </c>
      <c r="U54" s="2">
        <f t="shared" si="5"/>
        <v>1.3</v>
      </c>
      <c r="V54" s="2">
        <f t="shared" si="5"/>
        <v>1.4000000000000001</v>
      </c>
      <c r="W54" s="2">
        <f t="shared" si="5"/>
        <v>1.5000000000000002</v>
      </c>
      <c r="X54" s="2">
        <f t="shared" si="5"/>
        <v>1.6000000000000003</v>
      </c>
      <c r="Y54" s="2">
        <f t="shared" si="5"/>
        <v>1.7000000000000004</v>
      </c>
      <c r="Z54" s="2">
        <f t="shared" si="5"/>
        <v>1.8000000000000005</v>
      </c>
      <c r="AA54" s="2">
        <f t="shared" si="5"/>
        <v>1.9000000000000006</v>
      </c>
      <c r="AB54" s="2">
        <f t="shared" si="5"/>
        <v>2.0000000000000004</v>
      </c>
    </row>
    <row r="56" spans="4:30" x14ac:dyDescent="0.25">
      <c r="H56" s="11">
        <f>-H58</f>
        <v>0</v>
      </c>
      <c r="I56" s="11">
        <f t="shared" ref="I56:AB56" ca="1" si="6">-I58</f>
        <v>1.2693530151604299E-7</v>
      </c>
      <c r="J56" s="11">
        <f t="shared" ca="1" si="6"/>
        <v>4.8947093595063615E-7</v>
      </c>
      <c r="K56" s="11">
        <f t="shared" ca="1" si="6"/>
        <v>1.0670894100151617E-6</v>
      </c>
      <c r="L56" s="11">
        <f t="shared" ca="1" si="6"/>
        <v>1.8377725058635851E-6</v>
      </c>
      <c r="M56" s="11">
        <f t="shared" ca="1" si="6"/>
        <v>2.7786931235985879E-6</v>
      </c>
      <c r="N56" s="11">
        <f t="shared" ca="1" si="6"/>
        <v>3.8668451520712485E-6</v>
      </c>
      <c r="O56" s="11">
        <f t="shared" ca="1" si="6"/>
        <v>5.0796076285303804E-6</v>
      </c>
      <c r="P56" s="11">
        <f t="shared" ca="1" si="6"/>
        <v>6.395241434224996E-6</v>
      </c>
      <c r="Q56" s="11">
        <f t="shared" ca="1" si="6"/>
        <v>7.7933175097297268E-6</v>
      </c>
      <c r="R56" s="11">
        <f t="shared" ca="1" si="6"/>
        <v>9.2550755433331673E-6</v>
      </c>
      <c r="S56" s="11">
        <f t="shared" ca="1" si="6"/>
        <v>1.0763711810814317E-5</v>
      </c>
      <c r="T56" s="11">
        <f t="shared" ca="1" si="6"/>
        <v>1.2304594792650484E-5</v>
      </c>
      <c r="U56" s="11">
        <f t="shared" ca="1" si="6"/>
        <v>1.386540769069577E-5</v>
      </c>
      <c r="V56" s="11">
        <f t="shared" ca="1" si="6"/>
        <v>1.5436218131274873E-5</v>
      </c>
      <c r="W56" s="11">
        <f t="shared" ca="1" si="6"/>
        <v>1.7009477069496418E-5</v>
      </c>
      <c r="X56" s="11">
        <f t="shared" ca="1" si="6"/>
        <v>1.8579950899707732E-5</v>
      </c>
      <c r="Y56" s="11">
        <f t="shared" ca="1" si="6"/>
        <v>2.0144592617081003E-5</v>
      </c>
      <c r="Z56" s="11">
        <f t="shared" ca="1" si="6"/>
        <v>2.1702359156653009E-5</v>
      </c>
      <c r="AA56" s="11">
        <f t="shared" ca="1" si="6"/>
        <v>2.325398247058218E-5</v>
      </c>
      <c r="AB56" s="11">
        <f t="shared" ca="1" si="6"/>
        <v>2.4801701413537334E-5</v>
      </c>
    </row>
    <row r="57" spans="4:30" x14ac:dyDescent="0.25">
      <c r="D57" s="17" t="s">
        <v>16</v>
      </c>
      <c r="E57" s="2">
        <f t="shared" ref="E57:E96" si="7">E58+delta</f>
        <v>4.0000000000000018</v>
      </c>
      <c r="G57" s="15">
        <f>I57</f>
        <v>0</v>
      </c>
      <c r="H57" s="8">
        <v>0</v>
      </c>
      <c r="I57" s="8">
        <v>0</v>
      </c>
      <c r="J57" s="8">
        <v>0</v>
      </c>
      <c r="K57" s="8">
        <v>0</v>
      </c>
      <c r="L57" s="8">
        <v>0</v>
      </c>
      <c r="M57" s="8">
        <v>0</v>
      </c>
      <c r="N57" s="8">
        <v>0</v>
      </c>
      <c r="O57" s="8">
        <v>0</v>
      </c>
      <c r="P57" s="8">
        <v>0</v>
      </c>
      <c r="Q57" s="8">
        <v>0</v>
      </c>
      <c r="R57" s="8">
        <v>0</v>
      </c>
      <c r="S57" s="8">
        <v>0</v>
      </c>
      <c r="T57" s="8">
        <v>0</v>
      </c>
      <c r="U57" s="8">
        <v>0</v>
      </c>
      <c r="V57" s="8">
        <v>0</v>
      </c>
      <c r="W57" s="8">
        <v>0</v>
      </c>
      <c r="X57" s="8">
        <v>0</v>
      </c>
      <c r="Y57" s="8">
        <v>0</v>
      </c>
      <c r="Z57" s="8">
        <v>0</v>
      </c>
      <c r="AA57" s="8">
        <v>0</v>
      </c>
      <c r="AB57" s="8">
        <v>0</v>
      </c>
      <c r="AC57" s="13">
        <v>0</v>
      </c>
      <c r="AD57" s="14"/>
    </row>
    <row r="58" spans="4:30" x14ac:dyDescent="0.25">
      <c r="D58" s="17"/>
      <c r="E58" s="2">
        <f t="shared" si="7"/>
        <v>3.9000000000000021</v>
      </c>
      <c r="G58" s="15">
        <f t="shared" ref="G58:G97" ca="1" si="8">I58</f>
        <v>-1.2693530151604299E-7</v>
      </c>
      <c r="H58" s="8">
        <v>0</v>
      </c>
      <c r="I58" s="7">
        <f t="shared" ref="I58:I96" ca="1" si="9" xml:space="preserve"> -(D*G58+2*D*H57+D*I56+2*D*J57+D*K58-8*D*I59-8*D*H58-8*D*I57+2*D*J59+D*I60+2*D*H59-8*D*J58-delta^4*I8)/(20*D)</f>
        <v>-1.2693529342981186E-7</v>
      </c>
      <c r="J58" s="7">
        <f t="shared" ref="J58:J60" ca="1" si="10" xml:space="preserve"> -(D*H58+2*D*I57+D*J56+2*D*K57+D*L58-8*D*J59-8*D*I58-8*D*J57+2*D*K59+D*J60+2*D*I59-8*D*K58-delta^4*J8)/(20*D)</f>
        <v>-4.8947090563982534E-7</v>
      </c>
      <c r="K58" s="7">
        <f t="shared" ref="K58:K60" ca="1" si="11" xml:space="preserve"> -(D*I58+2*D*J57+D*K56+2*D*L57+D*M58-8*D*K59-8*D*J58-8*D*K57+2*D*L59+D*K60+2*D*J59-8*D*L58-delta^4*K8)/(20*D)</f>
        <v>-1.0670893451917743E-6</v>
      </c>
      <c r="L58" s="7">
        <f t="shared" ref="L58:L60" ca="1" si="12" xml:space="preserve"> -(D*J58+2*D*K57+D*L56+2*D*M57+D*N58-8*D*L59-8*D*K58-8*D*L57+2*D*M59+D*L60+2*D*K59-8*D*M58-delta^4*L8)/(20*D)</f>
        <v>-1.8377723959259907E-6</v>
      </c>
      <c r="M58" s="7">
        <f t="shared" ref="M58:M96" ca="1" si="13" xml:space="preserve"> -(D*K58+2*D*L57+D*M56+2*D*N57+D*O58-8*D*M59-8*D*L58-8*D*M57+2*D*N59+D*M60+2*D*L59-8*D*N58-delta^4*M8)/(20*D)</f>
        <v>-2.7786929594830228E-6</v>
      </c>
      <c r="N58" s="7">
        <f t="shared" ref="N58:N96" ca="1" si="14" xml:space="preserve"> -(D*L58+2*D*M57+D*N56+2*D*O57+D*P58-8*D*N59-8*D*M58-8*D*N57+2*D*O59+D*N60+2*D*M59-8*D*O58-delta^4*N8)/(20*D)</f>
        <v>-3.8668449261151335E-6</v>
      </c>
      <c r="O58" s="7">
        <f t="shared" ref="O58:O96" ca="1" si="15" xml:space="preserve"> -(D*M58+2*D*N57+D*O56+2*D*P57+D*Q58-8*D*O59-8*D*N58-8*D*O57+2*D*P59+D*O60+2*D*N59-8*D*P58-delta^4*O8)/(20*D)</f>
        <v>-5.0796073343442505E-6</v>
      </c>
      <c r="P58" s="7">
        <f t="shared" ref="P58:P96" ca="1" si="16" xml:space="preserve"> -(D*N58+2*D*O57+D*P56+2*D*Q57+D*R58-8*D*P59-8*D*O58-8*D*P57+2*D*Q59+D*P60+2*D*O59-8*D*Q58-delta^4*P8)/(20*D)</f>
        <v>-6.3952410665703097E-6</v>
      </c>
      <c r="Q58" s="7">
        <f t="shared" ref="Q58:Q96" ca="1" si="17" xml:space="preserve"> -(D*O58+2*D*P57+D*Q56+2*D*R57+D*S58-8*D*Q59-8*D*P58-8*D*Q57+2*D*R59+D*Q60+2*D*P59-8*D*R58-delta^4*Q8)/(20*D)</f>
        <v>-7.7933170644000169E-6</v>
      </c>
      <c r="R58" s="7">
        <f t="shared" ref="R58:R96" ca="1" si="18" xml:space="preserve"> -(D*P58+2*D*Q57+D*R56+2*D*S57+D*T58-8*D*R59-8*D*Q58-8*D*R57+2*D*S59+D*R60+2*D*Q59-8*D*S58-delta^4*R8)/(20*D)</f>
        <v>-9.2550750170363369E-6</v>
      </c>
      <c r="S58" s="7">
        <f t="shared" ref="S58:S96" ca="1" si="19" xml:space="preserve"> -(D*Q58+2*D*R57+D*S56+2*D*T57+D*U58-8*D*S59-8*D*R58-8*D*S57+2*D*T59+D*S60+2*D*R59-8*D*T58-delta^4*S8)/(20*D)</f>
        <v>-1.0763711201053966E-5</v>
      </c>
      <c r="T58" s="7">
        <f t="shared" ref="T58:T96" ca="1" si="20" xml:space="preserve"> -(D*R58+2*D*S57+D*T56+2*D*U57+D*V58-8*D*T59-8*D*S58-8*D*T57+2*D*U59+D*T60+2*D*S59-8*D*U58-delta^4*T8)/(20*D)</f>
        <v>-1.2304594097604368E-5</v>
      </c>
      <c r="U58" s="7">
        <f t="shared" ref="U58:U96" ca="1" si="21" xml:space="preserve"> -(D*S58+2*D*T57+D*U56+2*D*V57+D*W58-8*D*U59-8*D*T58-8*D*U57+2*D*V59+D*U60+2*D*T59-8*D*V58-delta^4*U8)/(20*D)</f>
        <v>-1.386540690908947E-5</v>
      </c>
      <c r="V58" s="7">
        <f t="shared" ref="V58:V96" ca="1" si="22" xml:space="preserve"> -(D*T58+2*D*U57+D*V56+2*D*W57+D*X58-8*D*V59-8*D*U58-8*D*V57+2*D*W59+D*V60+2*D*U59-8*D*W58-delta^4*V8)/(20*D)</f>
        <v>-1.543621726224884E-5</v>
      </c>
      <c r="W58" s="7">
        <f t="shared" ref="W58:W96" ca="1" si="23" xml:space="preserve"> -(D*U58+2*D*V57+D*W56+2*D*X57+D*Y58-8*D*W59-8*D*V58-8*D*W57+2*D*X59+D*W60+2*D*V59-8*D*X58-delta^4*W8)/(20*D)</f>
        <v>-1.7009476112464574E-5</v>
      </c>
      <c r="X58" s="7">
        <f t="shared" ref="X58:X96" ca="1" si="24" xml:space="preserve"> -(D*V58+2*D*W57+D*X56+2*D*Y57+D*Z58-8*D*X59-8*D*W58-8*D*X57+2*D*Y59+D*X60+2*D*W59-8*D*Y58-delta^4*X8)/(20*D)</f>
        <v>-1.8579949854205516E-5</v>
      </c>
      <c r="Y58" s="7">
        <f t="shared" ref="Y58:Y96" ca="1" si="25" xml:space="preserve"> -(D*W58+2*D*X57+D*Y56+2*D*Z57+D*AA58-8*D*Y59-8*D*X58-8*D*Y57+2*D*Z59+D*Y60+2*D*X59-8*D*Z58-delta^4*Y8)/(20*D)</f>
        <v>-2.0144591482600883E-5</v>
      </c>
      <c r="Z58" s="7">
        <f t="shared" ref="Z58:Z96" ca="1" si="26" xml:space="preserve"> -(D*X58+2*D*Y57+D*Z56+2*D*AA57+D*AB58-8*D*Z59-8*D*Y58-8*D*Z57+2*D*AA59+D*Z60+2*D*Y59-8*D*AA58-delta^4*Z8)/(20*D)</f>
        <v>-2.1702357932464988E-5</v>
      </c>
      <c r="AA58" s="7">
        <f t="shared" ref="AA58:AB96" ca="1" si="27" xml:space="preserve"> -(D*Y58+2*D*Z57+D*AA56+2*D*AB57+D*AC58-8*D*AA59-8*D*Z58-8*D*AA57+2*D*AB59+D*AA60+2*D*Z59-8*D*AB58-delta^4*AA8)/(20*D)</f>
        <v>-2.3253981155536265E-5</v>
      </c>
      <c r="AB58" s="7">
        <f t="shared" ca="1" si="27"/>
        <v>-2.480170000584429E-5</v>
      </c>
      <c r="AC58" s="11">
        <f t="shared" ref="AC58:AC96" ca="1" si="28" xml:space="preserve"> (-nu*AB59)-AA58-nu*AB57+(2*nu+2)*AB58</f>
        <v>-2.6348958770177189E-5</v>
      </c>
      <c r="AD58" s="14">
        <f t="shared" ref="AD58:AD96" ca="1" si="29" xml:space="preserve"> Z58+(2-nu)*AA57+(nu-2)*AC57+(2*nu-6)*AA58+(nu-2)*AC59+(2-nu)*AA59+(6-2*nu)*AC58</f>
        <v>-2.7900076717672986E-5</v>
      </c>
    </row>
    <row r="59" spans="4:30" x14ac:dyDescent="0.25">
      <c r="D59" s="17"/>
      <c r="E59" s="2">
        <f t="shared" si="7"/>
        <v>3.800000000000002</v>
      </c>
      <c r="G59" s="15">
        <f t="shared" ca="1" si="8"/>
        <v>-2.5462952725064068E-7</v>
      </c>
      <c r="H59" s="8">
        <v>0</v>
      </c>
      <c r="I59" s="7">
        <f t="shared" ca="1" si="9"/>
        <v>-2.5462951113070938E-7</v>
      </c>
      <c r="J59" s="7">
        <f t="shared" ca="1" si="10"/>
        <v>-9.8158524273802583E-7</v>
      </c>
      <c r="K59" s="7">
        <f t="shared" ca="1" si="11"/>
        <v>-2.1394677446629268E-6</v>
      </c>
      <c r="L59" s="7">
        <f t="shared" ca="1" si="12"/>
        <v>-3.6839114648075715E-6</v>
      </c>
      <c r="M59" s="7">
        <f t="shared" ca="1" si="13"/>
        <v>-5.568972098380055E-6</v>
      </c>
      <c r="N59" s="7">
        <f t="shared" ca="1" si="14"/>
        <v>-7.7483874661631846E-6</v>
      </c>
      <c r="O59" s="7">
        <f t="shared" ca="1" si="15"/>
        <v>-1.0176705707080322E-5</v>
      </c>
      <c r="P59" s="7">
        <f t="shared" ca="1" si="16"/>
        <v>-1.2810278268769734E-5</v>
      </c>
      <c r="Q59" s="7">
        <f t="shared" ca="1" si="17"/>
        <v>-1.5608116269528155E-5</v>
      </c>
      <c r="R59" s="7">
        <f t="shared" ca="1" si="18"/>
        <v>-1.8532608326002644E-5</v>
      </c>
      <c r="S59" s="7">
        <f t="shared" ca="1" si="19"/>
        <v>-2.1550097013388681E-5</v>
      </c>
      <c r="T59" s="7">
        <f t="shared" ca="1" si="20"/>
        <v>-2.4631310752873908E-5</v>
      </c>
      <c r="U59" s="7">
        <f t="shared" ca="1" si="21"/>
        <v>-2.7751648807749726E-5</v>
      </c>
      <c r="V59" s="7">
        <f t="shared" ca="1" si="22"/>
        <v>-3.0891319475497671E-5</v>
      </c>
      <c r="W59" s="7">
        <f t="shared" ca="1" si="23"/>
        <v>-3.4035335252204831E-5</v>
      </c>
      <c r="X59" s="7">
        <f t="shared" ca="1" si="24"/>
        <v>-3.7173373050332024E-5</v>
      </c>
      <c r="Y59" s="7">
        <f t="shared" ca="1" si="25"/>
        <v>-4.0299511553951246E-5</v>
      </c>
      <c r="Z59" s="7">
        <f t="shared" ca="1" si="26"/>
        <v>-4.3411860585906494E-5</v>
      </c>
      <c r="AA59" s="7">
        <f t="shared" ca="1" si="27"/>
        <v>-4.6512098292190472E-5</v>
      </c>
      <c r="AB59" s="7">
        <f t="shared" ca="1" si="27"/>
        <v>-4.9604930825193835E-5</v>
      </c>
      <c r="AC59" s="11">
        <f t="shared" ca="1" si="28"/>
        <v>-5.2697486349149634E-5</v>
      </c>
      <c r="AD59" s="14">
        <f t="shared" ca="1" si="29"/>
        <v>-5.5798651331217012E-5</v>
      </c>
    </row>
    <row r="60" spans="4:30" x14ac:dyDescent="0.25">
      <c r="D60" s="17"/>
      <c r="E60" s="2">
        <f t="shared" si="7"/>
        <v>3.700000000000002</v>
      </c>
      <c r="G60" s="15">
        <f t="shared" ca="1" si="8"/>
        <v>-3.8383782067131602E-7</v>
      </c>
      <c r="H60" s="8">
        <v>0</v>
      </c>
      <c r="I60" s="7">
        <f t="shared" ca="1" si="9"/>
        <v>-3.8383779662173973E-7</v>
      </c>
      <c r="J60" s="7">
        <f t="shared" ca="1" si="10"/>
        <v>-1.4789654777229676E-6</v>
      </c>
      <c r="K60" s="7">
        <f t="shared" ca="1" si="11"/>
        <v>-3.2223702052293597E-6</v>
      </c>
      <c r="L60" s="7">
        <f t="shared" ca="1" si="12"/>
        <v>-5.5466808258670958E-6</v>
      </c>
      <c r="M60" s="7">
        <f t="shared" ca="1" si="13"/>
        <v>-8.3822570593011358E-6</v>
      </c>
      <c r="N60" s="7">
        <f t="shared" ca="1" si="14"/>
        <v>-1.1659082726391035E-5</v>
      </c>
      <c r="O60" s="7">
        <f t="shared" ca="1" si="15"/>
        <v>-1.5308456991944581E-5</v>
      </c>
      <c r="P60" s="7">
        <f t="shared" ca="1" si="16"/>
        <v>-1.926448240436851E-5</v>
      </c>
      <c r="Q60" s="7">
        <f t="shared" ca="1" si="17"/>
        <v>-2.3465349135958134E-5</v>
      </c>
      <c r="R60" s="7">
        <f t="shared" ca="1" si="18"/>
        <v>-2.7854413008767612E-5</v>
      </c>
      <c r="S60" s="7">
        <f t="shared" ca="1" si="19"/>
        <v>-3.2381062502967957E-5</v>
      </c>
      <c r="T60" s="7">
        <f t="shared" ca="1" si="20"/>
        <v>-3.7001368677047394E-5</v>
      </c>
      <c r="U60" s="7">
        <f t="shared" ca="1" si="21"/>
        <v>-4.1678512979175044E-5</v>
      </c>
      <c r="V60" s="7">
        <f t="shared" ca="1" si="22"/>
        <v>-4.6382991744456839E-5</v>
      </c>
      <c r="W60" s="7">
        <f t="shared" ca="1" si="23"/>
        <v>-5.1092602338883731E-5</v>
      </c>
      <c r="X60" s="7">
        <f t="shared" ca="1" si="24"/>
        <v>-5.5792223248794529E-5</v>
      </c>
      <c r="Y60" s="7">
        <f t="shared" ca="1" si="25"/>
        <v>-6.0473407297403177E-5</v>
      </c>
      <c r="Z60" s="7">
        <f t="shared" ca="1" si="26"/>
        <v>-6.5133811976288101E-5</v>
      </c>
      <c r="AA60" s="7">
        <f t="shared" ca="1" si="27"/>
        <v>-6.9776492455386803E-5</v>
      </c>
      <c r="AB60" s="7">
        <f t="shared" ca="1" si="27"/>
        <v>-7.4409080820719487E-5</v>
      </c>
      <c r="AC60" s="11">
        <f t="shared" ca="1" si="28"/>
        <v>-7.9042870024191261E-5</v>
      </c>
      <c r="AD60" s="14">
        <f t="shared" ca="1" si="29"/>
        <v>-8.3691814210355275E-5</v>
      </c>
    </row>
    <row r="61" spans="4:30" x14ac:dyDescent="0.25">
      <c r="D61" s="17"/>
      <c r="E61" s="2">
        <f t="shared" si="7"/>
        <v>3.6000000000000019</v>
      </c>
      <c r="G61" s="15">
        <f t="shared" ca="1" si="8"/>
        <v>-5.1530676733230262E-7</v>
      </c>
      <c r="H61" s="8">
        <v>0</v>
      </c>
      <c r="I61" s="7">
        <f t="shared" ca="1" si="9"/>
        <v>-5.153067355075208E-7</v>
      </c>
      <c r="J61" s="7">
        <f t="shared" ref="J61:J96" ca="1" si="30" xml:space="preserve"> -(D*H61+2*D*I60+D*J59+2*D*K60+D*L61-8*D*J62-8*D*I61-8*D*J60+2*D*K62+D*J63+2*D*I62-8*D*K61-delta^4*J11)/(20*D)</f>
        <v>-1.9841884956069413E-6</v>
      </c>
      <c r="K61" s="7">
        <f t="shared" ref="K61:K96" ca="1" si="31" xml:space="preserve"> -(D*I61+2*D*J60+D*K59+2*D*L60+D*M61-8*D*K62-8*D*J61-8*D*K60+2*D*L62+D*K63+2*D*J62-8*D*L61-delta^4*K11)/(20*D)</f>
        <v>-4.3209162298212348E-6</v>
      </c>
      <c r="L61" s="7">
        <f t="shared" ref="L61:L96" ca="1" si="32" xml:space="preserve"> -(D*J61+2*D*K60+D*L59+2*D*M60+D*N61-8*D*L62-8*D*K61-8*D*L60+2*D*M62+D*L63+2*D*K62-8*D*M61-delta^4*L11)/(20*D)</f>
        <v>-7.4341263635015152E-6</v>
      </c>
      <c r="M61" s="7">
        <f t="shared" ca="1" si="13"/>
        <v>-1.1229618708306499E-5</v>
      </c>
      <c r="N61" s="7">
        <f t="shared" ca="1" si="14"/>
        <v>-1.561288163660098E-5</v>
      </c>
      <c r="O61" s="7">
        <f t="shared" ca="1" si="15"/>
        <v>-2.0491343020182531E-5</v>
      </c>
      <c r="P61" s="7">
        <f t="shared" ca="1" si="16"/>
        <v>-2.5776350314825774E-5</v>
      </c>
      <c r="Q61" s="7">
        <f t="shared" ca="1" si="17"/>
        <v>-3.1384881960641207E-5</v>
      </c>
      <c r="R61" s="7">
        <f t="shared" ca="1" si="18"/>
        <v>-3.7240987633928466E-5</v>
      </c>
      <c r="S61" s="7">
        <f t="shared" ca="1" si="19"/>
        <v>-4.3276949688027156E-5</v>
      </c>
      <c r="T61" s="7">
        <f t="shared" ca="1" si="20"/>
        <v>-4.9434154982129006E-5</v>
      </c>
      <c r="U61" s="7">
        <f t="shared" ca="1" si="21"/>
        <v>-5.5663667119601896E-5</v>
      </c>
      <c r="V61" s="7">
        <f t="shared" ca="1" si="22"/>
        <v>-6.1926494635597512E-5</v>
      </c>
      <c r="W61" s="7">
        <f t="shared" ca="1" si="23"/>
        <v>-6.819356022196367E-5</v>
      </c>
      <c r="X61" s="7">
        <f t="shared" ca="1" si="24"/>
        <v>-7.4445387716657184E-5</v>
      </c>
      <c r="Y61" s="7">
        <f t="shared" ca="1" si="25"/>
        <v>-8.0671534613903766E-5</v>
      </c>
      <c r="Z61" s="7">
        <f t="shared" ca="1" si="26"/>
        <v>-8.6869805570675146E-5</v>
      </c>
      <c r="AA61" s="7">
        <f t="shared" ca="1" si="27"/>
        <v>-9.3045284872839918E-5</v>
      </c>
      <c r="AB61" s="7">
        <f t="shared" ca="1" si="27"/>
        <v>-9.9209222480728981E-5</v>
      </c>
      <c r="AC61" s="11">
        <f t="shared" ca="1" si="28"/>
        <v>-1.0537779998042544E-4</v>
      </c>
      <c r="AD61" s="14">
        <f t="shared" ca="1" si="29"/>
        <v>-1.1157079165542727E-4</v>
      </c>
    </row>
    <row r="62" spans="4:30" x14ac:dyDescent="0.25">
      <c r="D62" s="17"/>
      <c r="E62" s="2">
        <f t="shared" si="7"/>
        <v>3.5000000000000018</v>
      </c>
      <c r="G62" s="15">
        <f t="shared" ca="1" si="8"/>
        <v>-6.4976761084103451E-7</v>
      </c>
      <c r="H62" s="8">
        <v>0</v>
      </c>
      <c r="I62" s="7">
        <f t="shared" ca="1" si="9"/>
        <v>-6.497675714444924E-7</v>
      </c>
      <c r="J62" s="7">
        <f t="shared" ca="1" si="30"/>
        <v>-2.4997536415796086E-6</v>
      </c>
      <c r="K62" s="7">
        <f t="shared" ca="1" si="31"/>
        <v>-5.4400335346605903E-6</v>
      </c>
      <c r="L62" s="7">
        <f t="shared" ca="1" si="32"/>
        <v>-9.3539384199326087E-6</v>
      </c>
      <c r="M62" s="7">
        <f t="shared" ca="1" si="13"/>
        <v>-1.4121565892360423E-5</v>
      </c>
      <c r="N62" s="7">
        <f t="shared" ca="1" si="14"/>
        <v>-1.9622931793117206E-5</v>
      </c>
      <c r="O62" s="7">
        <f t="shared" ca="1" si="15"/>
        <v>-2.5740772704227976E-5</v>
      </c>
      <c r="P62" s="7">
        <f t="shared" ca="1" si="16"/>
        <v>-3.236301188378889E-5</v>
      </c>
      <c r="Q62" s="7">
        <f t="shared" ca="1" si="17"/>
        <v>-3.9384896306928445E-5</v>
      </c>
      <c r="R62" s="7">
        <f t="shared" ca="1" si="18"/>
        <v>-4.6710802799005778E-5</v>
      </c>
      <c r="S62" s="7">
        <f t="shared" ca="1" si="19"/>
        <v>-5.4255701162441254E-5</v>
      </c>
      <c r="T62" s="7">
        <f t="shared" ca="1" si="20"/>
        <v>-6.1946255649355871E-5</v>
      </c>
      <c r="U62" s="7">
        <f t="shared" ca="1" si="21"/>
        <v>-6.9721546088736519E-5</v>
      </c>
      <c r="V62" s="7">
        <f t="shared" ca="1" si="22"/>
        <v>-7.7533397661330735E-5</v>
      </c>
      <c r="W62" s="7">
        <f t="shared" ca="1" si="23"/>
        <v>-8.5346322723411816E-5</v>
      </c>
      <c r="X62" s="7">
        <f t="shared" ca="1" si="24"/>
        <v>-9.3137096110499604E-5</v>
      </c>
      <c r="Y62" s="7">
        <f t="shared" ca="1" si="25"/>
        <v>-1.0089400262089359E-4</v>
      </c>
      <c r="Z62" s="7">
        <f t="shared" ca="1" si="26"/>
        <v>-1.0861580748961695E-4</v>
      </c>
      <c r="AA62" s="7">
        <f t="shared" ca="1" si="27"/>
        <v>-1.1631050449858161E-4</v>
      </c>
      <c r="AB62" s="7">
        <f t="shared" ca="1" si="27"/>
        <v>-1.2399389097357495E-4</v>
      </c>
      <c r="AC62" s="11">
        <f t="shared" ca="1" si="28"/>
        <v>-1.3168800571747644E-4</v>
      </c>
      <c r="AD62" s="14">
        <f t="shared" ca="1" si="29"/>
        <v>-1.3941944830512761E-4</v>
      </c>
    </row>
    <row r="63" spans="4:30" x14ac:dyDescent="0.25">
      <c r="D63" s="17"/>
      <c r="E63" s="2">
        <f t="shared" si="7"/>
        <v>3.4000000000000017</v>
      </c>
      <c r="G63" s="15">
        <f t="shared" ca="1" si="8"/>
        <v>-7.8792617139886683E-7</v>
      </c>
      <c r="H63" s="8">
        <v>0</v>
      </c>
      <c r="I63" s="7">
        <f t="shared" ca="1" si="9"/>
        <v>-7.8792612468140382E-7</v>
      </c>
      <c r="J63" s="7">
        <f t="shared" ca="1" si="30"/>
        <v>-3.0280388470753415E-6</v>
      </c>
      <c r="K63" s="7">
        <f t="shared" ca="1" si="31"/>
        <v>-6.5843578783234106E-6</v>
      </c>
      <c r="L63" s="7">
        <f t="shared" ca="1" si="32"/>
        <v>-1.1313276919110696E-5</v>
      </c>
      <c r="M63" s="7">
        <f t="shared" ca="1" si="13"/>
        <v>-1.7067782702407032E-5</v>
      </c>
      <c r="N63" s="7">
        <f t="shared" ca="1" si="14"/>
        <v>-2.3701218665301766E-5</v>
      </c>
      <c r="O63" s="7">
        <f t="shared" ca="1" si="15"/>
        <v>-3.1070622594271269E-5</v>
      </c>
      <c r="P63" s="7">
        <f t="shared" ca="1" si="16"/>
        <v>-3.9039666991638411E-5</v>
      </c>
      <c r="Q63" s="7">
        <f t="shared" ca="1" si="17"/>
        <v>-4.7481219000102146E-5</v>
      </c>
      <c r="R63" s="7">
        <f t="shared" ca="1" si="18"/>
        <v>-5.6279518793976055E-5</v>
      </c>
      <c r="S63" s="7">
        <f t="shared" ca="1" si="19"/>
        <v>-6.5331957286394226E-5</v>
      </c>
      <c r="T63" s="7">
        <f t="shared" ca="1" si="20"/>
        <v>-7.4550421655006507E-5</v>
      </c>
      <c r="U63" s="7">
        <f t="shared" ca="1" si="21"/>
        <v>-8.3862175223477646E-5</v>
      </c>
      <c r="V63" s="7">
        <f t="shared" ca="1" si="22"/>
        <v>-9.3210248769944962E-5</v>
      </c>
      <c r="W63" s="7">
        <f t="shared" ca="1" si="23"/>
        <v>-1.0255334194347224E-4</v>
      </c>
      <c r="X63" s="7">
        <f t="shared" ca="1" si="24"/>
        <v>-1.1186526125491604E-4</v>
      </c>
      <c r="Y63" s="7">
        <f t="shared" ca="1" si="25"/>
        <v>-1.2113394799835577E-4</v>
      </c>
      <c r="Z63" s="7">
        <f t="shared" ca="1" si="26"/>
        <v>-1.3036016833359922E-4</v>
      </c>
      <c r="AA63" s="7">
        <f t="shared" ca="1" si="27"/>
        <v>-1.395559436154395E-4</v>
      </c>
      <c r="AB63" s="7">
        <f t="shared" ca="1" si="27"/>
        <v>-1.4874279043271699E-4</v>
      </c>
      <c r="AC63" s="11">
        <f t="shared" ca="1" si="28"/>
        <v>-1.5794981904894919E-4</v>
      </c>
      <c r="AD63" s="14">
        <f t="shared" ca="1" si="29"/>
        <v>-1.6721171132001473E-4</v>
      </c>
    </row>
    <row r="64" spans="4:30" x14ac:dyDescent="0.25">
      <c r="D64" s="17"/>
      <c r="E64" s="2">
        <f t="shared" si="7"/>
        <v>3.3000000000000016</v>
      </c>
      <c r="G64" s="15">
        <f t="shared" ca="1" si="8"/>
        <v>-9.3044784687904141E-7</v>
      </c>
      <c r="H64" s="8">
        <v>0</v>
      </c>
      <c r="I64" s="7">
        <f t="shared" ca="1" si="9"/>
        <v>-9.3044779313704682E-7</v>
      </c>
      <c r="J64" s="7">
        <f t="shared" ca="1" si="30"/>
        <v>-3.5712392726612646E-6</v>
      </c>
      <c r="K64" s="7">
        <f t="shared" ca="1" si="31"/>
        <v>-7.7580981753224326E-6</v>
      </c>
      <c r="L64" s="7">
        <f t="shared" ca="1" si="32"/>
        <v>-1.3318542982680337E-5</v>
      </c>
      <c r="M64" s="7">
        <f t="shared" ca="1" si="13"/>
        <v>-2.0076794665284984E-5</v>
      </c>
      <c r="N64" s="7">
        <f t="shared" ca="1" si="14"/>
        <v>-2.7858121570217228E-5</v>
      </c>
      <c r="O64" s="7">
        <f t="shared" ca="1" si="15"/>
        <v>-3.6492682786574196E-5</v>
      </c>
      <c r="P64" s="7">
        <f t="shared" ca="1" si="16"/>
        <v>-4.581892352263147E-5</v>
      </c>
      <c r="Q64" s="7">
        <f t="shared" ca="1" si="17"/>
        <v>-5.5686553383013169E-5</v>
      </c>
      <c r="R64" s="7">
        <f t="shared" ca="1" si="18"/>
        <v>-6.5959107812182084E-5</v>
      </c>
      <c r="S64" s="7">
        <f t="shared" ca="1" si="19"/>
        <v>-7.6516062417405416E-5</v>
      </c>
      <c r="T64" s="7">
        <f t="shared" ca="1" si="20"/>
        <v>-8.7254448020147133E-5</v>
      </c>
      <c r="U64" s="7">
        <f t="shared" ca="1" si="21"/>
        <v>-9.8089908588802979E-5</v>
      </c>
      <c r="V64" s="7">
        <f t="shared" ca="1" si="22"/>
        <v>-1.089571585211723E-4</v>
      </c>
      <c r="W64" s="7">
        <f t="shared" ca="1" si="23"/>
        <v>-1.1980982822214911E-4</v>
      </c>
      <c r="X64" s="7">
        <f t="shared" ca="1" si="24"/>
        <v>-1.3061972984629733E-4</v>
      </c>
      <c r="Y64" s="7">
        <f t="shared" ca="1" si="25"/>
        <v>-1.4137561701293877E-4</v>
      </c>
      <c r="Z64" s="7">
        <f t="shared" ca="1" si="26"/>
        <v>-1.5208154170333254E-4</v>
      </c>
      <c r="AA64" s="7">
        <f t="shared" ca="1" si="27"/>
        <v>-1.6275492041506267E-4</v>
      </c>
      <c r="AB64" s="7">
        <f t="shared" ca="1" si="27"/>
        <v>-1.7342440786627844E-4</v>
      </c>
      <c r="AC64" s="11">
        <f t="shared" ca="1" si="28"/>
        <v>-1.8412764403732295E-4</v>
      </c>
      <c r="AD64" s="14">
        <f t="shared" ca="1" si="29"/>
        <v>-1.9490889740802185E-4</v>
      </c>
    </row>
    <row r="65" spans="4:30" x14ac:dyDescent="0.25">
      <c r="D65" s="17"/>
      <c r="E65" s="2">
        <f t="shared" si="7"/>
        <v>3.2000000000000015</v>
      </c>
      <c r="G65" s="15">
        <f t="shared" ca="1" si="8"/>
        <v>-1.0779356394234496E-6</v>
      </c>
      <c r="H65" s="8">
        <v>0</v>
      </c>
      <c r="I65" s="7">
        <f t="shared" ca="1" si="9"/>
        <v>-1.0779355789967867E-6</v>
      </c>
      <c r="J65" s="7">
        <f t="shared" ca="1" si="30"/>
        <v>-4.1312816099409641E-6</v>
      </c>
      <c r="K65" s="7">
        <f t="shared" ca="1" si="31"/>
        <v>-8.9648537845348509E-6</v>
      </c>
      <c r="L65" s="7">
        <f t="shared" ca="1" si="32"/>
        <v>-1.5375077336297018E-5</v>
      </c>
      <c r="M65" s="7">
        <f t="shared" ca="1" si="13"/>
        <v>-2.3155538158094779E-5</v>
      </c>
      <c r="N65" s="7">
        <f t="shared" ca="1" si="14"/>
        <v>-3.2101854042211602E-5</v>
      </c>
      <c r="O65" s="7">
        <f t="shared" ca="1" si="15"/>
        <v>-4.20159750151594E-5</v>
      </c>
      <c r="P65" s="7">
        <f t="shared" ca="1" si="16"/>
        <v>-5.2710002561525145E-5</v>
      </c>
      <c r="Q65" s="7">
        <f t="shared" ca="1" si="17"/>
        <v>-6.4009579208925928E-5</v>
      </c>
      <c r="R65" s="7">
        <f t="shared" ca="1" si="18"/>
        <v>-7.5756850690775741E-5</v>
      </c>
      <c r="S65" s="7">
        <f t="shared" ca="1" si="19"/>
        <v>-8.7812953287815865E-5</v>
      </c>
      <c r="T65" s="7">
        <f t="shared" ca="1" si="20"/>
        <v>-1.0005994166843847E-4</v>
      </c>
      <c r="U65" s="7">
        <f t="shared" ca="1" si="21"/>
        <v>-1.1240205988669829E-4</v>
      </c>
      <c r="V65" s="7">
        <f t="shared" ca="1" si="22"/>
        <v>-1.2476627742928859E-4</v>
      </c>
      <c r="W65" s="7">
        <f t="shared" ca="1" si="23"/>
        <v>-1.3710206125810566E-4</v>
      </c>
      <c r="X65" s="7">
        <f t="shared" ca="1" si="24"/>
        <v>-1.4938042148651627E-4</v>
      </c>
      <c r="Y65" s="7">
        <f t="shared" ca="1" si="25"/>
        <v>-1.6159233403680059E-4</v>
      </c>
      <c r="Z65" s="7">
        <f t="shared" ca="1" si="26"/>
        <v>-1.7374668950271698E-4</v>
      </c>
      <c r="AA65" s="7">
        <f t="shared" ca="1" si="27"/>
        <v>-1.8586793068152448E-4</v>
      </c>
      <c r="AB65" s="7">
        <f t="shared" ca="1" si="27"/>
        <v>-1.9799351903836401E-4</v>
      </c>
      <c r="AC65" s="11">
        <f t="shared" ca="1" si="28"/>
        <v>-2.1017131963999838E-4</v>
      </c>
      <c r="AD65" s="14">
        <f t="shared" ca="1" si="29"/>
        <v>-2.2245692789439131E-4</v>
      </c>
    </row>
    <row r="66" spans="4:30" x14ac:dyDescent="0.25">
      <c r="D66" s="17"/>
      <c r="E66" s="2">
        <f t="shared" si="7"/>
        <v>3.1000000000000014</v>
      </c>
      <c r="G66" s="15">
        <f t="shared" ca="1" si="8"/>
        <v>-1.2308986515247568E-6</v>
      </c>
      <c r="H66" s="8">
        <v>0</v>
      </c>
      <c r="I66" s="7">
        <f t="shared" ca="1" si="9"/>
        <v>-1.2308985847944573E-6</v>
      </c>
      <c r="J66" s="7">
        <f t="shared" ca="1" si="30"/>
        <v>-4.7097057820484172E-6</v>
      </c>
      <c r="K66" s="7">
        <f t="shared" ca="1" si="31"/>
        <v>-1.0207368421769692E-5</v>
      </c>
      <c r="L66" s="7">
        <f t="shared" ca="1" si="32"/>
        <v>-1.7486762276035457E-5</v>
      </c>
      <c r="M66" s="7">
        <f t="shared" ca="1" si="13"/>
        <v>-2.6308802722547419E-5</v>
      </c>
      <c r="N66" s="7">
        <f t="shared" ca="1" si="14"/>
        <v>-3.6437752632920624E-5</v>
      </c>
      <c r="O66" s="7">
        <f t="shared" ca="1" si="15"/>
        <v>-4.7645903500364756E-5</v>
      </c>
      <c r="P66" s="7">
        <f t="shared" ca="1" si="16"/>
        <v>-5.9717770514467928E-5</v>
      </c>
      <c r="Q66" s="7">
        <f t="shared" ca="1" si="17"/>
        <v>-7.2453882640723834E-5</v>
      </c>
      <c r="R66" s="7">
        <f t="shared" ca="1" si="18"/>
        <v>-8.5674173305672798E-5</v>
      </c>
      <c r="S66" s="7">
        <f t="shared" ca="1" si="19"/>
        <v>-9.9220899109901808E-5</v>
      </c>
      <c r="T66" s="7">
        <f t="shared" ca="1" si="20"/>
        <v>-1.1296095171912796E-4</v>
      </c>
      <c r="U66" s="7">
        <f t="shared" ca="1" si="21"/>
        <v>-1.2678740244617237E-4</v>
      </c>
      <c r="V66" s="7">
        <f t="shared" ca="1" si="22"/>
        <v>-1.4062014428299855E-4</v>
      </c>
      <c r="W66" s="7">
        <f t="shared" ca="1" si="23"/>
        <v>-1.5440557070334039E-4</v>
      </c>
      <c r="X66" s="7">
        <f t="shared" ca="1" si="24"/>
        <v>-1.6811533493212721E-4</v>
      </c>
      <c r="Y66" s="7">
        <f t="shared" ca="1" si="25"/>
        <v>-1.8174433695365179E-4</v>
      </c>
      <c r="Z66" s="7">
        <f t="shared" ca="1" si="26"/>
        <v>-1.9530815728435879E-4</v>
      </c>
      <c r="AA66" s="7">
        <f t="shared" ca="1" si="27"/>
        <v>-2.0884017582403807E-4</v>
      </c>
      <c r="AB66" s="7">
        <f t="shared" ca="1" si="27"/>
        <v>-2.2238857776538064E-4</v>
      </c>
      <c r="AC66" s="11">
        <f t="shared" ca="1" si="28"/>
        <v>-2.3601336946374365E-4</v>
      </c>
      <c r="AD66" s="14">
        <f t="shared" ca="1" si="29"/>
        <v>-2.4978342612558225E-4</v>
      </c>
    </row>
    <row r="67" spans="4:30" x14ac:dyDescent="0.25">
      <c r="D67" s="17"/>
      <c r="E67" s="2">
        <f t="shared" si="7"/>
        <v>3.0000000000000013</v>
      </c>
      <c r="G67" s="15">
        <f t="shared" ca="1" si="8"/>
        <v>-1.3897080262789281E-6</v>
      </c>
      <c r="H67" s="8">
        <v>0</v>
      </c>
      <c r="I67" s="7">
        <f t="shared" ca="1" si="9"/>
        <v>-1.3897079536646663E-6</v>
      </c>
      <c r="J67" s="7">
        <f t="shared" ca="1" si="30"/>
        <v>-5.3075045938341212E-6</v>
      </c>
      <c r="K67" s="7">
        <f t="shared" ca="1" si="31"/>
        <v>-1.1487203144667761E-5</v>
      </c>
      <c r="L67" s="7">
        <f t="shared" ca="1" si="32"/>
        <v>-1.9655500963231511E-5</v>
      </c>
      <c r="M67" s="7">
        <f t="shared" ca="1" si="13"/>
        <v>-2.9538511677730792E-5</v>
      </c>
      <c r="N67" s="7">
        <f t="shared" ca="1" si="14"/>
        <v>-4.08673724297032E-5</v>
      </c>
      <c r="O67" s="7">
        <f t="shared" ca="1" si="15"/>
        <v>-5.3383192030601388E-5</v>
      </c>
      <c r="P67" s="7">
        <f t="shared" ca="1" si="16"/>
        <v>-6.6841549989225772E-5</v>
      </c>
      <c r="Q67" s="7">
        <f t="shared" ca="1" si="17"/>
        <v>-8.1016669996933393E-5</v>
      </c>
      <c r="R67" s="7">
        <f t="shared" ca="1" si="18"/>
        <v>-9.5705280872518853E-5</v>
      </c>
      <c r="S67" s="7">
        <f t="shared" ca="1" si="19"/>
        <v>-1.1073005761182775E-4</v>
      </c>
      <c r="T67" s="7">
        <f t="shared" ca="1" si="20"/>
        <v>-1.2594243200094962E-4</v>
      </c>
      <c r="U67" s="7">
        <f t="shared" ca="1" si="21"/>
        <v>-1.4122451209292952E-4</v>
      </c>
      <c r="V67" s="7">
        <f t="shared" ca="1" si="22"/>
        <v>-1.5648988149441668E-4</v>
      </c>
      <c r="W67" s="7">
        <f t="shared" ca="1" si="23"/>
        <v>-1.7168316361867352E-4</v>
      </c>
      <c r="X67" s="7">
        <f t="shared" ca="1" si="24"/>
        <v>-1.8677840074960035E-4</v>
      </c>
      <c r="Y67" s="7">
        <f t="shared" ca="1" si="25"/>
        <v>-2.0177646213065929E-4</v>
      </c>
      <c r="Z67" s="7">
        <f t="shared" ca="1" si="26"/>
        <v>-2.1670180790943263E-4</v>
      </c>
      <c r="AA67" s="7">
        <f t="shared" ca="1" si="27"/>
        <v>-2.3159896267079815E-4</v>
      </c>
      <c r="AB67" s="7">
        <f t="shared" ca="1" si="27"/>
        <v>-2.4652899131225264E-4</v>
      </c>
      <c r="AC67" s="11">
        <f t="shared" ca="1" si="28"/>
        <v>-2.6156614661900071E-4</v>
      </c>
      <c r="AD67" s="14">
        <f t="shared" ca="1" si="29"/>
        <v>-2.7679470588097403E-4</v>
      </c>
    </row>
    <row r="68" spans="4:30" x14ac:dyDescent="0.25">
      <c r="D68" s="17"/>
      <c r="E68" s="2">
        <f t="shared" si="7"/>
        <v>2.9000000000000012</v>
      </c>
      <c r="G68" s="15">
        <f t="shared" ca="1" si="8"/>
        <v>-1.5545370505877335E-6</v>
      </c>
      <c r="H68" s="8">
        <v>0</v>
      </c>
      <c r="I68" s="7">
        <f t="shared" ca="1" si="9"/>
        <v>-1.5545369725450911E-6</v>
      </c>
      <c r="J68" s="7">
        <f t="shared" ca="1" si="30"/>
        <v>-5.9249115182637977E-6</v>
      </c>
      <c r="K68" s="7">
        <f t="shared" ca="1" si="31"/>
        <v>-1.2804310392709185E-5</v>
      </c>
      <c r="L68" s="7">
        <f t="shared" ca="1" si="32"/>
        <v>-2.1880546803570322E-5</v>
      </c>
      <c r="M68" s="7">
        <f t="shared" ca="1" si="13"/>
        <v>-3.2842804050154062E-5</v>
      </c>
      <c r="N68" s="7">
        <f t="shared" ca="1" si="14"/>
        <v>-4.538734299994029E-5</v>
      </c>
      <c r="O68" s="7">
        <f t="shared" ca="1" si="15"/>
        <v>-5.9222553594490266E-5</v>
      </c>
      <c r="P68" s="7">
        <f t="shared" ca="1" si="16"/>
        <v>-7.407365194761328E-5</v>
      </c>
      <c r="Q68" s="7">
        <f t="shared" ca="1" si="17"/>
        <v>-8.9687208559667336E-5</v>
      </c>
      <c r="R68" s="7">
        <f t="shared" ca="1" si="18"/>
        <v>-1.0583553848418313E-4</v>
      </c>
      <c r="S68" s="7">
        <f t="shared" ca="1" si="19"/>
        <v>-1.223208027001949E-4</v>
      </c>
      <c r="T68" s="7">
        <f t="shared" ca="1" si="20"/>
        <v>-1.3897849877852119E-4</v>
      </c>
      <c r="U68" s="7">
        <f t="shared" ca="1" si="21"/>
        <v>-1.5567992140290104E-4</v>
      </c>
      <c r="V68" s="7">
        <f t="shared" ca="1" si="22"/>
        <v>-1.7233320949209632E-4</v>
      </c>
      <c r="W68" s="7">
        <f t="shared" ca="1" si="23"/>
        <v>-1.8888277360876228E-4</v>
      </c>
      <c r="X68" s="7">
        <f t="shared" ca="1" si="24"/>
        <v>-2.05307159349326E-4</v>
      </c>
      <c r="Y68" s="7">
        <f t="shared" ca="1" si="25"/>
        <v>-2.2161566502666336E-4</v>
      </c>
      <c r="Z68" s="7">
        <f t="shared" ca="1" si="26"/>
        <v>-2.3784420984823508E-4</v>
      </c>
      <c r="AA68" s="7">
        <f t="shared" ca="1" si="27"/>
        <v>-2.5405098354811667E-4</v>
      </c>
      <c r="AB68" s="7">
        <f t="shared" ca="1" si="27"/>
        <v>-2.7031230236943324E-4</v>
      </c>
      <c r="AC68" s="11">
        <f t="shared" ca="1" si="28"/>
        <v>-2.8671890300356069E-4</v>
      </c>
      <c r="AD68" s="14">
        <f t="shared" ca="1" si="29"/>
        <v>-3.0337268216390229E-4</v>
      </c>
    </row>
    <row r="69" spans="4:30" x14ac:dyDescent="0.25">
      <c r="D69" s="17"/>
      <c r="E69" s="2">
        <f t="shared" si="7"/>
        <v>2.8000000000000012</v>
      </c>
      <c r="G69" s="15">
        <f t="shared" ca="1" si="8"/>
        <v>-1.725282420345844E-6</v>
      </c>
      <c r="H69" s="8">
        <v>0</v>
      </c>
      <c r="I69" s="7">
        <f t="shared" ca="1" si="9"/>
        <v>-1.7252823373633778E-6</v>
      </c>
      <c r="J69" s="7">
        <f t="shared" ca="1" si="30"/>
        <v>-6.5611282886042639E-6</v>
      </c>
      <c r="K69" s="7">
        <f t="shared" ca="1" si="31"/>
        <v>-1.4156493963838538E-5</v>
      </c>
      <c r="L69" s="7">
        <f t="shared" ca="1" si="32"/>
        <v>-2.4157659126715484E-5</v>
      </c>
      <c r="M69" s="7">
        <f t="shared" ca="1" si="13"/>
        <v>-3.6214883119221274E-5</v>
      </c>
      <c r="N69" s="7">
        <f t="shared" ca="1" si="14"/>
        <v>-4.9987937538183895E-5</v>
      </c>
      <c r="O69" s="7">
        <f t="shared" ca="1" si="15"/>
        <v>-6.5151033294889469E-5</v>
      </c>
      <c r="P69" s="7">
        <f t="shared" ca="1" si="16"/>
        <v>-8.1397561318230673E-5</v>
      </c>
      <c r="Q69" s="7">
        <f t="shared" ca="1" si="17"/>
        <v>-9.8444924138909353E-5</v>
      </c>
      <c r="R69" s="7">
        <f t="shared" ca="1" si="18"/>
        <v>-1.160395315228244E-4</v>
      </c>
      <c r="S69" s="7">
        <f t="shared" ca="1" si="19"/>
        <v>-1.3396176550452884E-4</v>
      </c>
      <c r="T69" s="7">
        <f t="shared" ca="1" si="20"/>
        <v>-1.5203043434451683E-4</v>
      </c>
      <c r="U69" s="7">
        <f t="shared" ca="1" si="21"/>
        <v>-1.7010604329548761E-4</v>
      </c>
      <c r="V69" s="7">
        <f t="shared" ca="1" si="22"/>
        <v>-1.880922435875531E-4</v>
      </c>
      <c r="W69" s="7">
        <f t="shared" ca="1" si="23"/>
        <v>-2.0593510063120356E-4</v>
      </c>
      <c r="X69" s="7">
        <f t="shared" ca="1" si="24"/>
        <v>-2.2362024203558141E-4</v>
      </c>
      <c r="Y69" s="7">
        <f t="shared" ca="1" si="25"/>
        <v>-2.4116836776257478E-4</v>
      </c>
      <c r="Z69" s="7">
        <f t="shared" ca="1" si="26"/>
        <v>-2.5862988967121188E-4</v>
      </c>
      <c r="AA69" s="7">
        <f t="shared" ca="1" si="27"/>
        <v>-2.7607950639879875E-4</v>
      </c>
      <c r="AB69" s="7">
        <f t="shared" ca="1" si="27"/>
        <v>-2.9361132624804756E-4</v>
      </c>
      <c r="AC69" s="11">
        <f t="shared" ca="1" si="28"/>
        <v>-3.1133484566284121E-4</v>
      </c>
      <c r="AD69" s="14">
        <f t="shared" ca="1" si="29"/>
        <v>-3.2937177145269314E-4</v>
      </c>
    </row>
    <row r="70" spans="4:30" x14ac:dyDescent="0.25">
      <c r="D70" s="17"/>
      <c r="E70" s="2">
        <f t="shared" si="7"/>
        <v>2.7000000000000011</v>
      </c>
      <c r="G70" s="15">
        <f t="shared" ca="1" si="8"/>
        <v>-1.9014649870670457E-6</v>
      </c>
      <c r="H70" s="8">
        <v>0</v>
      </c>
      <c r="I70" s="7">
        <f t="shared" ca="1" si="9"/>
        <v>-1.9014648996631668E-6</v>
      </c>
      <c r="J70" s="7">
        <f t="shared" ca="1" si="30"/>
        <v>-7.2139888416060126E-6</v>
      </c>
      <c r="K70" s="7">
        <f t="shared" ca="1" si="31"/>
        <v>-1.5538748850932052E-5</v>
      </c>
      <c r="L70" s="7">
        <f t="shared" ca="1" si="32"/>
        <v>-2.6478073224131927E-5</v>
      </c>
      <c r="M70" s="7">
        <f t="shared" ca="1" si="13"/>
        <v>-3.9641608402807255E-5</v>
      </c>
      <c r="N70" s="7">
        <f t="shared" ca="1" si="14"/>
        <v>-5.4651315162802759E-5</v>
      </c>
      <c r="O70" s="7">
        <f t="shared" ca="1" si="15"/>
        <v>-7.1145964542740096E-5</v>
      </c>
      <c r="P70" s="7">
        <f t="shared" ca="1" si="16"/>
        <v>-8.8785698197419623E-5</v>
      </c>
      <c r="Q70" s="7">
        <f t="shared" ca="1" si="17"/>
        <v>-1.0725706720977748E-4</v>
      </c>
      <c r="R70" s="7">
        <f t="shared" ca="1" si="18"/>
        <v>-1.26278717323073E-4</v>
      </c>
      <c r="S70" s="7">
        <f t="shared" ca="1" si="19"/>
        <v>-1.45607507076357E-4</v>
      </c>
      <c r="T70" s="7">
        <f t="shared" ca="1" si="20"/>
        <v>-1.6504436435891656E-4</v>
      </c>
      <c r="U70" s="7">
        <f t="shared" ca="1" si="21"/>
        <v>-1.8443880119114792E-4</v>
      </c>
      <c r="V70" s="7">
        <f t="shared" ca="1" si="22"/>
        <v>-2.0369101941205371E-4</v>
      </c>
      <c r="W70" s="7">
        <f t="shared" ca="1" si="23"/>
        <v>-2.2275099853165373E-4</v>
      </c>
      <c r="X70" s="7">
        <f t="shared" ca="1" si="24"/>
        <v>-2.4161462935764753E-4</v>
      </c>
      <c r="Y70" s="7">
        <f t="shared" ca="1" si="25"/>
        <v>-2.6031763363986354E-4</v>
      </c>
      <c r="Z70" s="7">
        <f t="shared" ca="1" si="26"/>
        <v>-2.7892848047860001E-4</v>
      </c>
      <c r="AA70" s="7">
        <f t="shared" ca="1" si="27"/>
        <v>-2.9754153930896556E-4</v>
      </c>
      <c r="AB70" s="7">
        <f t="shared" ca="1" si="27"/>
        <v>-3.1627133633191172E-4</v>
      </c>
      <c r="AC70" s="11">
        <f t="shared" ca="1" si="28"/>
        <v>-3.3524829443349599E-4</v>
      </c>
      <c r="AD70" s="14">
        <f t="shared" ca="1" si="29"/>
        <v>-3.5461590437520338E-4</v>
      </c>
    </row>
    <row r="71" spans="4:30" x14ac:dyDescent="0.25">
      <c r="D71" s="17"/>
      <c r="E71" s="2">
        <f t="shared" si="7"/>
        <v>2.600000000000001</v>
      </c>
      <c r="G71" s="15">
        <f t="shared" ca="1" si="8"/>
        <v>-2.082111349037244E-6</v>
      </c>
      <c r="H71" s="8">
        <v>0</v>
      </c>
      <c r="I71" s="7">
        <f t="shared" ca="1" si="9"/>
        <v>-2.0821112577569387E-6</v>
      </c>
      <c r="J71" s="7">
        <f t="shared" ca="1" si="30"/>
        <v>-7.8795664625221463E-6</v>
      </c>
      <c r="K71" s="7">
        <f t="shared" ca="1" si="31"/>
        <v>-1.6942493807090963E-5</v>
      </c>
      <c r="L71" s="7">
        <f t="shared" ca="1" si="32"/>
        <v>-2.8827298650247213E-5</v>
      </c>
      <c r="M71" s="7">
        <f t="shared" ca="1" si="13"/>
        <v>-4.3101835867894159E-5</v>
      </c>
      <c r="N71" s="7">
        <f t="shared" ca="1" si="14"/>
        <v>-5.9349419282624289E-5</v>
      </c>
      <c r="O71" s="7">
        <f t="shared" ca="1" si="15"/>
        <v>-7.7172489083372609E-5</v>
      </c>
      <c r="P71" s="7">
        <f t="shared" ca="1" si="16"/>
        <v>-9.6196670266401828E-5</v>
      </c>
      <c r="Q71" s="7">
        <f t="shared" ca="1" si="17"/>
        <v>-1.1607583657436313E-4</v>
      </c>
      <c r="R71" s="7">
        <f t="shared" ca="1" si="18"/>
        <v>-1.3649854528690808E-4</v>
      </c>
      <c r="S71" s="7">
        <f t="shared" ca="1" si="19"/>
        <v>-1.5719570070040417E-4</v>
      </c>
      <c r="T71" s="7">
        <f t="shared" ca="1" si="20"/>
        <v>-1.7794849429478328E-4</v>
      </c>
      <c r="U71" s="7">
        <f t="shared" ca="1" si="21"/>
        <v>-1.985948625911082E-4</v>
      </c>
      <c r="V71" s="7">
        <f t="shared" ca="1" si="22"/>
        <v>-2.1903265929005603E-4</v>
      </c>
      <c r="W71" s="7">
        <f t="shared" ca="1" si="23"/>
        <v>-2.3921854450603501E-4</v>
      </c>
      <c r="X71" s="7">
        <f t="shared" ca="1" si="24"/>
        <v>-2.5916265462124849E-4</v>
      </c>
      <c r="Y71" s="7">
        <f t="shared" ca="1" si="25"/>
        <v>-2.7892018394450502E-4</v>
      </c>
      <c r="Z71" s="7">
        <f t="shared" ca="1" si="26"/>
        <v>-2.9858183606165873E-4</v>
      </c>
      <c r="AA71" s="7">
        <f t="shared" ca="1" si="27"/>
        <v>-3.1826509043495946E-4</v>
      </c>
      <c r="AB71" s="7">
        <f t="shared" ca="1" si="27"/>
        <v>-3.3810746023174755E-4</v>
      </c>
      <c r="AC71" s="11">
        <f t="shared" ca="1" si="28"/>
        <v>-3.5826213362002914E-4</v>
      </c>
      <c r="AD71" s="14">
        <f t="shared" ca="1" si="29"/>
        <v>-3.7889586034400998E-4</v>
      </c>
    </row>
    <row r="72" spans="4:30" x14ac:dyDescent="0.25">
      <c r="D72" s="17"/>
      <c r="E72" s="2">
        <f t="shared" si="7"/>
        <v>2.5000000000000009</v>
      </c>
      <c r="G72" s="15">
        <f t="shared" ca="1" si="8"/>
        <v>-2.2656231542710208E-6</v>
      </c>
      <c r="H72" s="8">
        <v>0</v>
      </c>
      <c r="I72" s="7">
        <f t="shared" ca="1" si="9"/>
        <v>-2.2656230596824149E-6</v>
      </c>
      <c r="J72" s="7">
        <f t="shared" ca="1" si="30"/>
        <v>-8.5517488631144025E-6</v>
      </c>
      <c r="K72" s="7">
        <f t="shared" ca="1" si="31"/>
        <v>-1.8354742591508363E-5</v>
      </c>
      <c r="L72" s="7">
        <f t="shared" ca="1" si="32"/>
        <v>-3.1183806673721645E-5</v>
      </c>
      <c r="M72" s="7">
        <f t="shared" ca="1" si="13"/>
        <v>-4.6564565994207262E-5</v>
      </c>
      <c r="N72" s="7">
        <f t="shared" ca="1" si="14"/>
        <v>-6.4041566633817537E-5</v>
      </c>
      <c r="O72" s="7">
        <f t="shared" ca="1" si="15"/>
        <v>-8.3180625780839839E-5</v>
      </c>
      <c r="P72" s="7">
        <f t="shared" ca="1" si="16"/>
        <v>-1.0357193721495896E-4</v>
      </c>
      <c r="Q72" s="7">
        <f t="shared" ca="1" si="17"/>
        <v>-1.2483482252416823E-4</v>
      </c>
      <c r="R72" s="7">
        <f t="shared" ca="1" si="18"/>
        <v>-1.4662487028510587E-4</v>
      </c>
      <c r="S72" s="7">
        <f t="shared" ca="1" si="19"/>
        <v>-1.6864363169093435E-4</v>
      </c>
      <c r="T72" s="7">
        <f t="shared" ca="1" si="20"/>
        <v>-1.9064970992672533E-4</v>
      </c>
      <c r="U72" s="7">
        <f t="shared" ca="1" si="21"/>
        <v>-2.1246829447414491E-4</v>
      </c>
      <c r="V72" s="7">
        <f t="shared" ca="1" si="22"/>
        <v>-2.3399602799310348E-4</v>
      </c>
      <c r="W72" s="7">
        <f t="shared" ca="1" si="23"/>
        <v>-2.5519968345825316E-4</v>
      </c>
      <c r="X72" s="7">
        <f t="shared" ca="1" si="24"/>
        <v>-2.7610871059487077E-4</v>
      </c>
      <c r="Y72" s="7">
        <f t="shared" ca="1" si="25"/>
        <v>-2.9680330172080448E-4</v>
      </c>
      <c r="Z72" s="7">
        <f t="shared" ca="1" si="26"/>
        <v>-3.1740124694775752E-4</v>
      </c>
      <c r="AA72" s="7">
        <f t="shared" ca="1" si="27"/>
        <v>-3.3804673663825321E-4</v>
      </c>
      <c r="AB72" s="7">
        <f t="shared" ca="1" si="27"/>
        <v>-3.5890255565793386E-4</v>
      </c>
      <c r="AC72" s="11">
        <f t="shared" ca="1" si="28"/>
        <v>-3.8014586690966702E-4</v>
      </c>
      <c r="AD72" s="14">
        <f t="shared" ca="1" si="29"/>
        <v>-4.0196726529370761E-4</v>
      </c>
    </row>
    <row r="73" spans="4:30" x14ac:dyDescent="0.25">
      <c r="D73" s="17"/>
      <c r="E73" s="2">
        <f t="shared" si="7"/>
        <v>2.4000000000000008</v>
      </c>
      <c r="G73" s="15">
        <f t="shared" ca="1" si="8"/>
        <v>-2.4496493702593182E-6</v>
      </c>
      <c r="H73" s="8">
        <v>0</v>
      </c>
      <c r="I73" s="7">
        <f t="shared" ca="1" si="9"/>
        <v>-2.4496492729501205E-6</v>
      </c>
      <c r="J73" s="7">
        <f t="shared" ca="1" si="30"/>
        <v>-9.2218325451817429E-6</v>
      </c>
      <c r="K73" s="7">
        <f t="shared" ca="1" si="31"/>
        <v>-1.9757310092757401E-5</v>
      </c>
      <c r="L73" s="7">
        <f t="shared" ca="1" si="32"/>
        <v>-3.3517742920052623E-5</v>
      </c>
      <c r="M73" s="7">
        <f t="shared" ca="1" si="13"/>
        <v>-4.9987054515327082E-5</v>
      </c>
      <c r="N73" s="7">
        <f t="shared" ca="1" si="14"/>
        <v>-6.8671862590654063E-5</v>
      </c>
      <c r="O73" s="7">
        <f t="shared" ca="1" si="15"/>
        <v>-8.910195548470061E-5</v>
      </c>
      <c r="P73" s="7">
        <f t="shared" ca="1" si="16"/>
        <v>-1.1083184425098779E-4</v>
      </c>
      <c r="Q73" s="7">
        <f t="shared" ca="1" si="17"/>
        <v>-1.3344460697683596E-4</v>
      </c>
      <c r="R73" s="7">
        <f t="shared" ca="1" si="18"/>
        <v>-1.5655940579591528E-4</v>
      </c>
      <c r="S73" s="7">
        <f t="shared" ca="1" si="19"/>
        <v>-1.798436995458446E-4</v>
      </c>
      <c r="T73" s="7">
        <f t="shared" ca="1" si="20"/>
        <v>-2.0302919198438544E-4</v>
      </c>
      <c r="U73" s="7">
        <f t="shared" ca="1" si="21"/>
        <v>-2.2592630528784472E-4</v>
      </c>
      <c r="V73" s="7">
        <f t="shared" ca="1" si="22"/>
        <v>-2.4843160741385497E-4</v>
      </c>
      <c r="W73" s="7">
        <f t="shared" ca="1" si="23"/>
        <v>-2.7052627028903068E-4</v>
      </c>
      <c r="X73" s="7">
        <f t="shared" ca="1" si="24"/>
        <v>-2.9226560791494836E-4</v>
      </c>
      <c r="Y73" s="7">
        <f t="shared" ca="1" si="25"/>
        <v>-3.1376172738876366E-4</v>
      </c>
      <c r="Z73" s="7">
        <f t="shared" ca="1" si="26"/>
        <v>-3.3516501175589574E-4</v>
      </c>
      <c r="AA73" s="7">
        <f t="shared" ca="1" si="27"/>
        <v>-3.5664986256716055E-4</v>
      </c>
      <c r="AB73" s="7">
        <f t="shared" ca="1" si="27"/>
        <v>-3.7840599333084293E-4</v>
      </c>
      <c r="AC73" s="11">
        <f t="shared" ca="1" si="28"/>
        <v>-4.0063474953940296E-4</v>
      </c>
      <c r="AD73" s="14">
        <f t="shared" ca="1" si="29"/>
        <v>-4.2354978664723049E-4</v>
      </c>
    </row>
    <row r="74" spans="4:30" x14ac:dyDescent="0.25">
      <c r="D74" s="17"/>
      <c r="E74" s="2">
        <f t="shared" si="7"/>
        <v>2.3000000000000007</v>
      </c>
      <c r="G74" s="15">
        <f t="shared" ca="1" si="8"/>
        <v>-2.6309874235513474E-6</v>
      </c>
      <c r="H74" s="8">
        <v>0</v>
      </c>
      <c r="I74" s="7">
        <f t="shared" ca="1" si="9"/>
        <v>-2.6309873241251699E-6</v>
      </c>
      <c r="J74" s="7">
        <f t="shared" ca="1" si="30"/>
        <v>-9.8782212059989079E-6</v>
      </c>
      <c r="K74" s="7">
        <f t="shared" ca="1" si="31"/>
        <v>-2.1126215046646168E-5</v>
      </c>
      <c r="L74" s="7">
        <f t="shared" ca="1" si="32"/>
        <v>-3.578990693897045E-5</v>
      </c>
      <c r="M74" s="7">
        <f t="shared" ca="1" si="13"/>
        <v>-5.3313189407113457E-5</v>
      </c>
      <c r="N74" s="7">
        <f t="shared" ca="1" si="14"/>
        <v>-7.316675876959377E-5</v>
      </c>
      <c r="O74" s="7">
        <f t="shared" ca="1" si="15"/>
        <v>-9.4846165544536676E-5</v>
      </c>
      <c r="P74" s="7">
        <f t="shared" ca="1" si="16"/>
        <v>-1.1787109559207225E-4</v>
      </c>
      <c r="Q74" s="7">
        <f t="shared" ca="1" si="17"/>
        <v>-1.4178736013865451E-4</v>
      </c>
      <c r="R74" s="7">
        <f t="shared" ca="1" si="18"/>
        <v>-1.6617385247180656E-4</v>
      </c>
      <c r="S74" s="7">
        <f t="shared" ca="1" si="19"/>
        <v>-1.9065738889761314E-4</v>
      </c>
      <c r="T74" s="7">
        <f t="shared" ca="1" si="20"/>
        <v>-2.149363901553407E-4</v>
      </c>
      <c r="U74" s="7">
        <f t="shared" ca="1" si="21"/>
        <v>-2.3880343291459881E-4</v>
      </c>
      <c r="V74" s="7">
        <f t="shared" ca="1" si="22"/>
        <v>-2.6215610062854439E-4</v>
      </c>
      <c r="W74" s="7">
        <f t="shared" ca="1" si="23"/>
        <v>-2.8499522379784573E-4</v>
      </c>
      <c r="X74" s="7">
        <f t="shared" ca="1" si="24"/>
        <v>-3.0741054285024055E-4</v>
      </c>
      <c r="Y74" s="7">
        <f t="shared" ca="1" si="25"/>
        <v>-3.2955478227169677E-4</v>
      </c>
      <c r="Z74" s="7">
        <f t="shared" ca="1" si="26"/>
        <v>-3.5161682583048951E-4</v>
      </c>
      <c r="AA74" s="7">
        <f t="shared" ca="1" si="27"/>
        <v>-3.7380416299238921E-4</v>
      </c>
      <c r="AB74" s="7">
        <f t="shared" ca="1" si="27"/>
        <v>-3.9633399550179988E-4</v>
      </c>
      <c r="AC74" s="11">
        <f t="shared" ca="1" si="28"/>
        <v>-4.1943068614570822E-4</v>
      </c>
      <c r="AD74" s="14">
        <f t="shared" ca="1" si="29"/>
        <v>-4.4332832261758564E-4</v>
      </c>
    </row>
    <row r="75" spans="4:30" x14ac:dyDescent="0.25">
      <c r="D75" s="17"/>
      <c r="E75" s="2">
        <f t="shared" si="7"/>
        <v>2.2000000000000006</v>
      </c>
      <c r="G75" s="15">
        <f t="shared" ca="1" si="8"/>
        <v>-2.8055493022628856E-6</v>
      </c>
      <c r="H75" s="8">
        <v>0</v>
      </c>
      <c r="I75" s="7">
        <f t="shared" ca="1" si="9"/>
        <v>-2.8055492013354959E-6</v>
      </c>
      <c r="J75" s="7">
        <f t="shared" ca="1" si="30"/>
        <v>-1.0506344879451178E-5</v>
      </c>
      <c r="K75" s="7">
        <f t="shared" ca="1" si="31"/>
        <v>-2.2431508748930871E-5</v>
      </c>
      <c r="L75" s="7">
        <f t="shared" ca="1" si="32"/>
        <v>-3.7951364409890416E-5</v>
      </c>
      <c r="M75" s="7">
        <f t="shared" ca="1" si="13"/>
        <v>-5.6472641588915395E-5</v>
      </c>
      <c r="N75" s="7">
        <f t="shared" ca="1" si="14"/>
        <v>-7.7433363584406006E-5</v>
      </c>
      <c r="O75" s="7">
        <f t="shared" ca="1" si="15"/>
        <v>-1.0029804941106368E-4</v>
      </c>
      <c r="P75" s="7">
        <f t="shared" ca="1" si="16"/>
        <v>-1.2455404051043152E-4</v>
      </c>
      <c r="Q75" s="7">
        <f t="shared" ca="1" si="17"/>
        <v>-1.4971037910577463E-4</v>
      </c>
      <c r="R75" s="7">
        <f t="shared" ca="1" si="18"/>
        <v>-1.7530220001584797E-4</v>
      </c>
      <c r="S75" s="7">
        <f t="shared" ca="1" si="19"/>
        <v>-2.0090677738886529E-4</v>
      </c>
      <c r="T75" s="7">
        <f t="shared" ca="1" si="20"/>
        <v>-2.2618008663055359E-4</v>
      </c>
      <c r="U75" s="7">
        <f t="shared" ca="1" si="21"/>
        <v>-2.5089291973082645E-4</v>
      </c>
      <c r="V75" s="7">
        <f t="shared" ca="1" si="22"/>
        <v>-2.7494486851112202E-4</v>
      </c>
      <c r="W75" s="7">
        <f t="shared" ca="1" si="23"/>
        <v>-2.9836235597246465E-4</v>
      </c>
      <c r="X75" s="7">
        <f t="shared" ca="1" si="24"/>
        <v>-3.212807275502785E-4</v>
      </c>
      <c r="Y75" s="7">
        <f t="shared" ca="1" si="25"/>
        <v>-3.4390425627262033E-4</v>
      </c>
      <c r="Z75" s="7">
        <f t="shared" ca="1" si="26"/>
        <v>-3.6646581713424851E-4</v>
      </c>
      <c r="AA75" s="7">
        <f t="shared" ca="1" si="27"/>
        <v>-3.8920733720713372E-4</v>
      </c>
      <c r="AB75" s="7">
        <f t="shared" ca="1" si="27"/>
        <v>-4.1237245294016719E-4</v>
      </c>
      <c r="AC75" s="11">
        <f t="shared" ca="1" si="28"/>
        <v>-4.3620581743722994E-4</v>
      </c>
      <c r="AD75" s="14">
        <f t="shared" ca="1" si="29"/>
        <v>-4.6095728375957954E-4</v>
      </c>
    </row>
    <row r="76" spans="4:30" x14ac:dyDescent="0.25">
      <c r="D76" s="17"/>
      <c r="E76" s="2">
        <f t="shared" si="7"/>
        <v>2.1000000000000005</v>
      </c>
      <c r="G76" s="15">
        <f t="shared" ca="1" si="8"/>
        <v>-2.9684328162776196E-6</v>
      </c>
      <c r="H76" s="8">
        <v>0</v>
      </c>
      <c r="I76" s="7">
        <f t="shared" ca="1" si="9"/>
        <v>-2.9684327144731108E-6</v>
      </c>
      <c r="J76" s="7">
        <f t="shared" ca="1" si="30"/>
        <v>-1.1088929662153703E-5</v>
      </c>
      <c r="K76" s="7">
        <f t="shared" ca="1" si="31"/>
        <v>-2.3637797089603425E-5</v>
      </c>
      <c r="L76" s="7">
        <f t="shared" ca="1" si="32"/>
        <v>-3.9944156211258524E-5</v>
      </c>
      <c r="M76" s="7">
        <f t="shared" ca="1" si="13"/>
        <v>-5.938151734166001E-5</v>
      </c>
      <c r="N76" s="7">
        <f t="shared" ca="1" si="14"/>
        <v>-8.1359535198788111E-5</v>
      </c>
      <c r="O76" s="7">
        <f t="shared" ca="1" si="15"/>
        <v>-1.0531620757823353E-4</v>
      </c>
      <c r="P76" s="7">
        <f t="shared" ca="1" si="16"/>
        <v>-1.3071089234751245E-4</v>
      </c>
      <c r="Q76" s="7">
        <f t="shared" ca="1" si="17"/>
        <v>-1.5701897321734721E-4</v>
      </c>
      <c r="R76" s="7">
        <f t="shared" ca="1" si="18"/>
        <v>-1.8373057844369253E-4</v>
      </c>
      <c r="S76" s="7">
        <f t="shared" ca="1" si="19"/>
        <v>-2.1036186659513457E-4</v>
      </c>
      <c r="T76" s="7">
        <f t="shared" ca="1" si="20"/>
        <v>-2.3651402569557819E-4</v>
      </c>
      <c r="U76" s="7">
        <f t="shared" ca="1" si="21"/>
        <v>-2.6193275499006253E-4</v>
      </c>
      <c r="V76" s="7">
        <f t="shared" ca="1" si="22"/>
        <v>-2.8652049895415177E-4</v>
      </c>
      <c r="W76" s="7">
        <f t="shared" ca="1" si="23"/>
        <v>-3.103342854570007E-4</v>
      </c>
      <c r="X76" s="7">
        <f t="shared" ca="1" si="24"/>
        <v>-3.3356915427664341E-4</v>
      </c>
      <c r="Y76" s="7">
        <f t="shared" ca="1" si="25"/>
        <v>-3.5649430304209549E-4</v>
      </c>
      <c r="Z76" s="7">
        <f t="shared" ca="1" si="26"/>
        <v>-3.7938968258358075E-4</v>
      </c>
      <c r="AA76" s="7">
        <f t="shared" ca="1" si="27"/>
        <v>-4.0253032310470392E-4</v>
      </c>
      <c r="AB76" s="7">
        <f t="shared" ca="1" si="27"/>
        <v>-4.2618339672446714E-4</v>
      </c>
      <c r="AC76" s="11">
        <f t="shared" ca="1" si="28"/>
        <v>-4.5060987206015676E-4</v>
      </c>
      <c r="AD76" s="14">
        <f t="shared" ca="1" si="29"/>
        <v>-4.7606924007688066E-4</v>
      </c>
    </row>
    <row r="77" spans="4:30" x14ac:dyDescent="0.25">
      <c r="D77" s="17"/>
      <c r="E77" s="2">
        <f t="shared" si="7"/>
        <v>2.0000000000000004</v>
      </c>
      <c r="G77" s="15">
        <f t="shared" ca="1" si="8"/>
        <v>-3.1141285263422728E-6</v>
      </c>
      <c r="H77" s="8">
        <v>0</v>
      </c>
      <c r="I77" s="7">
        <f t="shared" ca="1" si="9"/>
        <v>-3.1141284242892035E-6</v>
      </c>
      <c r="J77" s="7">
        <f t="shared" ca="1" si="30"/>
        <v>-1.1606717592164194E-5</v>
      </c>
      <c r="K77" s="7">
        <f t="shared" ca="1" si="31"/>
        <v>-2.470567862486705E-5</v>
      </c>
      <c r="L77" s="7">
        <f t="shared" ca="1" si="32"/>
        <v>-4.170354806066537E-5</v>
      </c>
      <c r="M77" s="7">
        <f t="shared" ca="1" si="13"/>
        <v>-6.1945344178539365E-5</v>
      </c>
      <c r="N77" s="7">
        <f t="shared" ca="1" si="14"/>
        <v>-8.4817214008745334E-5</v>
      </c>
      <c r="O77" s="7">
        <f t="shared" ca="1" si="15"/>
        <v>-1.0973573171960139E-4</v>
      </c>
      <c r="P77" s="7">
        <f t="shared" ca="1" si="16"/>
        <v>-1.3613775239745092E-4</v>
      </c>
      <c r="Q77" s="7">
        <f t="shared" ca="1" si="17"/>
        <v>-1.6347079924373153E-4</v>
      </c>
      <c r="R77" s="9">
        <f t="shared" ca="1" si="18"/>
        <v>-1.9118406049249367E-4</v>
      </c>
      <c r="S77" s="9">
        <f t="shared" ca="1" si="19"/>
        <v>-2.1872018021769596E-4</v>
      </c>
      <c r="T77" s="9">
        <f t="shared" ca="1" si="20"/>
        <v>-2.4561211746318759E-4</v>
      </c>
      <c r="U77" s="9">
        <f t="shared" ca="1" si="21"/>
        <v>-2.7158138479667642E-4</v>
      </c>
      <c r="V77" s="9">
        <f t="shared" ca="1" si="22"/>
        <v>-2.9653393173689947E-4</v>
      </c>
      <c r="W77" s="9">
        <f t="shared" ca="1" si="23"/>
        <v>-3.205578100395714E-4</v>
      </c>
      <c r="X77" s="7">
        <f t="shared" ca="1" si="24"/>
        <v>-3.4392257908366967E-4</v>
      </c>
      <c r="Y77" s="7">
        <f t="shared" ca="1" si="25"/>
        <v>-3.669762319081134E-4</v>
      </c>
      <c r="Z77" s="7">
        <f t="shared" ca="1" si="26"/>
        <v>-3.9004329774825429E-4</v>
      </c>
      <c r="AA77" s="7">
        <f t="shared" ca="1" si="27"/>
        <v>-4.1342773952863664E-4</v>
      </c>
      <c r="AB77" s="7">
        <f t="shared" ca="1" si="27"/>
        <v>-4.3741631696837482E-4</v>
      </c>
      <c r="AC77" s="11">
        <f t="shared" ca="1" si="28"/>
        <v>-4.6228220213579405E-4</v>
      </c>
      <c r="AD77" s="14">
        <f t="shared" ca="1" si="29"/>
        <v>-4.8828878027715877E-4</v>
      </c>
    </row>
    <row r="78" spans="4:30" x14ac:dyDescent="0.25">
      <c r="D78" s="17"/>
      <c r="E78" s="2">
        <f t="shared" si="7"/>
        <v>1.9000000000000006</v>
      </c>
      <c r="G78" s="15">
        <f t="shared" ca="1" si="8"/>
        <v>-3.2368641280584455E-6</v>
      </c>
      <c r="H78" s="8">
        <v>0</v>
      </c>
      <c r="I78" s="7">
        <f t="shared" ca="1" si="9"/>
        <v>-3.2368640263859574E-6</v>
      </c>
      <c r="J78" s="7">
        <f t="shared" ca="1" si="30"/>
        <v>-1.2039643533921636E-5</v>
      </c>
      <c r="K78" s="7">
        <f t="shared" ca="1" si="31"/>
        <v>-2.5594140405649542E-5</v>
      </c>
      <c r="L78" s="7">
        <f t="shared" ca="1" si="32"/>
        <v>-4.3161990552181948E-5</v>
      </c>
      <c r="M78" s="7">
        <f t="shared" ca="1" si="13"/>
        <v>-6.4064921503185297E-5</v>
      </c>
      <c r="N78" s="7">
        <f t="shared" ca="1" si="14"/>
        <v>-8.7670408465006304E-5</v>
      </c>
      <c r="O78" s="7">
        <f t="shared" ca="1" si="15"/>
        <v>-1.1337816326625698E-4</v>
      </c>
      <c r="P78" s="7">
        <f t="shared" ca="1" si="16"/>
        <v>-1.4060686664445736E-4</v>
      </c>
      <c r="Q78" s="7">
        <f t="shared" ca="1" si="17"/>
        <v>-1.6878024989706451E-4</v>
      </c>
      <c r="R78" s="9">
        <f t="shared" ca="1" si="18"/>
        <v>-1.9731026398253472E-4</v>
      </c>
      <c r="S78" s="9">
        <f t="shared" ca="1" si="19"/>
        <v>-2.2556919918721493E-4</v>
      </c>
      <c r="T78" s="9">
        <f t="shared" ca="1" si="20"/>
        <v>-2.5302419403226635E-4</v>
      </c>
      <c r="U78" s="9">
        <f t="shared" ca="1" si="21"/>
        <v>-2.7937404532712041E-4</v>
      </c>
      <c r="V78" s="9">
        <f t="shared" ca="1" si="22"/>
        <v>-3.0452864126926179E-4</v>
      </c>
      <c r="W78" s="9">
        <f t="shared" ca="1" si="23"/>
        <v>-3.2860647685050039E-4</v>
      </c>
      <c r="X78" s="7">
        <f t="shared" ca="1" si="24"/>
        <v>-3.5195018162574782E-4</v>
      </c>
      <c r="Y78" s="7">
        <f t="shared" ca="1" si="25"/>
        <v>-3.749844557863309E-4</v>
      </c>
      <c r="Z78" s="7">
        <f t="shared" ca="1" si="26"/>
        <v>-3.9807593147834017E-4</v>
      </c>
      <c r="AA78" s="7">
        <f t="shared" ca="1" si="27"/>
        <v>-4.2155485175407025E-4</v>
      </c>
      <c r="AB78" s="7">
        <f t="shared" ca="1" si="27"/>
        <v>-4.4572486036257241E-4</v>
      </c>
      <c r="AC78" s="11">
        <f t="shared" ca="1" si="28"/>
        <v>-4.7086860369350983E-4</v>
      </c>
      <c r="AD78" s="14">
        <f t="shared" ca="1" si="29"/>
        <v>-4.9725053594645722E-4</v>
      </c>
    </row>
    <row r="79" spans="4:30" x14ac:dyDescent="0.25">
      <c r="D79" s="17"/>
      <c r="E79" s="2">
        <f t="shared" si="7"/>
        <v>1.8000000000000005</v>
      </c>
      <c r="G79" s="15">
        <f t="shared" ca="1" si="8"/>
        <v>-3.3310457275327277E-6</v>
      </c>
      <c r="H79" s="8">
        <v>0</v>
      </c>
      <c r="I79" s="7">
        <f t="shared" ca="1" si="9"/>
        <v>-3.3310456268666685E-6</v>
      </c>
      <c r="J79" s="7">
        <f t="shared" ca="1" si="30"/>
        <v>-1.2368334705788309E-5</v>
      </c>
      <c r="K79" s="7">
        <f t="shared" ca="1" si="31"/>
        <v>-2.6263642643140992E-5</v>
      </c>
      <c r="L79" s="7">
        <f t="shared" ca="1" si="32"/>
        <v>-4.4254364304164215E-5</v>
      </c>
      <c r="M79" s="7">
        <f t="shared" ca="1" si="13"/>
        <v>-6.5644516113018165E-5</v>
      </c>
      <c r="N79" s="7">
        <f t="shared" ca="1" si="14"/>
        <v>-8.9787626410849081E-5</v>
      </c>
      <c r="O79" s="7">
        <f t="shared" ca="1" si="15"/>
        <v>-1.1607050805246562E-4</v>
      </c>
      <c r="P79" s="7">
        <f t="shared" ca="1" si="16"/>
        <v>-1.4389682100231495E-4</v>
      </c>
      <c r="Q79" s="7">
        <f t="shared" ca="1" si="17"/>
        <v>-1.7266887163417175E-4</v>
      </c>
      <c r="R79" s="9">
        <f t="shared" ca="1" si="18"/>
        <v>-2.0176479040351193E-4</v>
      </c>
      <c r="S79" s="9">
        <f t="shared" ca="1" si="19"/>
        <v>-2.305053433658132E-4</v>
      </c>
      <c r="T79" s="9">
        <f t="shared" ca="1" si="20"/>
        <v>-2.5831021208454598E-4</v>
      </c>
      <c r="U79" s="9">
        <f t="shared" ca="1" si="21"/>
        <v>-2.8485757582645158E-4</v>
      </c>
      <c r="V79" s="9">
        <f t="shared" ca="1" si="22"/>
        <v>-3.1006147207098363E-4</v>
      </c>
      <c r="W79" s="9">
        <f t="shared" ca="1" si="23"/>
        <v>-3.3406918712968446E-4</v>
      </c>
      <c r="X79" s="7">
        <f t="shared" ca="1" si="24"/>
        <v>-3.5727858088745168E-4</v>
      </c>
      <c r="Y79" s="7">
        <f t="shared" ca="1" si="25"/>
        <v>-3.8017289173394761E-4</v>
      </c>
      <c r="Z79" s="7">
        <f t="shared" ca="1" si="26"/>
        <v>-4.0315831027605336E-4</v>
      </c>
      <c r="AA79" s="7">
        <f t="shared" ca="1" si="27"/>
        <v>-4.2659018590464364E-4</v>
      </c>
      <c r="AB79" s="7">
        <f t="shared" ca="1" si="27"/>
        <v>-4.5078760376375776E-4</v>
      </c>
      <c r="AC79" s="11">
        <f t="shared" ca="1" si="28"/>
        <v>-4.7604140095373448E-4</v>
      </c>
      <c r="AD79" s="14">
        <f t="shared" ca="1" si="29"/>
        <v>-5.0261728277478657E-4</v>
      </c>
    </row>
    <row r="80" spans="4:30" x14ac:dyDescent="0.25">
      <c r="D80" s="17"/>
      <c r="E80" s="2">
        <f t="shared" si="7"/>
        <v>1.7000000000000004</v>
      </c>
      <c r="G80" s="15">
        <f t="shared" ca="1" si="8"/>
        <v>-3.3917205937963331E-6</v>
      </c>
      <c r="H80" s="8">
        <v>0</v>
      </c>
      <c r="I80" s="7">
        <f t="shared" ca="1" si="9"/>
        <v>-3.3917204947553985E-6</v>
      </c>
      <c r="J80" s="7">
        <f t="shared" ca="1" si="30"/>
        <v>-1.2575678283382803E-5</v>
      </c>
      <c r="K80" s="7">
        <f t="shared" ca="1" si="31"/>
        <v>-2.6679333952031745E-5</v>
      </c>
      <c r="L80" s="7">
        <f t="shared" ca="1" si="32"/>
        <v>-4.4923429409595064E-5</v>
      </c>
      <c r="M80" s="7">
        <f t="shared" ca="1" si="13"/>
        <v>-6.6600342865267976E-5</v>
      </c>
      <c r="N80" s="7">
        <f t="shared" ca="1" si="14"/>
        <v>-9.1054673044864944E-5</v>
      </c>
      <c r="O80" s="7">
        <f t="shared" ca="1" si="15"/>
        <v>-1.1766468949434624E-4</v>
      </c>
      <c r="P80" s="7">
        <f t="shared" ca="1" si="16"/>
        <v>-1.4582322551346207E-4</v>
      </c>
      <c r="Q80" s="7">
        <f t="shared" ca="1" si="17"/>
        <v>-1.7491629189524027E-4</v>
      </c>
      <c r="R80" s="9">
        <f t="shared" ca="1" si="18"/>
        <v>-2.0429716462698442E-4</v>
      </c>
      <c r="S80" s="9">
        <f t="shared" ca="1" si="19"/>
        <v>-2.3325342949376916E-4</v>
      </c>
      <c r="T80" s="9">
        <f t="shared" ca="1" si="20"/>
        <v>-2.6117490651381711E-4</v>
      </c>
      <c r="U80" s="9">
        <f t="shared" ca="1" si="21"/>
        <v>-2.8772566812958574E-4</v>
      </c>
      <c r="V80" s="9">
        <f t="shared" ca="1" si="22"/>
        <v>-3.1282390838954213E-4</v>
      </c>
      <c r="W80" s="9">
        <f t="shared" ca="1" si="23"/>
        <v>-3.3663923659680851E-4</v>
      </c>
      <c r="X80" s="7">
        <f t="shared" ca="1" si="24"/>
        <v>-3.5960727811189686E-4</v>
      </c>
      <c r="Y80" s="7">
        <f t="shared" ca="1" si="25"/>
        <v>-3.8225176027699252E-4</v>
      </c>
      <c r="Z80" s="7">
        <f t="shared" ca="1" si="26"/>
        <v>-4.0501003327571159E-4</v>
      </c>
      <c r="AA80" s="7">
        <f t="shared" ca="1" si="27"/>
        <v>-4.2825843561768504E-4</v>
      </c>
      <c r="AB80" s="7">
        <f t="shared" ca="1" si="27"/>
        <v>-4.5232906542454492E-4</v>
      </c>
      <c r="AC80" s="11">
        <f t="shared" ca="1" si="28"/>
        <v>-4.7751973358462992E-4</v>
      </c>
      <c r="AD80" s="14">
        <f t="shared" ca="1" si="29"/>
        <v>-5.0409825114160851E-4</v>
      </c>
    </row>
    <row r="81" spans="4:30" x14ac:dyDescent="0.25">
      <c r="D81" s="17"/>
      <c r="E81" s="2">
        <f t="shared" si="7"/>
        <v>1.6000000000000003</v>
      </c>
      <c r="G81" s="15">
        <f t="shared" ca="1" si="8"/>
        <v>-3.4149831106043485E-6</v>
      </c>
      <c r="H81" s="8">
        <v>0</v>
      </c>
      <c r="I81" s="7">
        <f t="shared" ca="1" si="9"/>
        <v>-3.414983013796302E-6</v>
      </c>
      <c r="J81" s="7">
        <f t="shared" ca="1" si="30"/>
        <v>-1.264819284157259E-5</v>
      </c>
      <c r="K81" s="7">
        <f t="shared" ca="1" si="31"/>
        <v>-2.6813821213667877E-5</v>
      </c>
      <c r="L81" s="7">
        <f t="shared" ca="1" si="32"/>
        <v>-4.5124374435126822E-5</v>
      </c>
      <c r="M81" s="7">
        <f t="shared" ca="1" si="13"/>
        <v>-6.6867245361030642E-5</v>
      </c>
      <c r="N81" s="7">
        <f t="shared" ca="1" si="14"/>
        <v>-9.1383716606494565E-5</v>
      </c>
      <c r="O81" s="7">
        <f t="shared" ca="1" si="15"/>
        <v>-1.1804881546259249E-4</v>
      </c>
      <c r="P81" s="7">
        <f t="shared" ca="1" si="16"/>
        <v>-1.4625044781991248E-4</v>
      </c>
      <c r="Q81" s="7">
        <f t="shared" ca="1" si="17"/>
        <v>-1.753661620887591E-4</v>
      </c>
      <c r="R81" s="9">
        <f t="shared" ca="1" si="18"/>
        <v>-2.0473597796882986E-4</v>
      </c>
      <c r="S81" s="9">
        <f t="shared" ca="1" si="19"/>
        <v>-2.3363057829850454E-4</v>
      </c>
      <c r="T81" s="9">
        <f t="shared" ca="1" si="20"/>
        <v>-2.6142494500091087E-4</v>
      </c>
      <c r="U81" s="9">
        <f t="shared" ca="1" si="21"/>
        <v>-2.8777655253551696E-4</v>
      </c>
      <c r="V81" s="9">
        <f t="shared" ca="1" si="22"/>
        <v>-3.1260759580459534E-4</v>
      </c>
      <c r="W81" s="9">
        <f t="shared" ca="1" si="23"/>
        <v>-3.3610221809308348E-4</v>
      </c>
      <c r="X81" s="7">
        <f t="shared" ca="1" si="24"/>
        <v>-3.5871860750980776E-4</v>
      </c>
      <c r="Y81" s="7">
        <f t="shared" ca="1" si="25"/>
        <v>-3.8100471724941898E-4</v>
      </c>
      <c r="Z81" s="7">
        <f t="shared" ca="1" si="26"/>
        <v>-4.0341780364136427E-4</v>
      </c>
      <c r="AA81" s="7">
        <f t="shared" ca="1" si="27"/>
        <v>-4.2634825062119904E-4</v>
      </c>
      <c r="AB81" s="7">
        <f t="shared" ca="1" si="27"/>
        <v>-4.5013704899073777E-4</v>
      </c>
      <c r="AC81" s="11">
        <f t="shared" ca="1" si="28"/>
        <v>-4.7508691046502065E-4</v>
      </c>
      <c r="AD81" s="14">
        <f t="shared" ca="1" si="29"/>
        <v>-5.014676948829665E-4</v>
      </c>
    </row>
    <row r="82" spans="4:30" x14ac:dyDescent="0.25">
      <c r="D82" s="17"/>
      <c r="E82" s="2">
        <f t="shared" si="7"/>
        <v>1.5000000000000002</v>
      </c>
      <c r="G82" s="15">
        <f t="shared" ca="1" si="8"/>
        <v>-3.3982740555825492E-6</v>
      </c>
      <c r="H82" s="8">
        <v>0</v>
      </c>
      <c r="I82" s="7">
        <f t="shared" ca="1" si="9"/>
        <v>-3.398273961600496E-6</v>
      </c>
      <c r="J82" s="7">
        <f t="shared" ca="1" si="30"/>
        <v>-1.2577038161784264E-5</v>
      </c>
      <c r="K82" s="7">
        <f t="shared" ca="1" si="31"/>
        <v>-2.6649167890513603E-5</v>
      </c>
      <c r="L82" s="7">
        <f t="shared" ca="1" si="32"/>
        <v>-4.4827960827460424E-5</v>
      </c>
      <c r="M82" s="7">
        <f t="shared" ca="1" si="13"/>
        <v>-6.6402970008410826E-5</v>
      </c>
      <c r="N82" s="7">
        <f t="shared" ca="1" si="14"/>
        <v>-9.0718341181856118E-5</v>
      </c>
      <c r="O82" s="7">
        <f t="shared" ca="1" si="15"/>
        <v>-1.1715200620037673E-4</v>
      </c>
      <c r="P82" s="7">
        <f t="shared" ca="1" si="16"/>
        <v>-1.4509412317871478E-4</v>
      </c>
      <c r="Q82" s="7">
        <f t="shared" ca="1" si="17"/>
        <v>-1.7392317005886432E-4</v>
      </c>
      <c r="R82" s="9">
        <f t="shared" ca="1" si="18"/>
        <v>-2.029783892253795E-4</v>
      </c>
      <c r="S82" s="9">
        <f t="shared" ca="1" si="19"/>
        <v>-2.315284232777757E-4</v>
      </c>
      <c r="T82" s="9">
        <f t="shared" ca="1" si="20"/>
        <v>-2.5894663169398322E-4</v>
      </c>
      <c r="U82" s="9">
        <f t="shared" ca="1" si="21"/>
        <v>-2.848911242759693E-4</v>
      </c>
      <c r="V82" s="9">
        <f t="shared" ca="1" si="22"/>
        <v>-3.0928783281016441E-4</v>
      </c>
      <c r="W82" s="9">
        <f t="shared" ca="1" si="23"/>
        <v>-3.3232770772721347E-4</v>
      </c>
      <c r="X82" s="7">
        <f t="shared" ca="1" si="24"/>
        <v>-3.5447790277655914E-4</v>
      </c>
      <c r="Y82" s="7">
        <f t="shared" ca="1" si="25"/>
        <v>-3.7629557029466806E-4</v>
      </c>
      <c r="Z82" s="7">
        <f t="shared" ca="1" si="26"/>
        <v>-3.9824560350419847E-4</v>
      </c>
      <c r="AA82" s="7">
        <f t="shared" ca="1" si="27"/>
        <v>-4.2072385828319291E-4</v>
      </c>
      <c r="AB82" s="7">
        <f t="shared" ca="1" si="27"/>
        <v>-4.4407480578142301E-4</v>
      </c>
      <c r="AC82" s="11">
        <f t="shared" ca="1" si="28"/>
        <v>-4.6860307101552912E-4</v>
      </c>
      <c r="AD82" s="14">
        <f t="shared" ca="1" si="29"/>
        <v>-4.9457936537041034E-4</v>
      </c>
    </row>
    <row r="83" spans="4:30" x14ac:dyDescent="0.25">
      <c r="D83" s="17"/>
      <c r="E83" s="2">
        <f t="shared" si="7"/>
        <v>1.4000000000000001</v>
      </c>
      <c r="G83" s="15">
        <f t="shared" ca="1" si="8"/>
        <v>-3.3405574408217033E-6</v>
      </c>
      <c r="H83" s="8">
        <v>0</v>
      </c>
      <c r="I83" s="7">
        <f t="shared" ca="1" si="9"/>
        <v>-3.3405573502404747E-6</v>
      </c>
      <c r="J83" s="7">
        <f t="shared" ca="1" si="30"/>
        <v>-1.2358612491814807E-5</v>
      </c>
      <c r="K83" s="7">
        <f t="shared" ca="1" si="31"/>
        <v>-2.617805491679884E-5</v>
      </c>
      <c r="L83" s="7">
        <f t="shared" ca="1" si="32"/>
        <v>-4.4022279314883722E-5</v>
      </c>
      <c r="M83" s="7">
        <f t="shared" ca="1" si="13"/>
        <v>-6.5190386161474641E-5</v>
      </c>
      <c r="N83" s="7">
        <f t="shared" ca="1" si="14"/>
        <v>-8.9035834136678312E-5</v>
      </c>
      <c r="O83" s="7">
        <f t="shared" ca="1" si="15"/>
        <v>-1.1494597061231153E-4</v>
      </c>
      <c r="P83" s="7">
        <f t="shared" ca="1" si="16"/>
        <v>-1.423208720284593E-4</v>
      </c>
      <c r="Q83" s="7">
        <f t="shared" ca="1" si="17"/>
        <v>-1.7054984859075887E-4</v>
      </c>
      <c r="R83" s="9">
        <f t="shared" ca="1" si="18"/>
        <v>-1.9898405066036038E-4</v>
      </c>
      <c r="S83" s="9">
        <f t="shared" ca="1" si="19"/>
        <v>-2.2690447678113833E-4</v>
      </c>
      <c r="T83" s="9">
        <f t="shared" ca="1" si="20"/>
        <v>-2.5369546534722372E-4</v>
      </c>
      <c r="U83" s="9">
        <f t="shared" ca="1" si="21"/>
        <v>-2.790227836192664E-4</v>
      </c>
      <c r="V83" s="9">
        <f t="shared" ca="1" si="22"/>
        <v>-3.0281579067833135E-4</v>
      </c>
      <c r="W83" s="9">
        <f t="shared" ca="1" si="23"/>
        <v>-3.2526463890654922E-4</v>
      </c>
      <c r="X83" s="7">
        <f t="shared" ca="1" si="24"/>
        <v>-3.4683238089835348E-4</v>
      </c>
      <c r="Y83" s="7">
        <f t="shared" ca="1" si="25"/>
        <v>-3.6807073506992303E-4</v>
      </c>
      <c r="Z83" s="7">
        <f t="shared" ca="1" si="26"/>
        <v>-3.8943970151254775E-4</v>
      </c>
      <c r="AA83" s="7">
        <f t="shared" ca="1" si="27"/>
        <v>-4.1133149407350316E-4</v>
      </c>
      <c r="AB83" s="7">
        <f t="shared" ca="1" si="27"/>
        <v>-4.3408815428431369E-4</v>
      </c>
      <c r="AC83" s="11">
        <f t="shared" ca="1" si="28"/>
        <v>-4.5801282440402578E-4</v>
      </c>
      <c r="AD83" s="14">
        <f t="shared" ca="1" si="29"/>
        <v>-4.8337535530601885E-4</v>
      </c>
    </row>
    <row r="84" spans="4:30" x14ac:dyDescent="0.25">
      <c r="D84" s="17"/>
      <c r="E84" s="2">
        <f t="shared" si="7"/>
        <v>1.3</v>
      </c>
      <c r="G84" s="15">
        <f t="shared" ca="1" si="8"/>
        <v>-3.2423779779335753E-6</v>
      </c>
      <c r="H84" s="8">
        <v>0</v>
      </c>
      <c r="I84" s="7">
        <f t="shared" ca="1" si="9"/>
        <v>-3.2423778913062342E-6</v>
      </c>
      <c r="J84" s="7">
        <f t="shared" ca="1" si="30"/>
        <v>-1.1994747660820256E-5</v>
      </c>
      <c r="K84" s="7">
        <f t="shared" ca="1" si="31"/>
        <v>-2.5404157358905782E-5</v>
      </c>
      <c r="L84" s="7">
        <f t="shared" ca="1" si="32"/>
        <v>-4.2713308788057084E-5</v>
      </c>
      <c r="M84" s="7">
        <f t="shared" ca="1" si="13"/>
        <v>-6.323816520261696E-5</v>
      </c>
      <c r="N84" s="7">
        <f t="shared" ca="1" si="14"/>
        <v>-8.6347830441855166E-5</v>
      </c>
      <c r="O84" s="7">
        <f t="shared" ca="1" si="15"/>
        <v>-1.1144534774913224E-4</v>
      </c>
      <c r="P84" s="7">
        <f t="shared" ca="1" si="16"/>
        <v>-1.3794800371632305E-4</v>
      </c>
      <c r="Q84" s="7">
        <f t="shared" ca="1" si="17"/>
        <v>-1.6526542228599114E-4</v>
      </c>
      <c r="R84" s="9">
        <f t="shared" ca="1" si="18"/>
        <v>-1.9277320691179331E-4</v>
      </c>
      <c r="S84" s="9">
        <f t="shared" ca="1" si="19"/>
        <v>-2.1977961719214212E-4</v>
      </c>
      <c r="T84" s="9">
        <f t="shared" ca="1" si="20"/>
        <v>-2.4569320485474683E-4</v>
      </c>
      <c r="U84" s="9">
        <f t="shared" ca="1" si="21"/>
        <v>-2.7019462360756589E-4</v>
      </c>
      <c r="V84" s="9">
        <f t="shared" ca="1" si="22"/>
        <v>-2.9321636936047234E-4</v>
      </c>
      <c r="W84" s="9">
        <f t="shared" ca="1" si="23"/>
        <v>-3.1494002228733896E-4</v>
      </c>
      <c r="X84" s="7">
        <f t="shared" ca="1" si="24"/>
        <v>-3.3581087023306077E-4</v>
      </c>
      <c r="Y84" s="7">
        <f t="shared" ca="1" si="25"/>
        <v>-3.5636008724875662E-4</v>
      </c>
      <c r="Z84" s="7">
        <f t="shared" ca="1" si="26"/>
        <v>-3.7703041213042802E-4</v>
      </c>
      <c r="AA84" s="7">
        <f t="shared" ca="1" si="27"/>
        <v>-3.9820173124927342E-4</v>
      </c>
      <c r="AB84" s="7">
        <f t="shared" ca="1" si="27"/>
        <v>-4.202081212777341E-4</v>
      </c>
      <c r="AC84" s="11">
        <f t="shared" ca="1" si="28"/>
        <v>-4.4334812237314773E-4</v>
      </c>
      <c r="AD84" s="14">
        <f t="shared" ca="1" si="29"/>
        <v>-4.6788938888639138E-4</v>
      </c>
    </row>
    <row r="85" spans="4:30" x14ac:dyDescent="0.25">
      <c r="D85" s="17"/>
      <c r="E85" s="2">
        <f t="shared" si="7"/>
        <v>1.2</v>
      </c>
      <c r="G85" s="15">
        <f t="shared" ca="1" si="8"/>
        <v>-3.1058027706349051E-6</v>
      </c>
      <c r="H85" s="8">
        <v>0</v>
      </c>
      <c r="I85" s="7">
        <f t="shared" ca="1" si="9"/>
        <v>-3.1058026884893957E-6</v>
      </c>
      <c r="J85" s="7">
        <f t="shared" ca="1" si="30"/>
        <v>-1.1492513829778686E-5</v>
      </c>
      <c r="K85" s="7">
        <f t="shared" ca="1" si="31"/>
        <v>-2.4341772430362283E-5</v>
      </c>
      <c r="L85" s="7">
        <f t="shared" ca="1" si="32"/>
        <v>-4.0924372870848533E-5</v>
      </c>
      <c r="M85" s="7">
        <f t="shared" ca="1" si="13"/>
        <v>-6.0580134902568025E-5</v>
      </c>
      <c r="N85" s="7">
        <f t="shared" ca="1" si="14"/>
        <v>-8.2699727739349795E-5</v>
      </c>
      <c r="O85" s="7">
        <f t="shared" ca="1" si="15"/>
        <v>-1.0670745897977E-4</v>
      </c>
      <c r="P85" s="7">
        <f t="shared" ca="1" si="16"/>
        <v>-1.320439490817527E-4</v>
      </c>
      <c r="Q85" s="7">
        <f t="shared" ca="1" si="17"/>
        <v>-1.5814714789613149E-4</v>
      </c>
      <c r="R85" s="9">
        <f t="shared" ca="1" si="18"/>
        <v>-1.8442884210872543E-4</v>
      </c>
      <c r="S85" s="9">
        <f t="shared" ca="1" si="19"/>
        <v>-2.1024091399456208E-4</v>
      </c>
      <c r="T85" s="9">
        <f t="shared" ca="1" si="20"/>
        <v>-2.3503118890423497E-4</v>
      </c>
      <c r="U85" s="9">
        <f t="shared" ca="1" si="21"/>
        <v>-2.5850270626368986E-4</v>
      </c>
      <c r="V85" s="9">
        <f t="shared" ca="1" si="22"/>
        <v>-2.8059088900712979E-4</v>
      </c>
      <c r="W85" s="9">
        <f t="shared" ca="1" si="23"/>
        <v>-3.0146086016782708E-4</v>
      </c>
      <c r="X85" s="7">
        <f t="shared" ca="1" si="24"/>
        <v>-3.2152480572920016E-4</v>
      </c>
      <c r="Y85" s="7">
        <f t="shared" ca="1" si="25"/>
        <v>-3.4127692331934384E-4</v>
      </c>
      <c r="Z85" s="7">
        <f t="shared" ca="1" si="26"/>
        <v>-3.6113123767621638E-4</v>
      </c>
      <c r="AA85" s="7">
        <f t="shared" ca="1" si="27"/>
        <v>-3.8144813859674177E-4</v>
      </c>
      <c r="AB85" s="7">
        <f t="shared" ca="1" si="27"/>
        <v>-4.0254937034917671E-4</v>
      </c>
      <c r="AC85" s="11">
        <f t="shared" ca="1" si="28"/>
        <v>-4.2472653300409773E-4</v>
      </c>
      <c r="AD85" s="14">
        <f t="shared" ca="1" si="29"/>
        <v>-4.482447485421549E-4</v>
      </c>
    </row>
    <row r="86" spans="4:30" x14ac:dyDescent="0.25">
      <c r="D86" s="17"/>
      <c r="E86" s="2">
        <f t="shared" si="7"/>
        <v>1.0999999999999999</v>
      </c>
      <c r="G86" s="15">
        <f t="shared" ca="1" si="8"/>
        <v>-2.9342437738226906E-6</v>
      </c>
      <c r="H86" s="8">
        <v>0</v>
      </c>
      <c r="I86" s="7">
        <f t="shared" ca="1" si="9"/>
        <v>-2.9342436966586616E-6</v>
      </c>
      <c r="J86" s="7">
        <f t="shared" ca="1" si="30"/>
        <v>-1.0863622711708237E-5</v>
      </c>
      <c r="K86" s="7">
        <f t="shared" ca="1" si="31"/>
        <v>-2.3014664668238532E-5</v>
      </c>
      <c r="L86" s="7">
        <f t="shared" ca="1" si="32"/>
        <v>-3.8694401369491665E-5</v>
      </c>
      <c r="M86" s="7">
        <f t="shared" ca="1" si="13"/>
        <v>-5.7273096264786526E-5</v>
      </c>
      <c r="N86" s="7">
        <f t="shared" ca="1" si="14"/>
        <v>-7.8168463024506893E-5</v>
      </c>
      <c r="O86" s="7">
        <f t="shared" ca="1" si="15"/>
        <v>-1.0083083123312192E-4</v>
      </c>
      <c r="P86" s="7">
        <f t="shared" ca="1" si="16"/>
        <v>-1.2472868614852846E-4</v>
      </c>
      <c r="Q86" s="7">
        <f t="shared" ca="1" si="17"/>
        <v>-1.4933370095948528E-4</v>
      </c>
      <c r="R86" s="9">
        <f t="shared" ca="1" si="18"/>
        <v>-1.7410300875170641E-4</v>
      </c>
      <c r="S86" s="9">
        <f t="shared" ca="1" si="19"/>
        <v>-1.9845058364852339E-4</v>
      </c>
      <c r="T86" s="9">
        <f t="shared" ca="1" si="20"/>
        <v>-2.2188117358803251E-4</v>
      </c>
      <c r="U86" s="9">
        <f t="shared" ca="1" si="21"/>
        <v>-2.4412669785995795E-4</v>
      </c>
      <c r="V86" s="9">
        <f t="shared" ca="1" si="22"/>
        <v>-2.6512542984484191E-4</v>
      </c>
      <c r="W86" s="9">
        <f t="shared" ca="1" si="23"/>
        <v>-2.8501942003037692E-4</v>
      </c>
      <c r="X86" s="7">
        <f t="shared" ca="1" si="24"/>
        <v>-3.0417008256319558E-4</v>
      </c>
      <c r="Y86" s="7">
        <f t="shared" ca="1" si="25"/>
        <v>-3.2301633222108341E-4</v>
      </c>
      <c r="Z86" s="7">
        <f t="shared" ca="1" si="26"/>
        <v>-3.4193477801383837E-4</v>
      </c>
      <c r="AA86" s="7">
        <f t="shared" ca="1" si="27"/>
        <v>-3.6126185412989429E-4</v>
      </c>
      <c r="AB86" s="7">
        <f t="shared" ca="1" si="27"/>
        <v>-3.8130416958222381E-4</v>
      </c>
      <c r="AC86" s="11">
        <f t="shared" ca="1" si="28"/>
        <v>-4.0234476646033889E-4</v>
      </c>
      <c r="AD86" s="14">
        <f t="shared" ca="1" si="29"/>
        <v>-4.2464666726364135E-4</v>
      </c>
    </row>
    <row r="87" spans="4:30" x14ac:dyDescent="0.25">
      <c r="D87" s="17"/>
      <c r="E87" s="2">
        <f t="shared" si="7"/>
        <v>0.99999999999999989</v>
      </c>
      <c r="G87" s="15">
        <f t="shared" ca="1" si="8"/>
        <v>-2.732158120058823E-6</v>
      </c>
      <c r="H87" s="8">
        <v>0</v>
      </c>
      <c r="I87" s="7">
        <f t="shared" ca="1" si="9"/>
        <v>-2.7321580483446329E-6</v>
      </c>
      <c r="J87" s="7">
        <f t="shared" ca="1" si="30"/>
        <v>-1.0123419552197835E-5</v>
      </c>
      <c r="K87" s="7">
        <f t="shared" ca="1" si="31"/>
        <v>-2.1454076624375608E-5</v>
      </c>
      <c r="L87" s="7">
        <f t="shared" ca="1" si="32"/>
        <v>-3.6074808750413855E-5</v>
      </c>
      <c r="M87" s="7">
        <f t="shared" ca="1" si="13"/>
        <v>-5.3392593831641019E-5</v>
      </c>
      <c r="N87" s="7">
        <f t="shared" ca="1" si="14"/>
        <v>-7.285753375362612E-5</v>
      </c>
      <c r="O87" s="7">
        <f t="shared" ca="1" si="15"/>
        <v>-9.3950480728239612E-5</v>
      </c>
      <c r="P87" s="7">
        <f t="shared" ca="1" si="16"/>
        <v>-1.1617138762387107E-4</v>
      </c>
      <c r="Q87" s="7">
        <f t="shared" ca="1" si="17"/>
        <v>-1.390283746700432E-4</v>
      </c>
      <c r="R87" s="9">
        <f t="shared" ca="1" si="18"/>
        <v>-1.62027599511401E-4</v>
      </c>
      <c r="S87" s="9">
        <f t="shared" ca="1" si="19"/>
        <v>-1.8466412240861874E-4</v>
      </c>
      <c r="T87" s="9">
        <f t="shared" ca="1" si="20"/>
        <v>-2.0651804577044732E-4</v>
      </c>
      <c r="U87" s="9">
        <f t="shared" ca="1" si="21"/>
        <v>-2.2735224080879852E-4</v>
      </c>
      <c r="V87" s="9">
        <f t="shared" ca="1" si="22"/>
        <v>-2.4710792506924787E-4</v>
      </c>
      <c r="W87" s="9">
        <f t="shared" ca="1" si="23"/>
        <v>-2.6590222250061406E-4</v>
      </c>
      <c r="X87" s="7">
        <f t="shared" ca="1" si="24"/>
        <v>-2.840276554067753E-4</v>
      </c>
      <c r="Y87" s="7">
        <f t="shared" ca="1" si="25"/>
        <v>-3.0184933680079339E-4</v>
      </c>
      <c r="Z87" s="7">
        <f t="shared" ca="1" si="26"/>
        <v>-3.1970350468239875E-4</v>
      </c>
      <c r="AA87" s="7">
        <f t="shared" ca="1" si="27"/>
        <v>-3.3790100116430979E-4</v>
      </c>
      <c r="AB87" s="7">
        <f t="shared" ca="1" si="27"/>
        <v>-3.5673135151684617E-4</v>
      </c>
      <c r="AC87" s="11">
        <f t="shared" ca="1" si="28"/>
        <v>-3.7646721527986025E-4</v>
      </c>
      <c r="AD87" s="14">
        <f t="shared" ca="1" si="29"/>
        <v>-3.973691290315739E-4</v>
      </c>
    </row>
    <row r="88" spans="4:30" x14ac:dyDescent="0.25">
      <c r="D88" s="17"/>
      <c r="E88" s="2">
        <f t="shared" si="7"/>
        <v>0.89999999999999991</v>
      </c>
      <c r="G88" s="15">
        <f t="shared" ca="1" si="8"/>
        <v>-2.5046422898384183E-6</v>
      </c>
      <c r="H88" s="8">
        <v>0</v>
      </c>
      <c r="I88" s="7">
        <f t="shared" ca="1" si="9"/>
        <v>-2.5046422240083593E-6</v>
      </c>
      <c r="J88" s="7">
        <f t="shared" ca="1" si="30"/>
        <v>-9.2895156420337123E-6</v>
      </c>
      <c r="K88" s="7">
        <f t="shared" ca="1" si="31"/>
        <v>-1.9695972819045792E-5</v>
      </c>
      <c r="L88" s="7">
        <f t="shared" ca="1" si="32"/>
        <v>-3.3124976184538691E-5</v>
      </c>
      <c r="M88" s="7">
        <f t="shared" ca="1" si="13"/>
        <v>-4.9026291232959191E-5</v>
      </c>
      <c r="N88" s="7">
        <f t="shared" ca="1" si="14"/>
        <v>-6.6888021671102495E-5</v>
      </c>
      <c r="O88" s="7">
        <f t="shared" ca="1" si="15"/>
        <v>-8.622677687364282E-5</v>
      </c>
      <c r="P88" s="7">
        <f t="shared" ca="1" si="16"/>
        <v>-1.0657886724764595E-4</v>
      </c>
      <c r="Q88" s="7">
        <f t="shared" ca="1" si="17"/>
        <v>-1.2749337335500385E-4</v>
      </c>
      <c r="R88" s="7">
        <f t="shared" ca="1" si="18"/>
        <v>-1.4852950466039401E-4</v>
      </c>
      <c r="S88" s="7">
        <f t="shared" ca="1" si="19"/>
        <v>-1.692667708483165E-4</v>
      </c>
      <c r="T88" s="7">
        <f t="shared" ca="1" si="20"/>
        <v>-1.8936311793814149E-4</v>
      </c>
      <c r="U88" s="7">
        <f t="shared" ca="1" si="21"/>
        <v>-2.0861380094549376E-4</v>
      </c>
      <c r="V88" s="7">
        <f t="shared" ca="1" si="22"/>
        <v>-2.2696326105084663E-4</v>
      </c>
      <c r="W88" s="7">
        <f t="shared" ca="1" si="23"/>
        <v>-2.4450285278095854E-4</v>
      </c>
      <c r="X88" s="7">
        <f t="shared" ca="1" si="24"/>
        <v>-2.6145439614047437E-4</v>
      </c>
      <c r="Y88" s="7">
        <f t="shared" ca="1" si="25"/>
        <v>-2.7810666519002765E-4</v>
      </c>
      <c r="Z88" s="7">
        <f t="shared" ca="1" si="26"/>
        <v>-2.947525263380502E-4</v>
      </c>
      <c r="AA88" s="7">
        <f t="shared" ca="1" si="27"/>
        <v>-3.1167398753359434E-4</v>
      </c>
      <c r="AB88" s="7">
        <f t="shared" ca="1" si="27"/>
        <v>-3.2914014389807229E-4</v>
      </c>
      <c r="AC88" s="11">
        <f t="shared" ca="1" si="28"/>
        <v>-3.4740985712211582E-4</v>
      </c>
      <c r="AD88" s="14">
        <f t="shared" ca="1" si="29"/>
        <v>-3.6673763200734837E-4</v>
      </c>
    </row>
    <row r="89" spans="4:30" x14ac:dyDescent="0.25">
      <c r="D89" s="17"/>
      <c r="E89" s="2">
        <f t="shared" si="7"/>
        <v>0.79999999999999993</v>
      </c>
      <c r="G89" s="15">
        <f t="shared" ca="1" si="8"/>
        <v>-2.2569702848997831E-6</v>
      </c>
      <c r="H89" s="8">
        <v>0</v>
      </c>
      <c r="I89" s="7">
        <f t="shared" ca="1" si="9"/>
        <v>-2.2569702253515251E-6</v>
      </c>
      <c r="J89" s="7">
        <f t="shared" ca="1" si="30"/>
        <v>-8.3802279639452851E-6</v>
      </c>
      <c r="K89" s="7">
        <f t="shared" ca="1" si="31"/>
        <v>-1.7777845523418989E-5</v>
      </c>
      <c r="L89" s="7">
        <f t="shared" ca="1" si="32"/>
        <v>-2.9906845212711152E-5</v>
      </c>
      <c r="M89" s="7">
        <f t="shared" ca="1" si="13"/>
        <v>-4.4265564101854865E-5</v>
      </c>
      <c r="N89" s="7">
        <f t="shared" ca="1" si="14"/>
        <v>-6.0385906913588253E-5</v>
      </c>
      <c r="O89" s="7">
        <f t="shared" ca="1" si="15"/>
        <v>-7.7826147196933106E-5</v>
      </c>
      <c r="P89" s="7">
        <f t="shared" ca="1" si="16"/>
        <v>-9.6165106932876438E-5</v>
      </c>
      <c r="Q89" s="7">
        <f t="shared" ca="1" si="17"/>
        <v>-1.1499915680221589E-4</v>
      </c>
      <c r="R89" s="7">
        <f t="shared" ca="1" si="18"/>
        <v>-1.3394501108292679E-4</v>
      </c>
      <c r="S89" s="7">
        <f t="shared" ca="1" si="19"/>
        <v>-1.5265446865569442E-4</v>
      </c>
      <c r="T89" s="7">
        <f t="shared" ca="1" si="20"/>
        <v>-1.7084996796606599E-4</v>
      </c>
      <c r="U89" s="7">
        <f t="shared" ca="1" si="21"/>
        <v>-1.8835999813941905E-4</v>
      </c>
      <c r="V89" s="7">
        <f t="shared" ca="1" si="22"/>
        <v>-2.0513267972234586E-4</v>
      </c>
      <c r="W89" s="7">
        <f t="shared" ca="1" si="23"/>
        <v>-2.2123368795020149E-4</v>
      </c>
      <c r="X89" s="7">
        <f t="shared" ca="1" si="24"/>
        <v>-2.36828516413272E-4</v>
      </c>
      <c r="Y89" s="7">
        <f t="shared" ca="1" si="25"/>
        <v>-2.5214291516981353E-4</v>
      </c>
      <c r="Z89" s="7">
        <f t="shared" ca="1" si="26"/>
        <v>-2.6742323434142612E-4</v>
      </c>
      <c r="AA89" s="7">
        <f t="shared" ca="1" si="27"/>
        <v>-2.8291775352478471E-4</v>
      </c>
      <c r="AB89" s="7">
        <f t="shared" ca="1" si="27"/>
        <v>-2.9887040299294827E-4</v>
      </c>
      <c r="AC89" s="11">
        <f t="shared" ca="1" si="28"/>
        <v>-3.1552129690637387E-4</v>
      </c>
      <c r="AD89" s="14">
        <f t="shared" ca="1" si="29"/>
        <v>-3.3311228618260235E-4</v>
      </c>
    </row>
    <row r="90" spans="4:30" x14ac:dyDescent="0.25">
      <c r="D90" s="17"/>
      <c r="E90" s="2">
        <f t="shared" si="7"/>
        <v>0.7</v>
      </c>
      <c r="G90" s="15">
        <f t="shared" ca="1" si="8"/>
        <v>-1.9941544846639802E-6</v>
      </c>
      <c r="H90" s="8">
        <v>0</v>
      </c>
      <c r="I90" s="7">
        <f t="shared" ca="1" si="9"/>
        <v>-1.9941544317562699E-6</v>
      </c>
      <c r="J90" s="7">
        <f t="shared" ca="1" si="30"/>
        <v>-7.4130917382045573E-6</v>
      </c>
      <c r="K90" s="7">
        <f t="shared" ca="1" si="31"/>
        <v>-1.5735661495050919E-5</v>
      </c>
      <c r="L90" s="7">
        <f t="shared" ca="1" si="32"/>
        <v>-2.6479732842985344E-5</v>
      </c>
      <c r="M90" s="7">
        <f t="shared" ca="1" si="13"/>
        <v>-3.9197402443954292E-5</v>
      </c>
      <c r="N90" s="7">
        <f t="shared" ca="1" si="14"/>
        <v>-5.3469779904461297E-5</v>
      </c>
      <c r="O90" s="7">
        <f t="shared" ca="1" si="15"/>
        <v>-6.8902258077054626E-5</v>
      </c>
      <c r="P90" s="7">
        <f t="shared" ca="1" si="16"/>
        <v>-8.5121315249805942E-5</v>
      </c>
      <c r="Q90" s="7">
        <f t="shared" ca="1" si="17"/>
        <v>-1.0177434057243303E-4</v>
      </c>
      <c r="R90" s="7">
        <f t="shared" ca="1" si="18"/>
        <v>-1.1853475242032003E-4</v>
      </c>
      <c r="S90" s="7">
        <f t="shared" ca="1" si="19"/>
        <v>-1.3511533879393767E-4</v>
      </c>
      <c r="T90" s="7">
        <f t="shared" ca="1" si="20"/>
        <v>-1.5129078615249577E-4</v>
      </c>
      <c r="U90" s="7">
        <f t="shared" ca="1" si="21"/>
        <v>-1.6691943304876673E-4</v>
      </c>
      <c r="V90" s="7">
        <f t="shared" ca="1" si="22"/>
        <v>-1.8195367847526593E-4</v>
      </c>
      <c r="W90" s="7">
        <f t="shared" ca="1" si="23"/>
        <v>-1.9643812729928172E-4</v>
      </c>
      <c r="X90" s="7">
        <f t="shared" ca="1" si="24"/>
        <v>-2.104954890311466E-4</v>
      </c>
      <c r="Y90" s="7">
        <f t="shared" ca="1" si="25"/>
        <v>-2.2430119305965633E-4</v>
      </c>
      <c r="Z90" s="7">
        <f t="shared" ca="1" si="26"/>
        <v>-2.380573785927356E-4</v>
      </c>
      <c r="AA90" s="7">
        <f t="shared" ca="1" si="27"/>
        <v>-2.5197639533602775E-4</v>
      </c>
      <c r="AB90" s="7">
        <f t="shared" ca="1" si="27"/>
        <v>-2.6627317134305593E-4</v>
      </c>
      <c r="AC90" s="11">
        <f t="shared" ca="1" si="28"/>
        <v>-2.8116410240581943E-4</v>
      </c>
      <c r="AD90" s="14">
        <f t="shared" ca="1" si="29"/>
        <v>-2.9687121506994838E-4</v>
      </c>
    </row>
    <row r="91" spans="4:30" x14ac:dyDescent="0.25">
      <c r="D91" s="17"/>
      <c r="E91" s="2">
        <f t="shared" si="7"/>
        <v>0.6</v>
      </c>
      <c r="G91" s="15">
        <f t="shared" ca="1" si="8"/>
        <v>-1.7206051689468452E-6</v>
      </c>
      <c r="H91" s="8">
        <v>0</v>
      </c>
      <c r="I91" s="7">
        <f t="shared" ca="1" si="9"/>
        <v>-1.7206051229974739E-6</v>
      </c>
      <c r="J91" s="7">
        <f t="shared" ca="1" si="30"/>
        <v>-6.4037025220461563E-6</v>
      </c>
      <c r="K91" s="7">
        <f t="shared" ca="1" si="31"/>
        <v>-1.3601512159086533E-5</v>
      </c>
      <c r="L91" s="7">
        <f t="shared" ca="1" si="32"/>
        <v>-2.2896455518566141E-5</v>
      </c>
      <c r="M91" s="7">
        <f t="shared" ca="1" si="13"/>
        <v>-3.3898691075044446E-5</v>
      </c>
      <c r="N91" s="7">
        <f t="shared" ca="1" si="14"/>
        <v>-4.6243040794695615E-5</v>
      </c>
      <c r="O91" s="7">
        <f t="shared" ca="1" si="15"/>
        <v>-5.9586301078711945E-5</v>
      </c>
      <c r="P91" s="7">
        <f t="shared" ca="1" si="16"/>
        <v>-7.3605979882385936E-5</v>
      </c>
      <c r="Q91" s="7">
        <f t="shared" ca="1" si="17"/>
        <v>-8.800168555527253E-5</v>
      </c>
      <c r="R91" s="7">
        <f t="shared" ca="1" si="18"/>
        <v>-1.025005588248903E-4</v>
      </c>
      <c r="S91" s="7">
        <f t="shared" ca="1" si="19"/>
        <v>-1.1686778458896958E-4</v>
      </c>
      <c r="T91" s="7">
        <f t="shared" ca="1" si="20"/>
        <v>-1.3092123803018491E-4</v>
      </c>
      <c r="U91" s="7">
        <f t="shared" ca="1" si="21"/>
        <v>-1.4454506646004368E-4</v>
      </c>
      <c r="V91" s="7">
        <f t="shared" ca="1" si="22"/>
        <v>-1.5769663968588887E-4</v>
      </c>
      <c r="W91" s="7">
        <f t="shared" ca="1" si="23"/>
        <v>-1.7040493872588368E-4</v>
      </c>
      <c r="X91" s="7">
        <f t="shared" ca="1" si="24"/>
        <v>-1.8276041158155634E-4</v>
      </c>
      <c r="Y91" s="7">
        <f t="shared" ca="1" si="25"/>
        <v>-1.9489829628037951E-4</v>
      </c>
      <c r="Z91" s="7">
        <f t="shared" ca="1" si="26"/>
        <v>-2.0698108851248374E-4</v>
      </c>
      <c r="AA91" s="7">
        <f t="shared" ca="1" si="27"/>
        <v>-2.1918553686295402E-4</v>
      </c>
      <c r="AB91" s="7">
        <f t="shared" ca="1" si="27"/>
        <v>-2.3169541479681031E-4</v>
      </c>
      <c r="AC91" s="11">
        <f t="shared" ca="1" si="28"/>
        <v>-2.4469951105513161E-4</v>
      </c>
      <c r="AD91" s="14">
        <f t="shared" ca="1" si="29"/>
        <v>-2.5839414677427709E-4</v>
      </c>
    </row>
    <row r="92" spans="4:30" x14ac:dyDescent="0.25">
      <c r="D92" s="17"/>
      <c r="E92" s="2">
        <f t="shared" si="7"/>
        <v>0.5</v>
      </c>
      <c r="G92" s="15">
        <f t="shared" ca="1" si="8"/>
        <v>-1.4399300676037302E-6</v>
      </c>
      <c r="H92" s="8">
        <v>0</v>
      </c>
      <c r="I92" s="7">
        <f t="shared" ca="1" si="9"/>
        <v>-1.4399300288877852E-6</v>
      </c>
      <c r="J92" s="7">
        <f t="shared" ca="1" si="30"/>
        <v>-5.3650250731168313E-6</v>
      </c>
      <c r="K92" s="7">
        <f t="shared" ca="1" si="31"/>
        <v>-1.1402241812533784E-5</v>
      </c>
      <c r="L92" s="7">
        <f t="shared" ca="1" si="32"/>
        <v>-1.9201195958000997E-5</v>
      </c>
      <c r="M92" s="7">
        <f t="shared" ca="1" si="13"/>
        <v>-2.8433399625237108E-5</v>
      </c>
      <c r="N92" s="7">
        <f t="shared" ca="1" si="14"/>
        <v>-3.8790808102065251E-5</v>
      </c>
      <c r="O92" s="7">
        <f t="shared" ca="1" si="15"/>
        <v>-4.9984618582691879E-5</v>
      </c>
      <c r="P92" s="7">
        <f t="shared" ca="1" si="16"/>
        <v>-6.1745224395080221E-5</v>
      </c>
      <c r="Q92" s="7">
        <f t="shared" ca="1" si="17"/>
        <v>-7.3824216735453318E-5</v>
      </c>
      <c r="R92" s="7">
        <f t="shared" ca="1" si="18"/>
        <v>-8.5999185458130476E-5</v>
      </c>
      <c r="S92" s="7">
        <f t="shared" ca="1" si="19"/>
        <v>-9.808150475702082E-5</v>
      </c>
      <c r="T92" s="7">
        <f t="shared" ca="1" si="20"/>
        <v>-1.0992596304331986E-4</v>
      </c>
      <c r="U92" s="7">
        <f t="shared" ca="1" si="21"/>
        <v>-1.2143930849256532E-4</v>
      </c>
      <c r="V92" s="7">
        <f t="shared" ca="1" si="22"/>
        <v>-1.325846088941192E-4</v>
      </c>
      <c r="W92" s="7">
        <f t="shared" ca="1" si="23"/>
        <v>-1.4337989858116066E-4</v>
      </c>
      <c r="X92" s="7">
        <f t="shared" ca="1" si="24"/>
        <v>-1.5389114724450773E-4</v>
      </c>
      <c r="Y92" s="7">
        <f t="shared" ca="1" si="25"/>
        <v>-1.6422115810817048E-4</v>
      </c>
      <c r="Z92" s="7">
        <f t="shared" ca="1" si="26"/>
        <v>-1.7449760977624753E-4</v>
      </c>
      <c r="AA92" s="7">
        <f t="shared" ca="1" si="27"/>
        <v>-1.8486333948544776E-4</v>
      </c>
      <c r="AB92" s="7">
        <f t="shared" ca="1" si="27"/>
        <v>-1.9547025705706641E-4</v>
      </c>
      <c r="AC92" s="11">
        <f t="shared" ca="1" si="28"/>
        <v>-2.0647704467373373E-4</v>
      </c>
      <c r="AD92" s="14">
        <f t="shared" ca="1" si="29"/>
        <v>-2.1805029867227681E-4</v>
      </c>
    </row>
    <row r="93" spans="4:30" x14ac:dyDescent="0.25">
      <c r="D93" s="17"/>
      <c r="E93" s="2">
        <f t="shared" si="7"/>
        <v>0.4</v>
      </c>
      <c r="G93" s="15">
        <f t="shared" ca="1" si="8"/>
        <v>-1.1548732549934601E-6</v>
      </c>
      <c r="H93" s="8">
        <v>0</v>
      </c>
      <c r="I93" s="7">
        <f t="shared" ca="1" si="9"/>
        <v>-1.1548732237418775E-6</v>
      </c>
      <c r="J93" s="7">
        <f t="shared" ca="1" si="30"/>
        <v>-4.3071659583951616E-6</v>
      </c>
      <c r="K93" s="7">
        <f t="shared" ca="1" si="31"/>
        <v>-9.1590196212709267E-6</v>
      </c>
      <c r="L93" s="7">
        <f t="shared" ca="1" si="32"/>
        <v>-1.5428954414931403E-5</v>
      </c>
      <c r="M93" s="7">
        <f t="shared" ca="1" si="13"/>
        <v>-2.285216566980912E-5</v>
      </c>
      <c r="N93" s="7">
        <f t="shared" ca="1" si="14"/>
        <v>-3.1180140339018065E-5</v>
      </c>
      <c r="O93" s="7">
        <f t="shared" ca="1" si="15"/>
        <v>-4.0180396684622059E-5</v>
      </c>
      <c r="P93" s="7">
        <f t="shared" ca="1" si="16"/>
        <v>-4.9637061015470019E-5</v>
      </c>
      <c r="Q93" s="7">
        <f t="shared" ca="1" si="17"/>
        <v>-5.9352886846223794E-5</v>
      </c>
      <c r="R93" s="7">
        <f t="shared" ca="1" si="18"/>
        <v>-6.9153088899241545E-5</v>
      </c>
      <c r="S93" s="7">
        <f t="shared" ca="1" si="19"/>
        <v>-7.8890873274523277E-5</v>
      </c>
      <c r="T93" s="7">
        <f t="shared" ca="1" si="20"/>
        <v>-8.8453746096733808E-5</v>
      </c>
      <c r="U93" s="7">
        <f t="shared" ca="1" si="21"/>
        <v>-9.7768876510436284E-5</v>
      </c>
      <c r="V93" s="7">
        <f t="shared" ca="1" si="22"/>
        <v>-1.0680573365427647E-4</v>
      </c>
      <c r="W93" s="7">
        <f t="shared" ca="1" si="23"/>
        <v>-1.1557500068882229E-4</v>
      </c>
      <c r="X93" s="7">
        <f t="shared" ca="1" si="24"/>
        <v>-1.2412380084166259E-4</v>
      </c>
      <c r="Y93" s="7">
        <f t="shared" ca="1" si="25"/>
        <v>-1.3252831031873615E-4</v>
      </c>
      <c r="Z93" s="7">
        <f t="shared" ca="1" si="26"/>
        <v>-1.4088564003331984E-4</v>
      </c>
      <c r="AA93" s="7">
        <f t="shared" ca="1" si="27"/>
        <v>-1.4930684935365792E-4</v>
      </c>
      <c r="AB93" s="7">
        <f t="shared" ca="1" si="27"/>
        <v>-1.5791219369472838E-4</v>
      </c>
      <c r="AC93" s="11">
        <f t="shared" ca="1" si="28"/>
        <v>-1.6682894450251374E-4</v>
      </c>
      <c r="AD93" s="14">
        <f t="shared" ca="1" si="29"/>
        <v>-1.7619161714872678E-4</v>
      </c>
    </row>
    <row r="94" spans="4:30" x14ac:dyDescent="0.25">
      <c r="D94" s="17"/>
      <c r="E94" s="2">
        <f t="shared" si="7"/>
        <v>0.30000000000000004</v>
      </c>
      <c r="G94" s="15">
        <f t="shared" ca="1" si="8"/>
        <v>-8.6736437504192124E-7</v>
      </c>
      <c r="H94" s="8">
        <v>0</v>
      </c>
      <c r="I94" s="7">
        <f t="shared" ca="1" si="9"/>
        <v>-8.6736435144036228E-7</v>
      </c>
      <c r="J94" s="7">
        <f t="shared" ca="1" si="30"/>
        <v>-3.237515406687245E-6</v>
      </c>
      <c r="K94" s="7">
        <f t="shared" ca="1" si="31"/>
        <v>-6.8876424279934042E-6</v>
      </c>
      <c r="L94" s="7">
        <f t="shared" ca="1" si="32"/>
        <v>-1.1606155269916274E-5</v>
      </c>
      <c r="M94" s="7">
        <f t="shared" ca="1" si="13"/>
        <v>-1.7193458232229365E-5</v>
      </c>
      <c r="N94" s="7">
        <f t="shared" ca="1" si="14"/>
        <v>-2.3462135749553864E-5</v>
      </c>
      <c r="O94" s="7">
        <f t="shared" ca="1" si="15"/>
        <v>-3.0237167583566072E-5</v>
      </c>
      <c r="P94" s="7">
        <f t="shared" ca="1" si="16"/>
        <v>-3.7356691876670572E-5</v>
      </c>
      <c r="Q94" s="7">
        <f t="shared" ca="1" si="17"/>
        <v>-4.46737050661731E-5</v>
      </c>
      <c r="R94" s="7">
        <f t="shared" ca="1" si="18"/>
        <v>-5.205887090836653E-5</v>
      </c>
      <c r="S94" s="7">
        <f t="shared" ca="1" si="19"/>
        <v>-5.9404258710918562E-5</v>
      </c>
      <c r="T94" s="7">
        <f t="shared" ca="1" si="20"/>
        <v>-6.6627370625971751E-5</v>
      </c>
      <c r="U94" s="7">
        <f t="shared" ca="1" si="21"/>
        <v>-7.3674436787494384E-5</v>
      </c>
      <c r="V94" s="7">
        <f t="shared" ca="1" si="22"/>
        <v>-8.0521954666285258E-5</v>
      </c>
      <c r="W94" s="7">
        <f t="shared" ca="1" si="23"/>
        <v>-8.7175874244259781E-5</v>
      </c>
      <c r="X94" s="7">
        <f t="shared" ca="1" si="24"/>
        <v>-9.3668459265922627E-5</v>
      </c>
      <c r="Y94" s="7">
        <f t="shared" ca="1" si="25"/>
        <v>-1.0005348886028248E-4</v>
      </c>
      <c r="Z94" s="7">
        <f t="shared" ca="1" si="26"/>
        <v>-1.0640090437968607E-4</v>
      </c>
      <c r="AA94" s="7">
        <f t="shared" ca="1" si="27"/>
        <v>-1.1279202606476024E-4</v>
      </c>
      <c r="AB94" s="7">
        <f t="shared" ca="1" si="27"/>
        <v>-1.1931610464336775E-4</v>
      </c>
      <c r="AC94" s="11">
        <f t="shared" ca="1" si="28"/>
        <v>-1.2606851837716445E-4</v>
      </c>
      <c r="AD94" s="14">
        <f t="shared" ca="1" si="29"/>
        <v>-1.33150536527957E-4</v>
      </c>
    </row>
    <row r="95" spans="4:30" x14ac:dyDescent="0.25">
      <c r="D95" s="17"/>
      <c r="E95" s="2">
        <f t="shared" si="7"/>
        <v>0.2</v>
      </c>
      <c r="G95" s="15">
        <f t="shared" ca="1" si="8"/>
        <v>-5.7863997490529951E-7</v>
      </c>
      <c r="H95" s="8">
        <v>0</v>
      </c>
      <c r="I95" s="7">
        <f t="shared" ca="1" si="9"/>
        <v>-5.7863995909336321E-7</v>
      </c>
      <c r="J95" s="7">
        <f t="shared" ca="1" si="30"/>
        <v>-2.1611350565183982E-6</v>
      </c>
      <c r="K95" s="7">
        <f t="shared" ca="1" si="31"/>
        <v>-4.5993133567418983E-6</v>
      </c>
      <c r="L95" s="7">
        <f t="shared" ca="1" si="32"/>
        <v>-7.751963070695745E-6</v>
      </c>
      <c r="M95" s="7">
        <f t="shared" ca="1" si="13"/>
        <v>-1.1485617376203872E-5</v>
      </c>
      <c r="N95" s="7">
        <f t="shared" ca="1" si="14"/>
        <v>-1.5674908461659617E-5</v>
      </c>
      <c r="O95" s="7">
        <f t="shared" ca="1" si="15"/>
        <v>-2.0202905152602492E-5</v>
      </c>
      <c r="P95" s="7">
        <f t="shared" ca="1" si="16"/>
        <v>-2.4961768399525635E-5</v>
      </c>
      <c r="Q95" s="7">
        <f t="shared" ca="1" si="17"/>
        <v>-2.985395431810629E-5</v>
      </c>
      <c r="R95" s="7">
        <f t="shared" ca="1" si="18"/>
        <v>-3.4794038801052126E-5</v>
      </c>
      <c r="S95" s="7">
        <f t="shared" ca="1" si="19"/>
        <v>-3.9711018705628863E-5</v>
      </c>
      <c r="T95" s="7">
        <f t="shared" ca="1" si="20"/>
        <v>-4.4550695313779723E-5</v>
      </c>
      <c r="U95" s="7">
        <f t="shared" ca="1" si="21"/>
        <v>-4.9277566080340666E-5</v>
      </c>
      <c r="V95" s="7">
        <f t="shared" ca="1" si="22"/>
        <v>-5.3875664333612293E-5</v>
      </c>
      <c r="W95" s="7">
        <f t="shared" ca="1" si="23"/>
        <v>-5.8348016546290818E-5</v>
      </c>
      <c r="X95" s="7">
        <f t="shared" ca="1" si="24"/>
        <v>-6.2714739190390846E-5</v>
      </c>
      <c r="Y95" s="7">
        <f t="shared" ca="1" si="25"/>
        <v>-6.7010152763473147E-5</v>
      </c>
      <c r="Z95" s="7">
        <f t="shared" ca="1" si="26"/>
        <v>-7.1279529263490015E-5</v>
      </c>
      <c r="AA95" s="7">
        <f t="shared" ca="1" si="27"/>
        <v>-7.5576114541345087E-5</v>
      </c>
      <c r="AB95" s="7">
        <f t="shared" ca="1" si="27"/>
        <v>-7.9958895638683304E-5</v>
      </c>
      <c r="AC95" s="11">
        <f t="shared" ca="1" si="28"/>
        <v>-8.4491328634125705E-5</v>
      </c>
      <c r="AD95" s="14">
        <f t="shared" ca="1" si="29"/>
        <v>-8.924098900749502E-5</v>
      </c>
    </row>
    <row r="96" spans="4:30" x14ac:dyDescent="0.25">
      <c r="D96" s="17"/>
      <c r="E96" s="2">
        <f t="shared" si="7"/>
        <v>0.1</v>
      </c>
      <c r="G96" s="15">
        <f t="shared" ca="1" si="8"/>
        <v>-2.8940335239455734E-7</v>
      </c>
      <c r="H96" s="8">
        <v>0</v>
      </c>
      <c r="I96" s="7">
        <f t="shared" ca="1" si="9"/>
        <v>-2.8940334446534205E-7</v>
      </c>
      <c r="J96" s="7">
        <f t="shared" ca="1" si="30"/>
        <v>-1.0812829101796571E-6</v>
      </c>
      <c r="K96" s="7">
        <f t="shared" ca="1" si="31"/>
        <v>-2.3016817747476845E-6</v>
      </c>
      <c r="L96" s="7">
        <f t="shared" ca="1" si="32"/>
        <v>-3.8799645051777071E-6</v>
      </c>
      <c r="M96" s="7">
        <f t="shared" ca="1" si="13"/>
        <v>-5.74929119640369E-6</v>
      </c>
      <c r="N96" s="7">
        <f t="shared" ca="1" si="14"/>
        <v>-7.8468642672069287E-6</v>
      </c>
      <c r="O96" s="7">
        <f t="shared" ca="1" si="15"/>
        <v>-1.0114155035482638E-5</v>
      </c>
      <c r="P96" s="7">
        <f t="shared" ca="1" si="16"/>
        <v>-1.2497273335567688E-5</v>
      </c>
      <c r="Q96" s="7">
        <f t="shared" ca="1" si="17"/>
        <v>-1.4947586613042231E-5</v>
      </c>
      <c r="R96" s="7">
        <f t="shared" ca="1" si="18"/>
        <v>-1.7422615275272798E-5</v>
      </c>
      <c r="S96" s="7">
        <f t="shared" ca="1" si="19"/>
        <v>-1.9887127266235779E-5</v>
      </c>
      <c r="T96" s="7">
        <f t="shared" ca="1" si="20"/>
        <v>-2.2314245561045344E-5</v>
      </c>
      <c r="U96" s="7">
        <f t="shared" ca="1" si="21"/>
        <v>-2.4686310033996323E-5</v>
      </c>
      <c r="V96" s="7">
        <f t="shared" ca="1" si="22"/>
        <v>-2.699524577132384E-5</v>
      </c>
      <c r="W96" s="7">
        <f t="shared" ca="1" si="23"/>
        <v>-2.924229198890186E-5</v>
      </c>
      <c r="X96" s="7">
        <f t="shared" ca="1" si="24"/>
        <v>-3.1437103092551074E-5</v>
      </c>
      <c r="Y96" s="7">
        <f t="shared" ca="1" si="25"/>
        <v>-3.3596392240509294E-5</v>
      </c>
      <c r="Z96" s="7">
        <f t="shared" ca="1" si="26"/>
        <v>-3.5742393719852921E-5</v>
      </c>
      <c r="AA96" s="7">
        <f t="shared" ca="1" si="27"/>
        <v>-3.7901435764167191E-5</v>
      </c>
      <c r="AB96" s="7">
        <f t="shared" ca="1" si="27"/>
        <v>-4.0102845584824549E-5</v>
      </c>
      <c r="AC96" s="11">
        <f t="shared" ca="1" si="28"/>
        <v>-4.2378294064771645E-5</v>
      </c>
      <c r="AD96" s="14">
        <f t="shared" ca="1" si="29"/>
        <v>-4.4761564585389928E-5</v>
      </c>
    </row>
    <row r="97" spans="4:30" x14ac:dyDescent="0.25">
      <c r="D97" s="17"/>
      <c r="E97" s="2">
        <v>0</v>
      </c>
      <c r="G97" s="15">
        <f t="shared" si="8"/>
        <v>0</v>
      </c>
      <c r="H97" s="8">
        <v>0</v>
      </c>
      <c r="I97" s="8">
        <v>0</v>
      </c>
      <c r="J97" s="8">
        <v>0</v>
      </c>
      <c r="K97" s="8">
        <v>0</v>
      </c>
      <c r="L97" s="8">
        <v>0</v>
      </c>
      <c r="M97" s="8">
        <v>0</v>
      </c>
      <c r="N97" s="8">
        <v>0</v>
      </c>
      <c r="O97" s="8">
        <v>0</v>
      </c>
      <c r="P97" s="8">
        <v>0</v>
      </c>
      <c r="Q97" s="8">
        <v>0</v>
      </c>
      <c r="R97" s="8">
        <v>0</v>
      </c>
      <c r="S97" s="8">
        <v>0</v>
      </c>
      <c r="T97" s="8">
        <v>0</v>
      </c>
      <c r="U97" s="8">
        <v>0</v>
      </c>
      <c r="V97" s="8">
        <v>0</v>
      </c>
      <c r="W97" s="8">
        <v>0</v>
      </c>
      <c r="X97" s="8">
        <v>0</v>
      </c>
      <c r="Y97" s="8">
        <v>0</v>
      </c>
      <c r="Z97" s="8">
        <v>0</v>
      </c>
      <c r="AA97" s="8">
        <v>0</v>
      </c>
      <c r="AB97" s="8">
        <v>0</v>
      </c>
      <c r="AC97" s="13">
        <v>0</v>
      </c>
      <c r="AD97" s="14"/>
    </row>
    <row r="98" spans="4:30" x14ac:dyDescent="0.25">
      <c r="H98" s="11">
        <f>-H96</f>
        <v>0</v>
      </c>
      <c r="I98" s="11">
        <f t="shared" ref="I98:AB98" ca="1" si="33">-I96</f>
        <v>2.8940334446534205E-7</v>
      </c>
      <c r="J98" s="11">
        <f t="shared" ca="1" si="33"/>
        <v>1.0812829101796571E-6</v>
      </c>
      <c r="K98" s="11">
        <f t="shared" ca="1" si="33"/>
        <v>2.3016817747476845E-6</v>
      </c>
      <c r="L98" s="11">
        <f t="shared" ca="1" si="33"/>
        <v>3.8799645051777071E-6</v>
      </c>
      <c r="M98" s="11">
        <f t="shared" ca="1" si="33"/>
        <v>5.74929119640369E-6</v>
      </c>
      <c r="N98" s="11">
        <f t="shared" ca="1" si="33"/>
        <v>7.8468642672069287E-6</v>
      </c>
      <c r="O98" s="11">
        <f t="shared" ca="1" si="33"/>
        <v>1.0114155035482638E-5</v>
      </c>
      <c r="P98" s="11">
        <f t="shared" ca="1" si="33"/>
        <v>1.2497273335567688E-5</v>
      </c>
      <c r="Q98" s="11">
        <f t="shared" ca="1" si="33"/>
        <v>1.4947586613042231E-5</v>
      </c>
      <c r="R98" s="11">
        <f t="shared" ca="1" si="33"/>
        <v>1.7422615275272798E-5</v>
      </c>
      <c r="S98" s="11">
        <f t="shared" ca="1" si="33"/>
        <v>1.9887127266235779E-5</v>
      </c>
      <c r="T98" s="11">
        <f t="shared" ca="1" si="33"/>
        <v>2.2314245561045344E-5</v>
      </c>
      <c r="U98" s="11">
        <f t="shared" ca="1" si="33"/>
        <v>2.4686310033996323E-5</v>
      </c>
      <c r="V98" s="11">
        <f t="shared" ca="1" si="33"/>
        <v>2.699524577132384E-5</v>
      </c>
      <c r="W98" s="11">
        <f t="shared" ca="1" si="33"/>
        <v>2.924229198890186E-5</v>
      </c>
      <c r="X98" s="11">
        <f t="shared" ca="1" si="33"/>
        <v>3.1437103092551074E-5</v>
      </c>
      <c r="Y98" s="11">
        <f t="shared" ca="1" si="33"/>
        <v>3.3596392240509294E-5</v>
      </c>
      <c r="Z98" s="11">
        <f t="shared" ca="1" si="33"/>
        <v>3.5742393719852921E-5</v>
      </c>
      <c r="AA98" s="11">
        <f t="shared" ca="1" si="33"/>
        <v>3.7901435764167191E-5</v>
      </c>
      <c r="AB98" s="11">
        <f t="shared" ca="1" si="33"/>
        <v>4.0102845584824549E-5</v>
      </c>
    </row>
    <row r="102" spans="4:30" ht="18.75" x14ac:dyDescent="0.3">
      <c r="E102" s="1" t="s">
        <v>18</v>
      </c>
    </row>
    <row r="103" spans="4:30" x14ac:dyDescent="0.25">
      <c r="H103" s="16" t="s">
        <v>17</v>
      </c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</row>
    <row r="104" spans="4:30" x14ac:dyDescent="0.25">
      <c r="H104" s="2">
        <v>0</v>
      </c>
      <c r="I104" s="2">
        <f t="shared" ref="I104:AB104" si="34">+H104+delta</f>
        <v>0.1</v>
      </c>
      <c r="J104" s="2">
        <f t="shared" si="34"/>
        <v>0.2</v>
      </c>
      <c r="K104" s="2">
        <f t="shared" si="34"/>
        <v>0.30000000000000004</v>
      </c>
      <c r="L104" s="2">
        <f t="shared" si="34"/>
        <v>0.4</v>
      </c>
      <c r="M104" s="2">
        <f t="shared" si="34"/>
        <v>0.5</v>
      </c>
      <c r="N104" s="2">
        <f t="shared" si="34"/>
        <v>0.6</v>
      </c>
      <c r="O104" s="2">
        <f t="shared" si="34"/>
        <v>0.7</v>
      </c>
      <c r="P104" s="2">
        <f t="shared" si="34"/>
        <v>0.79999999999999993</v>
      </c>
      <c r="Q104" s="2">
        <f t="shared" si="34"/>
        <v>0.89999999999999991</v>
      </c>
      <c r="R104" s="2">
        <f t="shared" si="34"/>
        <v>0.99999999999999989</v>
      </c>
      <c r="S104" s="2">
        <f t="shared" si="34"/>
        <v>1.0999999999999999</v>
      </c>
      <c r="T104" s="2">
        <f t="shared" si="34"/>
        <v>1.2</v>
      </c>
      <c r="U104" s="2">
        <f t="shared" si="34"/>
        <v>1.3</v>
      </c>
      <c r="V104" s="2">
        <f t="shared" si="34"/>
        <v>1.4000000000000001</v>
      </c>
      <c r="W104" s="2">
        <f t="shared" si="34"/>
        <v>1.5000000000000002</v>
      </c>
      <c r="X104" s="2">
        <f t="shared" si="34"/>
        <v>1.6000000000000003</v>
      </c>
      <c r="Y104" s="2">
        <f t="shared" si="34"/>
        <v>1.7000000000000004</v>
      </c>
      <c r="Z104" s="2">
        <f t="shared" si="34"/>
        <v>1.8000000000000005</v>
      </c>
      <c r="AA104" s="2">
        <f t="shared" si="34"/>
        <v>1.9000000000000006</v>
      </c>
      <c r="AB104" s="2">
        <f t="shared" si="34"/>
        <v>2.0000000000000004</v>
      </c>
    </row>
    <row r="107" spans="4:30" x14ac:dyDescent="0.25">
      <c r="D107" s="17" t="s">
        <v>16</v>
      </c>
      <c r="E107" s="2">
        <f t="shared" ref="E107:E146" si="35">E108+delta</f>
        <v>4.0000000000000018</v>
      </c>
      <c r="H107" s="8">
        <f t="shared" ref="H107:AB107" si="36" xml:space="preserve"> -(D*(nu*H58+G57+nu*H56+I57+((-2*nu)-2)*H57))/delta^2</f>
        <v>0</v>
      </c>
      <c r="I107" s="8">
        <f t="shared" ca="1" si="36"/>
        <v>-5.831416682418902E-7</v>
      </c>
      <c r="J107" s="8">
        <f t="shared" ca="1" si="36"/>
        <v>-2.1858757739005313E-6</v>
      </c>
      <c r="K107" s="8">
        <f t="shared" ca="1" si="36"/>
        <v>-4.6747635226108752E-6</v>
      </c>
      <c r="L107" s="8">
        <f t="shared" ca="1" si="36"/>
        <v>-7.928191913998166E-6</v>
      </c>
      <c r="M107" s="8">
        <f t="shared" ca="1" si="36"/>
        <v>-1.1835257089210022E-5</v>
      </c>
      <c r="N107" s="8">
        <f t="shared" ca="1" si="36"/>
        <v>-1.6294912128090364E-5</v>
      </c>
      <c r="O107" s="8">
        <f t="shared" ca="1" si="36"/>
        <v>-2.1215345912894492E-5</v>
      </c>
      <c r="P107" s="8">
        <f t="shared" ca="1" si="36"/>
        <v>-2.6513559090055426E-5</v>
      </c>
      <c r="Q107" s="8">
        <f t="shared" ca="1" si="36"/>
        <v>-3.2115123373351459E-5</v>
      </c>
      <c r="R107" s="8">
        <f t="shared" ca="1" si="36"/>
        <v>-3.7954098367714144E-5</v>
      </c>
      <c r="S107" s="8">
        <f t="shared" ca="1" si="36"/>
        <v>-4.3973102172275002E-5</v>
      </c>
      <c r="T107" s="8">
        <f t="shared" ca="1" si="36"/>
        <v>-5.0123517946453286E-5</v>
      </c>
      <c r="U107" s="8">
        <f t="shared" ca="1" si="36"/>
        <v>-5.6365838831545565E-5</v>
      </c>
      <c r="V107" s="8">
        <f t="shared" ca="1" si="36"/>
        <v>-6.2670146442895402E-5</v>
      </c>
      <c r="W107" s="8">
        <f t="shared" ca="1" si="36"/>
        <v>-6.9016719573017401E-5</v>
      </c>
      <c r="X107" s="8">
        <f t="shared" ca="1" si="36"/>
        <v>-7.5396794485112825E-5</v>
      </c>
      <c r="Y107" s="8">
        <f t="shared" ca="1" si="36"/>
        <v>-8.1813470179531957E-5</v>
      </c>
      <c r="Z107" s="8">
        <f t="shared" ca="1" si="36"/>
        <v>-8.8282789989691399E-5</v>
      </c>
      <c r="AA107" s="8">
        <f t="shared" ca="1" si="36"/>
        <v>-9.4835041859093539E-5</v>
      </c>
      <c r="AB107" s="8">
        <f t="shared" ca="1" si="36"/>
        <v>-1.0151632514866531E-4</v>
      </c>
    </row>
    <row r="108" spans="4:30" x14ac:dyDescent="0.25">
      <c r="D108" s="17"/>
      <c r="E108" s="2">
        <f t="shared" si="35"/>
        <v>3.9000000000000021</v>
      </c>
      <c r="H108" s="8">
        <f t="shared" ref="H108:AB108" ca="1" si="37" xml:space="preserve"> -(D*(nu*H59+G58+nu*H57+I58+((-2*nu)-2)*H58))/delta^2</f>
        <v>61.026585323522809</v>
      </c>
      <c r="I108" s="7">
        <f t="shared" ca="1" si="37"/>
        <v>56.68942213017484</v>
      </c>
      <c r="J108" s="7">
        <f t="shared" ca="1" si="37"/>
        <v>51.89323480275192</v>
      </c>
      <c r="K108" s="7">
        <f t="shared" ca="1" si="37"/>
        <v>46.791184487038677</v>
      </c>
      <c r="L108" s="7">
        <f t="shared" ca="1" si="37"/>
        <v>41.525844882089629</v>
      </c>
      <c r="M108" s="7">
        <f t="shared" ca="1" si="37"/>
        <v>36.227705985404207</v>
      </c>
      <c r="N108" s="7">
        <f t="shared" ca="1" si="37"/>
        <v>31.014357157904513</v>
      </c>
      <c r="O108" s="7">
        <f t="shared" ca="1" si="37"/>
        <v>25.990056614059526</v>
      </c>
      <c r="P108" s="7">
        <f t="shared" ca="1" si="37"/>
        <v>21.24545824336084</v>
      </c>
      <c r="Q108" s="7">
        <f t="shared" ca="1" si="37"/>
        <v>16.857355054098441</v>
      </c>
      <c r="R108" s="7">
        <f t="shared" ca="1" si="37"/>
        <v>12.888393980840975</v>
      </c>
      <c r="S108" s="7">
        <f t="shared" ca="1" si="37"/>
        <v>9.3868019031240468</v>
      </c>
      <c r="T108" s="7">
        <f t="shared" ca="1" si="37"/>
        <v>6.3862216909251428</v>
      </c>
      <c r="U108" s="7">
        <f t="shared" ca="1" si="37"/>
        <v>3.9057784965146647</v>
      </c>
      <c r="V108" s="7">
        <f t="shared" ca="1" si="37"/>
        <v>1.9504765279712493</v>
      </c>
      <c r="W108" s="7">
        <f t="shared" ca="1" si="37"/>
        <v>0.51197108363120647</v>
      </c>
      <c r="X108" s="7">
        <f t="shared" ca="1" si="37"/>
        <v>-0.43031508876923746</v>
      </c>
      <c r="Y108" s="7">
        <f t="shared" ca="1" si="37"/>
        <v>-0.9078369967354033</v>
      </c>
      <c r="Z108" s="7">
        <f t="shared" ca="1" si="37"/>
        <v>-0.96149290862340209</v>
      </c>
      <c r="AA108" s="7">
        <f t="shared" ca="1" si="37"/>
        <v>-0.64028327593131107</v>
      </c>
      <c r="AB108" s="8">
        <f t="shared" ca="1" si="37"/>
        <v>-2.0238546866557027E-4</v>
      </c>
    </row>
    <row r="109" spans="4:30" x14ac:dyDescent="0.25">
      <c r="D109" s="17"/>
      <c r="E109" s="2">
        <f t="shared" si="35"/>
        <v>3.800000000000002</v>
      </c>
      <c r="H109" s="8">
        <f t="shared" ref="H109:AB109" ca="1" si="38" xml:space="preserve"> -(D*(nu*H60+G59+nu*H58+I59+((-2*nu)-2)*H59))/delta^2</f>
        <v>122.41803807243994</v>
      </c>
      <c r="I109" s="7">
        <f t="shared" ca="1" si="38"/>
        <v>113.64914442635742</v>
      </c>
      <c r="J109" s="7">
        <f t="shared" ca="1" si="38"/>
        <v>103.96791819317468</v>
      </c>
      <c r="K109" s="7">
        <f t="shared" ca="1" si="38"/>
        <v>93.682316477963226</v>
      </c>
      <c r="L109" s="7">
        <f t="shared" ca="1" si="38"/>
        <v>83.078365644524254</v>
      </c>
      <c r="M109" s="7">
        <f t="shared" ca="1" si="38"/>
        <v>72.417423273523823</v>
      </c>
      <c r="N109" s="7">
        <f t="shared" ca="1" si="38"/>
        <v>61.934781054794364</v>
      </c>
      <c r="O109" s="7">
        <f t="shared" ca="1" si="38"/>
        <v>51.838989041041572</v>
      </c>
      <c r="P109" s="7">
        <f t="shared" ca="1" si="38"/>
        <v>42.311422857888111</v>
      </c>
      <c r="Q109" s="7">
        <f t="shared" ca="1" si="38"/>
        <v>33.50580627563064</v>
      </c>
      <c r="R109" s="7">
        <f t="shared" ca="1" si="38"/>
        <v>25.547606502678661</v>
      </c>
      <c r="S109" s="7">
        <f t="shared" ca="1" si="38"/>
        <v>18.533402709749428</v>
      </c>
      <c r="T109" s="7">
        <f t="shared" ca="1" si="38"/>
        <v>12.530455784082392</v>
      </c>
      <c r="U109" s="7">
        <f t="shared" ca="1" si="38"/>
        <v>7.5767535340450474</v>
      </c>
      <c r="V109" s="7">
        <f t="shared" ca="1" si="38"/>
        <v>3.6817609789190415</v>
      </c>
      <c r="W109" s="7">
        <f t="shared" ca="1" si="38"/>
        <v>0.82798209173608106</v>
      </c>
      <c r="X109" s="7">
        <f t="shared" ca="1" si="38"/>
        <v>-1.0267292805719512</v>
      </c>
      <c r="Y109" s="7">
        <f t="shared" ca="1" si="38"/>
        <v>-1.9463389503650701</v>
      </c>
      <c r="Z109" s="7">
        <f t="shared" ca="1" si="38"/>
        <v>-2.0136309108746278</v>
      </c>
      <c r="AA109" s="7">
        <f t="shared" ca="1" si="38"/>
        <v>-1.3274195475902435</v>
      </c>
      <c r="AB109" s="8">
        <f t="shared" ca="1" si="38"/>
        <v>-3.0196989104520872E-4</v>
      </c>
    </row>
    <row r="110" spans="4:30" x14ac:dyDescent="0.25">
      <c r="D110" s="17"/>
      <c r="E110" s="2">
        <f t="shared" si="35"/>
        <v>3.700000000000002</v>
      </c>
      <c r="H110" s="8">
        <f t="shared" ref="H110:AB110" ca="1" si="39" xml:space="preserve"> -(D*(nu*H61+G60+nu*H59+I60+((-2*nu)-2)*H60))/delta^2</f>
        <v>184.53740800313841</v>
      </c>
      <c r="I110" s="7">
        <f t="shared" ca="1" si="39"/>
        <v>171.1461731966138</v>
      </c>
      <c r="J110" s="7">
        <f t="shared" ca="1" si="39"/>
        <v>156.40141376799849</v>
      </c>
      <c r="K110" s="7">
        <f t="shared" ca="1" si="39"/>
        <v>140.76898133148464</v>
      </c>
      <c r="L110" s="7">
        <f t="shared" ca="1" si="39"/>
        <v>124.67991965595529</v>
      </c>
      <c r="M110" s="7">
        <f t="shared" ca="1" si="39"/>
        <v>108.52702886565919</v>
      </c>
      <c r="N110" s="7">
        <f t="shared" ca="1" si="39"/>
        <v>92.66338785054775</v>
      </c>
      <c r="O110" s="7">
        <f t="shared" ca="1" si="39"/>
        <v>77.401819683290768</v>
      </c>
      <c r="P110" s="7">
        <f t="shared" ca="1" si="39"/>
        <v>63.014531640201298</v>
      </c>
      <c r="Q110" s="7">
        <f t="shared" ca="1" si="39"/>
        <v>49.732482859563611</v>
      </c>
      <c r="R110" s="7">
        <f t="shared" ca="1" si="39"/>
        <v>37.744375987890969</v>
      </c>
      <c r="S110" s="7">
        <f t="shared" ca="1" si="39"/>
        <v>27.195478010352627</v>
      </c>
      <c r="T110" s="7">
        <f t="shared" ca="1" si="39"/>
        <v>18.186692865541339</v>
      </c>
      <c r="U110" s="7">
        <f t="shared" ca="1" si="39"/>
        <v>10.774387945815501</v>
      </c>
      <c r="V110" s="7">
        <f t="shared" ca="1" si="39"/>
        <v>4.9713980287361235</v>
      </c>
      <c r="W110" s="7">
        <f t="shared" ca="1" si="39"/>
        <v>0.74941211639887695</v>
      </c>
      <c r="X110" s="7">
        <f t="shared" ca="1" si="39"/>
        <v>-1.9573510774294325</v>
      </c>
      <c r="Y110" s="7">
        <f t="shared" ca="1" si="39"/>
        <v>-3.2475715887267818</v>
      </c>
      <c r="Z110" s="7">
        <f t="shared" ca="1" si="39"/>
        <v>-3.2479660059177879</v>
      </c>
      <c r="AA110" s="7">
        <f t="shared" ca="1" si="39"/>
        <v>-2.108807088701754</v>
      </c>
      <c r="AB110" s="8">
        <f t="shared" ca="1" si="39"/>
        <v>-3.9964321488451885E-4</v>
      </c>
    </row>
    <row r="111" spans="4:30" x14ac:dyDescent="0.25">
      <c r="D111" s="17"/>
      <c r="E111" s="2">
        <f t="shared" si="35"/>
        <v>3.6000000000000019</v>
      </c>
      <c r="H111" s="8">
        <f t="shared" ref="H111:AB111" ca="1" si="40" xml:space="preserve"> -(D*(nu*H62+G61+nu*H60+I61+((-2*nu)-2)*H61))/delta^2</f>
        <v>247.74363049034221</v>
      </c>
      <c r="I111" s="7">
        <f t="shared" ca="1" si="40"/>
        <v>229.44052733347525</v>
      </c>
      <c r="J111" s="7">
        <f t="shared" ca="1" si="40"/>
        <v>209.36264724554817</v>
      </c>
      <c r="K111" s="7">
        <f t="shared" ca="1" si="40"/>
        <v>188.13792873563219</v>
      </c>
      <c r="L111" s="7">
        <f t="shared" ca="1" si="40"/>
        <v>166.34427085665993</v>
      </c>
      <c r="M111" s="7">
        <f t="shared" ca="1" si="40"/>
        <v>144.50630865482344</v>
      </c>
      <c r="N111" s="7">
        <f t="shared" ca="1" si="40"/>
        <v>123.09467047570845</v>
      </c>
      <c r="O111" s="7">
        <f t="shared" ca="1" si="40"/>
        <v>102.52620379902476</v>
      </c>
      <c r="P111" s="7">
        <f t="shared" ca="1" si="40"/>
        <v>83.164050174022293</v>
      </c>
      <c r="Q111" s="7">
        <f t="shared" ca="1" si="40"/>
        <v>65.316943257950982</v>
      </c>
      <c r="R111" s="7">
        <f t="shared" ca="1" si="40"/>
        <v>49.237630477489084</v>
      </c>
      <c r="S111" s="7">
        <f t="shared" ca="1" si="40"/>
        <v>35.120799713849678</v>
      </c>
      <c r="T111" s="7">
        <f t="shared" ca="1" si="40"/>
        <v>23.101238465054813</v>
      </c>
      <c r="U111" s="7">
        <f t="shared" ca="1" si="40"/>
        <v>13.253083445927608</v>
      </c>
      <c r="V111" s="7">
        <f t="shared" ca="1" si="40"/>
        <v>5.5908920067978887</v>
      </c>
      <c r="W111" s="7">
        <f t="shared" ca="1" si="40"/>
        <v>7.2907172547688914E-2</v>
      </c>
      <c r="X111" s="7">
        <f t="shared" ca="1" si="40"/>
        <v>-3.3936104935089833</v>
      </c>
      <c r="Y111" s="7">
        <f t="shared" ca="1" si="40"/>
        <v>-4.9456089731764212</v>
      </c>
      <c r="Z111" s="7">
        <f t="shared" ca="1" si="40"/>
        <v>-4.7570089519729022</v>
      </c>
      <c r="AA111" s="7">
        <f t="shared" ca="1" si="40"/>
        <v>-3.0320989877692779</v>
      </c>
      <c r="AB111" s="8">
        <f t="shared" ca="1" si="40"/>
        <v>-4.9479367063734621E-4</v>
      </c>
    </row>
    <row r="112" spans="4:30" x14ac:dyDescent="0.25">
      <c r="D112" s="17"/>
      <c r="E112" s="2">
        <f t="shared" si="35"/>
        <v>3.5000000000000018</v>
      </c>
      <c r="H112" s="8">
        <f t="shared" ref="H112:AB112" ca="1" si="41" xml:space="preserve"> -(D*(nu*H63+G62+nu*H61+I62+((-2*nu)-2)*H62))/delta^2</f>
        <v>312.38826497248243</v>
      </c>
      <c r="I112" s="7">
        <f t="shared" ca="1" si="41"/>
        <v>288.78072449053025</v>
      </c>
      <c r="J112" s="7">
        <f t="shared" ca="1" si="41"/>
        <v>263.00717326990031</v>
      </c>
      <c r="K112" s="7">
        <f t="shared" ca="1" si="41"/>
        <v>235.86228457646035</v>
      </c>
      <c r="L112" s="7">
        <f t="shared" ca="1" si="41"/>
        <v>208.07224037978247</v>
      </c>
      <c r="M112" s="7">
        <f t="shared" ca="1" si="41"/>
        <v>180.29310483816673</v>
      </c>
      <c r="N112" s="7">
        <f t="shared" ca="1" si="41"/>
        <v>153.11202525348131</v>
      </c>
      <c r="O112" s="7">
        <f t="shared" ca="1" si="41"/>
        <v>127.04911784843719</v>
      </c>
      <c r="P112" s="7">
        <f t="shared" ca="1" si="41"/>
        <v>102.55848683763212</v>
      </c>
      <c r="Q112" s="7">
        <f t="shared" ca="1" si="41"/>
        <v>80.02754158743376</v>
      </c>
      <c r="R112" s="7">
        <f t="shared" ca="1" si="41"/>
        <v>59.774548155299001</v>
      </c>
      <c r="S112" s="7">
        <f t="shared" ca="1" si="41"/>
        <v>42.045076524232115</v>
      </c>
      <c r="T112" s="7">
        <f t="shared" ca="1" si="41"/>
        <v>27.008546632968837</v>
      </c>
      <c r="U112" s="7">
        <f t="shared" ca="1" si="41"/>
        <v>14.756293965268135</v>
      </c>
      <c r="V112" s="7">
        <f t="shared" ca="1" si="41"/>
        <v>5.3023832574883834</v>
      </c>
      <c r="W112" s="7">
        <f t="shared" ca="1" si="41"/>
        <v>-1.4121777426975091</v>
      </c>
      <c r="X112" s="7">
        <f t="shared" ca="1" si="41"/>
        <v>-5.5119835388511742</v>
      </c>
      <c r="Y112" s="7">
        <f t="shared" ca="1" si="41"/>
        <v>-7.1775073386876009</v>
      </c>
      <c r="Z112" s="7">
        <f t="shared" ca="1" si="41"/>
        <v>-6.6346591938841692</v>
      </c>
      <c r="AA112" s="7">
        <f t="shared" ca="1" si="41"/>
        <v>-4.1453573645323925</v>
      </c>
      <c r="AB112" s="8">
        <f t="shared" ca="1" si="41"/>
        <v>-5.8682764458297895E-4</v>
      </c>
    </row>
    <row r="113" spans="4:28" x14ac:dyDescent="0.25">
      <c r="D113" s="17"/>
      <c r="E113" s="2">
        <f t="shared" si="35"/>
        <v>3.4000000000000017</v>
      </c>
      <c r="H113" s="8">
        <f t="shared" ref="H113:AB113" ca="1" si="42" xml:space="preserve"> -(D*(nu*H64+G63+nu*H62+I63+((-2*nu)-2)*H63))/delta^2</f>
        <v>378.81064809621887</v>
      </c>
      <c r="I113" s="7">
        <f t="shared" ca="1" si="42"/>
        <v>349.39796448994076</v>
      </c>
      <c r="J113" s="7">
        <f t="shared" ca="1" si="42"/>
        <v>317.47136415413166</v>
      </c>
      <c r="K113" s="7">
        <f t="shared" ca="1" si="42"/>
        <v>283.99634508174933</v>
      </c>
      <c r="L113" s="7">
        <f t="shared" ca="1" si="42"/>
        <v>249.84735861214372</v>
      </c>
      <c r="M113" s="7">
        <f t="shared" ca="1" si="42"/>
        <v>215.80978977110604</v>
      </c>
      <c r="N113" s="7">
        <f t="shared" ca="1" si="42"/>
        <v>182.5848018976055</v>
      </c>
      <c r="O113" s="7">
        <f t="shared" ca="1" si="42"/>
        <v>150.79412477777237</v>
      </c>
      <c r="P113" s="7">
        <f t="shared" ca="1" si="42"/>
        <v>120.98270145183803</v>
      </c>
      <c r="Q113" s="7">
        <f t="shared" ca="1" si="42"/>
        <v>93.618099118114856</v>
      </c>
      <c r="R113" s="7">
        <f t="shared" ca="1" si="42"/>
        <v>69.086684018024116</v>
      </c>
      <c r="S113" s="7">
        <f t="shared" ca="1" si="42"/>
        <v>47.687639017203971</v>
      </c>
      <c r="T113" s="7">
        <f t="shared" ca="1" si="42"/>
        <v>29.626756660059499</v>
      </c>
      <c r="U113" s="7">
        <f t="shared" ca="1" si="42"/>
        <v>15.012319031595746</v>
      </c>
      <c r="V113" s="7">
        <f t="shared" ca="1" si="42"/>
        <v>3.8551009240113014</v>
      </c>
      <c r="W113" s="7">
        <f t="shared" ca="1" si="42"/>
        <v>-3.9263808890730445</v>
      </c>
      <c r="X113" s="7">
        <f t="shared" ca="1" si="42"/>
        <v>-8.4955610371771098</v>
      </c>
      <c r="Y113" s="7">
        <f t="shared" ca="1" si="42"/>
        <v>-10.083970447119059</v>
      </c>
      <c r="Z113" s="7">
        <f t="shared" ca="1" si="42"/>
        <v>-8.9762729994960004</v>
      </c>
      <c r="AA113" s="7">
        <f t="shared" ca="1" si="42"/>
        <v>-5.4969133974171802</v>
      </c>
      <c r="AB113" s="8">
        <f t="shared" ca="1" si="42"/>
        <v>-6.7517295944990855E-4</v>
      </c>
    </row>
    <row r="114" spans="4:28" x14ac:dyDescent="0.25">
      <c r="D114" s="17"/>
      <c r="E114" s="2">
        <f t="shared" si="35"/>
        <v>3.3000000000000016</v>
      </c>
      <c r="H114" s="8">
        <f t="shared" ref="H114:AB114" ca="1" si="43" xml:space="preserve"> -(D*(nu*H65+G64+nu*H63+I64+((-2*nu)-2)*H64))/delta^2</f>
        <v>447.33068269617507</v>
      </c>
      <c r="I114" s="7">
        <f t="shared" ca="1" si="43"/>
        <v>411.49844269432691</v>
      </c>
      <c r="J114" s="7">
        <f t="shared" ca="1" si="43"/>
        <v>372.8653838089142</v>
      </c>
      <c r="K114" s="7">
        <f t="shared" ca="1" si="43"/>
        <v>332.5698313367194</v>
      </c>
      <c r="L114" s="7">
        <f t="shared" ca="1" si="43"/>
        <v>291.63157746655168</v>
      </c>
      <c r="M114" s="7">
        <f t="shared" ca="1" si="43"/>
        <v>250.96025992960386</v>
      </c>
      <c r="N114" s="7">
        <f t="shared" ca="1" si="43"/>
        <v>211.36614941067077</v>
      </c>
      <c r="O114" s="7">
        <f t="shared" ca="1" si="43"/>
        <v>173.56950254446488</v>
      </c>
      <c r="P114" s="7">
        <f t="shared" ca="1" si="43"/>
        <v>138.2057395900498</v>
      </c>
      <c r="Q114" s="7">
        <f t="shared" ca="1" si="43"/>
        <v>105.82500040569877</v>
      </c>
      <c r="R114" s="7">
        <f t="shared" ca="1" si="43"/>
        <v>76.886138021801784</v>
      </c>
      <c r="S114" s="7">
        <f t="shared" ca="1" si="43"/>
        <v>51.746807533210237</v>
      </c>
      <c r="T114" s="7">
        <f t="shared" ca="1" si="43"/>
        <v>30.652680495030925</v>
      </c>
      <c r="U114" s="7">
        <f t="shared" ca="1" si="43"/>
        <v>13.729505645297625</v>
      </c>
      <c r="V114" s="7">
        <f t="shared" ca="1" si="43"/>
        <v>0.98137396013282585</v>
      </c>
      <c r="W114" s="7">
        <f t="shared" ca="1" si="43"/>
        <v>-7.7028965492064128</v>
      </c>
      <c r="X114" s="7">
        <f t="shared" ca="1" si="43"/>
        <v>-12.535467032582417</v>
      </c>
      <c r="Y114" s="7">
        <f t="shared" ca="1" si="43"/>
        <v>-13.809633044242849</v>
      </c>
      <c r="Z114" s="7">
        <f t="shared" ca="1" si="43"/>
        <v>-11.878281194306178</v>
      </c>
      <c r="AA114" s="7">
        <f t="shared" ca="1" si="43"/>
        <v>-7.1349087650880412</v>
      </c>
      <c r="AB114" s="8">
        <f t="shared" ca="1" si="43"/>
        <v>-7.5928222345379107E-4</v>
      </c>
    </row>
    <row r="115" spans="4:28" x14ac:dyDescent="0.25">
      <c r="D115" s="17"/>
      <c r="E115" s="2">
        <f t="shared" si="35"/>
        <v>3.2000000000000015</v>
      </c>
      <c r="H115" s="8">
        <f t="shared" ref="H115:AB115" ca="1" si="44" xml:space="preserve"> -(D*(nu*H66+G65+nu*H64+I65+((-2*nu)-2)*H65))/delta^2</f>
        <v>518.23827365871068</v>
      </c>
      <c r="I115" s="7">
        <f t="shared" ca="1" si="44"/>
        <v>475.2531293098005</v>
      </c>
      <c r="J115" s="7">
        <f t="shared" ca="1" si="44"/>
        <v>429.2645899274122</v>
      </c>
      <c r="K115" s="7">
        <f t="shared" ca="1" si="44"/>
        <v>381.58151095553063</v>
      </c>
      <c r="L115" s="7">
        <f t="shared" ca="1" si="44"/>
        <v>333.36116487310625</v>
      </c>
      <c r="M115" s="7">
        <f t="shared" ca="1" si="44"/>
        <v>285.62773649324663</v>
      </c>
      <c r="N115" s="7">
        <f t="shared" ca="1" si="44"/>
        <v>239.29204914552335</v>
      </c>
      <c r="O115" s="7">
        <f t="shared" ca="1" si="44"/>
        <v>195.16765634711368</v>
      </c>
      <c r="P115" s="7">
        <f t="shared" ca="1" si="44"/>
        <v>153.97975366580852</v>
      </c>
      <c r="Q115" s="7">
        <f t="shared" ca="1" si="44"/>
        <v>116.36493178235374</v>
      </c>
      <c r="R115" s="7">
        <f t="shared" ca="1" si="44"/>
        <v>82.861787519555548</v>
      </c>
      <c r="S115" s="7">
        <f t="shared" ca="1" si="44"/>
        <v>53.894776222388899</v>
      </c>
      <c r="T115" s="7">
        <f t="shared" ca="1" si="44"/>
        <v>29.755951528039535</v>
      </c>
      <c r="U115" s="7">
        <f t="shared" ca="1" si="44"/>
        <v>10.590553558681604</v>
      </c>
      <c r="V115" s="7">
        <f t="shared" ca="1" si="44"/>
        <v>-3.6080120421026005</v>
      </c>
      <c r="W115" s="7">
        <f t="shared" ca="1" si="44"/>
        <v>-12.990547505537661</v>
      </c>
      <c r="X115" s="7">
        <f t="shared" ca="1" si="44"/>
        <v>-17.832003968451822</v>
      </c>
      <c r="Y115" s="7">
        <f t="shared" ca="1" si="44"/>
        <v>-18.502720305567397</v>
      </c>
      <c r="Z115" s="7">
        <f t="shared" ca="1" si="44"/>
        <v>-15.437089526861271</v>
      </c>
      <c r="AA115" s="7">
        <f t="shared" ca="1" si="44"/>
        <v>-9.1063363347158202</v>
      </c>
      <c r="AB115" s="8">
        <f t="shared" ca="1" si="44"/>
        <v>-8.3863603599137017E-4</v>
      </c>
    </row>
    <row r="116" spans="4:28" x14ac:dyDescent="0.25">
      <c r="D116" s="17"/>
      <c r="E116" s="2">
        <f t="shared" si="35"/>
        <v>3.1000000000000014</v>
      </c>
      <c r="H116" s="8">
        <f t="shared" ref="H116:AB116" ca="1" si="45" xml:space="preserve"> -(D*(nu*H67+G66+nu*H65+I66+((-2*nu)-2)*H66))/delta^2</f>
        <v>591.77818180750342</v>
      </c>
      <c r="I116" s="7">
        <f t="shared" ca="1" si="45"/>
        <v>540.78425994741929</v>
      </c>
      <c r="J116" s="7">
        <f t="shared" ca="1" si="45"/>
        <v>486.69899864682452</v>
      </c>
      <c r="K116" s="7">
        <f t="shared" ca="1" si="45"/>
        <v>430.99212505852284</v>
      </c>
      <c r="L116" s="7">
        <f t="shared" ca="1" si="45"/>
        <v>374.9429606931443</v>
      </c>
      <c r="M116" s="7">
        <f t="shared" ca="1" si="45"/>
        <v>319.67374545203495</v>
      </c>
      <c r="N116" s="7">
        <f t="shared" ca="1" si="45"/>
        <v>266.18204781081539</v>
      </c>
      <c r="O116" s="7">
        <f t="shared" ca="1" si="45"/>
        <v>215.36638465587009</v>
      </c>
      <c r="P116" s="7">
        <f t="shared" ca="1" si="45"/>
        <v>168.0405213214525</v>
      </c>
      <c r="Q116" s="7">
        <f t="shared" ca="1" si="45"/>
        <v>124.93358558090016</v>
      </c>
      <c r="R116" s="7">
        <f t="shared" ca="1" si="45"/>
        <v>86.675630977095864</v>
      </c>
      <c r="S116" s="7">
        <f t="shared" ca="1" si="45"/>
        <v>53.771780997389051</v>
      </c>
      <c r="T116" s="7">
        <f t="shared" ca="1" si="45"/>
        <v>26.571919989871173</v>
      </c>
      <c r="U116" s="7">
        <f t="shared" ca="1" si="45"/>
        <v>5.24548941506246</v>
      </c>
      <c r="V116" s="7">
        <f t="shared" ca="1" si="45"/>
        <v>-10.229401243264084</v>
      </c>
      <c r="W116" s="7">
        <f t="shared" ca="1" si="45"/>
        <v>-20.057007337867368</v>
      </c>
      <c r="X116" s="7">
        <f t="shared" ca="1" si="45"/>
        <v>-24.595311467210081</v>
      </c>
      <c r="Y116" s="7">
        <f t="shared" ca="1" si="45"/>
        <v>-24.313704992954296</v>
      </c>
      <c r="Z116" s="7">
        <f t="shared" ca="1" si="45"/>
        <v>-19.746860095699237</v>
      </c>
      <c r="AA116" s="7">
        <f t="shared" ca="1" si="45"/>
        <v>-11.45530939009948</v>
      </c>
      <c r="AB116" s="8">
        <f t="shared" ca="1" si="45"/>
        <v>-9.1274589361505019E-4</v>
      </c>
    </row>
    <row r="117" spans="4:28" x14ac:dyDescent="0.25">
      <c r="D117" s="17"/>
      <c r="E117" s="2">
        <f t="shared" si="35"/>
        <v>3.0000000000000013</v>
      </c>
      <c r="H117" s="8">
        <f t="shared" ref="H117:AB117" ca="1" si="46" xml:space="preserve"> -(D*(nu*H68+G67+nu*H66+I67+((-2*nu)-2)*H67))/delta^2</f>
        <v>668.1288413325949</v>
      </c>
      <c r="I117" s="7">
        <f t="shared" ca="1" si="46"/>
        <v>608.14773593938787</v>
      </c>
      <c r="J117" s="7">
        <f t="shared" ca="1" si="46"/>
        <v>545.14046741763855</v>
      </c>
      <c r="K117" s="7">
        <f t="shared" ca="1" si="46"/>
        <v>480.71659261372855</v>
      </c>
      <c r="L117" s="7">
        <f t="shared" ca="1" si="46"/>
        <v>416.25121198999085</v>
      </c>
      <c r="M117" s="7">
        <f t="shared" ca="1" si="46"/>
        <v>352.93871698199411</v>
      </c>
      <c r="N117" s="7">
        <f t="shared" ca="1" si="46"/>
        <v>291.8423271543607</v>
      </c>
      <c r="O117" s="7">
        <f t="shared" ca="1" si="46"/>
        <v>233.93275668794718</v>
      </c>
      <c r="P117" s="7">
        <f t="shared" ca="1" si="46"/>
        <v>180.11028706060813</v>
      </c>
      <c r="Q117" s="7">
        <f t="shared" ca="1" si="46"/>
        <v>131.2058244796028</v>
      </c>
      <c r="R117" s="7">
        <f t="shared" ca="1" si="46"/>
        <v>87.959345473289758</v>
      </c>
      <c r="S117" s="7">
        <f t="shared" ca="1" si="46"/>
        <v>50.979236958015107</v>
      </c>
      <c r="T117" s="7">
        <f t="shared" ca="1" si="46"/>
        <v>20.692704707441035</v>
      </c>
      <c r="U117" s="7">
        <f t="shared" ca="1" si="46"/>
        <v>-2.6973056558804616</v>
      </c>
      <c r="V117" s="7">
        <f t="shared" ca="1" si="46"/>
        <v>-19.233183017278215</v>
      </c>
      <c r="W117" s="7">
        <f t="shared" ca="1" si="46"/>
        <v>-29.192276659453604</v>
      </c>
      <c r="X117" s="7">
        <f t="shared" ca="1" si="46"/>
        <v>-33.045171921189905</v>
      </c>
      <c r="Y117" s="7">
        <f t="shared" ca="1" si="46"/>
        <v>-31.392376583349328</v>
      </c>
      <c r="Z117" s="7">
        <f t="shared" ca="1" si="46"/>
        <v>-24.895582521441188</v>
      </c>
      <c r="AA117" s="7">
        <f t="shared" ca="1" si="46"/>
        <v>-14.220170851795721</v>
      </c>
      <c r="AB117" s="8">
        <f t="shared" ca="1" si="46"/>
        <v>-9.8115717419512542E-4</v>
      </c>
    </row>
    <row r="118" spans="4:28" x14ac:dyDescent="0.25">
      <c r="D118" s="17"/>
      <c r="E118" s="2">
        <f t="shared" si="35"/>
        <v>2.9000000000000012</v>
      </c>
      <c r="H118" s="8">
        <f t="shared" ref="H118:AB118" ca="1" si="47" xml:space="preserve"> -(D*(nu*H69+G68+nu*H67+I68+((-2*nu)-2)*H68))/delta^2</f>
        <v>747.37356325308292</v>
      </c>
      <c r="I118" s="7">
        <f t="shared" ca="1" si="47"/>
        <v>677.31069157571505</v>
      </c>
      <c r="J118" s="7">
        <f t="shared" ca="1" si="47"/>
        <v>604.48732752401827</v>
      </c>
      <c r="K118" s="7">
        <f t="shared" ca="1" si="47"/>
        <v>530.61548878416579</v>
      </c>
      <c r="L118" s="7">
        <f t="shared" ca="1" si="47"/>
        <v>457.12518763569756</v>
      </c>
      <c r="M118" s="7">
        <f t="shared" ca="1" si="47"/>
        <v>385.24464235472595</v>
      </c>
      <c r="N118" s="7">
        <f t="shared" ca="1" si="47"/>
        <v>316.0718353763732</v>
      </c>
      <c r="O118" s="7">
        <f t="shared" ca="1" si="47"/>
        <v>250.63057680916941</v>
      </c>
      <c r="P118" s="7">
        <f t="shared" ca="1" si="47"/>
        <v>189.903962163465</v>
      </c>
      <c r="Q118" s="7">
        <f t="shared" ca="1" si="47"/>
        <v>134.83808110916934</v>
      </c>
      <c r="R118" s="7">
        <f t="shared" ca="1" si="47"/>
        <v>86.311278747373422</v>
      </c>
      <c r="S118" s="7">
        <f t="shared" ca="1" si="47"/>
        <v>45.071436803970187</v>
      </c>
      <c r="T118" s="7">
        <f t="shared" ca="1" si="47"/>
        <v>11.655572735753003</v>
      </c>
      <c r="U118" s="7">
        <f t="shared" ca="1" si="47"/>
        <v>-13.68287509617025</v>
      </c>
      <c r="V118" s="7">
        <f t="shared" ca="1" si="47"/>
        <v>-31.012534422175573</v>
      </c>
      <c r="W118" s="7">
        <f t="shared" ca="1" si="47"/>
        <v>-40.712323653008347</v>
      </c>
      <c r="X118" s="7">
        <f t="shared" ca="1" si="47"/>
        <v>-43.409335881611725</v>
      </c>
      <c r="Y118" s="7">
        <f t="shared" ca="1" si="47"/>
        <v>-39.882428796507369</v>
      </c>
      <c r="Z118" s="7">
        <f t="shared" ca="1" si="47"/>
        <v>-30.95859529755673</v>
      </c>
      <c r="AA118" s="7">
        <f t="shared" ca="1" si="47"/>
        <v>-17.428915037507402</v>
      </c>
      <c r="AB118" s="8">
        <f t="shared" ca="1" si="47"/>
        <v>-1.0434516780186223E-3</v>
      </c>
    </row>
    <row r="119" spans="4:28" x14ac:dyDescent="0.25">
      <c r="D119" s="17"/>
      <c r="E119" s="2">
        <f t="shared" si="35"/>
        <v>2.8000000000000012</v>
      </c>
      <c r="H119" s="8">
        <f t="shared" ref="H119:AB119" ca="1" si="48" xml:space="preserve"> -(D*(nu*H70+G69+nu*H68+I69+((-2*nu)-2)*H69))/delta^2</f>
        <v>829.4626821416399</v>
      </c>
      <c r="I119" s="7">
        <f t="shared" ca="1" si="48"/>
        <v>748.12374353893256</v>
      </c>
      <c r="J119" s="7">
        <f t="shared" ca="1" si="48"/>
        <v>664.54636028648406</v>
      </c>
      <c r="K119" s="7">
        <f t="shared" ca="1" si="48"/>
        <v>580.4857890461351</v>
      </c>
      <c r="L119" s="7">
        <f t="shared" ca="1" si="48"/>
        <v>497.36763507457374</v>
      </c>
      <c r="M119" s="7">
        <f t="shared" ca="1" si="48"/>
        <v>416.40006990683844</v>
      </c>
      <c r="N119" s="7">
        <f t="shared" ca="1" si="48"/>
        <v>338.67217876334593</v>
      </c>
      <c r="O119" s="7">
        <f t="shared" ca="1" si="48"/>
        <v>265.23262761323451</v>
      </c>
      <c r="P119" s="7">
        <f t="shared" ca="1" si="48"/>
        <v>197.14015622811232</v>
      </c>
      <c r="Q119" s="7">
        <f t="shared" ca="1" si="48"/>
        <v>135.47423334715734</v>
      </c>
      <c r="R119" s="7">
        <f t="shared" ca="1" si="48"/>
        <v>81.294333238358846</v>
      </c>
      <c r="S119" s="7">
        <f t="shared" ca="1" si="48"/>
        <v>35.545309743216329</v>
      </c>
      <c r="T119" s="7">
        <f t="shared" ca="1" si="48"/>
        <v>-1.0724890615434108</v>
      </c>
      <c r="U119" s="7">
        <f t="shared" ca="1" si="48"/>
        <v>-28.225446630573479</v>
      </c>
      <c r="V119" s="7">
        <f t="shared" ca="1" si="48"/>
        <v>-46.014598486037805</v>
      </c>
      <c r="W119" s="7">
        <f t="shared" ca="1" si="48"/>
        <v>-54.962590353353114</v>
      </c>
      <c r="X119" s="7">
        <f t="shared" ca="1" si="48"/>
        <v>-55.919299673372315</v>
      </c>
      <c r="Y119" s="7">
        <f t="shared" ca="1" si="48"/>
        <v>-49.912229794004027</v>
      </c>
      <c r="Z119" s="7">
        <f t="shared" ca="1" si="48"/>
        <v>-37.988434068942404</v>
      </c>
      <c r="AA119" s="7">
        <f t="shared" ca="1" si="48"/>
        <v>-21.092274156897588</v>
      </c>
      <c r="AB119" s="8">
        <f t="shared" ca="1" si="48"/>
        <v>-1.0992500385753801E-3</v>
      </c>
    </row>
    <row r="120" spans="4:28" x14ac:dyDescent="0.25">
      <c r="D120" s="17"/>
      <c r="E120" s="2">
        <f t="shared" si="35"/>
        <v>2.7000000000000011</v>
      </c>
      <c r="H120" s="8">
        <f t="shared" ref="H120:AB120" ca="1" si="49" xml:space="preserve"> -(D*(nu*H71+G70+nu*H69+I70+((-2*nu)-2)*H70))/delta^2</f>
        <v>914.16583815630122</v>
      </c>
      <c r="I120" s="7">
        <f t="shared" ca="1" si="49"/>
        <v>820.2880242831427</v>
      </c>
      <c r="J120" s="7">
        <f t="shared" ca="1" si="49"/>
        <v>725.01230474940144</v>
      </c>
      <c r="K120" s="7">
        <f t="shared" ca="1" si="49"/>
        <v>630.0508136041949</v>
      </c>
      <c r="L120" s="7">
        <f t="shared" ca="1" si="49"/>
        <v>536.74379905891794</v>
      </c>
      <c r="M120" s="7">
        <f t="shared" ca="1" si="49"/>
        <v>446.20726821405123</v>
      </c>
      <c r="N120" s="7">
        <f t="shared" ca="1" si="49"/>
        <v>359.46167512082013</v>
      </c>
      <c r="O120" s="7">
        <f t="shared" ca="1" si="49"/>
        <v>277.53900542710528</v>
      </c>
      <c r="P120" s="7">
        <f t="shared" ca="1" si="49"/>
        <v>201.55911409045459</v>
      </c>
      <c r="Q120" s="7">
        <f t="shared" ca="1" si="49"/>
        <v>132.75696852231678</v>
      </c>
      <c r="R120" s="7">
        <f t="shared" ca="1" si="49"/>
        <v>72.435646409710841</v>
      </c>
      <c r="S120" s="7">
        <f t="shared" ca="1" si="49"/>
        <v>21.827679072426385</v>
      </c>
      <c r="T120" s="7">
        <f t="shared" ca="1" si="49"/>
        <v>-18.115498530803016</v>
      </c>
      <c r="U120" s="7">
        <f t="shared" ca="1" si="49"/>
        <v>-46.929701931641397</v>
      </c>
      <c r="V120" s="7">
        <f t="shared" ca="1" si="49"/>
        <v>-64.754780109450195</v>
      </c>
      <c r="W120" s="7">
        <f t="shared" ca="1" si="49"/>
        <v>-72.320642169918216</v>
      </c>
      <c r="X120" s="7">
        <f t="shared" ca="1" si="49"/>
        <v>-70.801721470517961</v>
      </c>
      <c r="Y120" s="7">
        <f t="shared" ca="1" si="49"/>
        <v>-61.579835402321756</v>
      </c>
      <c r="Z120" s="7">
        <f t="shared" ca="1" si="49"/>
        <v>-45.999657612927692</v>
      </c>
      <c r="AA120" s="7">
        <f t="shared" ca="1" si="49"/>
        <v>-25.193832372922003</v>
      </c>
      <c r="AB120" s="8">
        <f t="shared" ca="1" si="49"/>
        <v>-1.1482140421251975E-3</v>
      </c>
    </row>
    <row r="121" spans="4:28" x14ac:dyDescent="0.25">
      <c r="D121" s="17"/>
      <c r="E121" s="2">
        <f t="shared" si="35"/>
        <v>2.600000000000001</v>
      </c>
      <c r="H121" s="8">
        <f t="shared" ref="H121:AB121" ca="1" si="50" xml:space="preserve"> -(D*(nu*H72+G71+nu*H70+I71+((-2*nu)-2)*H71))/delta^2</f>
        <v>1001.0150497101403</v>
      </c>
      <c r="I121" s="7">
        <f t="shared" ca="1" si="50"/>
        <v>893.318168307159</v>
      </c>
      <c r="J121" s="7">
        <f t="shared" ca="1" si="50"/>
        <v>785.44557060251134</v>
      </c>
      <c r="K121" s="7">
        <f t="shared" ca="1" si="50"/>
        <v>678.9491940060044</v>
      </c>
      <c r="L121" s="7">
        <f t="shared" ca="1" si="50"/>
        <v>574.98008502366133</v>
      </c>
      <c r="M121" s="7">
        <f t="shared" ca="1" si="50"/>
        <v>474.47043159880849</v>
      </c>
      <c r="N121" s="7">
        <f t="shared" ca="1" si="50"/>
        <v>378.29311428598089</v>
      </c>
      <c r="O121" s="7">
        <f t="shared" ca="1" si="50"/>
        <v>287.40265128156574</v>
      </c>
      <c r="P121" s="7">
        <f t="shared" ca="1" si="50"/>
        <v>202.95038192417292</v>
      </c>
      <c r="Q121" s="7">
        <f t="shared" ca="1" si="50"/>
        <v>126.34792792054256</v>
      </c>
      <c r="R121" s="7">
        <f t="shared" ca="1" si="50"/>
        <v>59.229762322098942</v>
      </c>
      <c r="S121" s="7">
        <f t="shared" ca="1" si="50"/>
        <v>3.2594689490186459</v>
      </c>
      <c r="T121" s="7">
        <f t="shared" ca="1" si="50"/>
        <v>-40.216247411441536</v>
      </c>
      <c r="U121" s="7">
        <f t="shared" ca="1" si="50"/>
        <v>-70.519339532282203</v>
      </c>
      <c r="V121" s="7">
        <f t="shared" ca="1" si="50"/>
        <v>-87.834816215229594</v>
      </c>
      <c r="W121" s="7">
        <f t="shared" ca="1" si="50"/>
        <v>-93.196444090034845</v>
      </c>
      <c r="X121" s="7">
        <f t="shared" ca="1" si="50"/>
        <v>-88.262398786207669</v>
      </c>
      <c r="Y121" s="7">
        <f t="shared" ca="1" si="50"/>
        <v>-74.929558799392524</v>
      </c>
      <c r="Z121" s="7">
        <f t="shared" ca="1" si="50"/>
        <v>-54.94739253389308</v>
      </c>
      <c r="AA121" s="7">
        <f t="shared" ca="1" si="50"/>
        <v>-29.676935894904744</v>
      </c>
      <c r="AB121" s="8">
        <f t="shared" ca="1" si="50"/>
        <v>-1.1900483999513864E-3</v>
      </c>
    </row>
    <row r="122" spans="4:28" x14ac:dyDescent="0.25">
      <c r="D122" s="17"/>
      <c r="E122" s="2">
        <f t="shared" si="35"/>
        <v>2.5000000000000009</v>
      </c>
      <c r="H122" s="8">
        <f t="shared" ref="H122:AB122" ca="1" si="51" xml:space="preserve"> -(D*(nu*H73+G72+nu*H71+I72+((-2*nu)-2)*H72))/delta^2</f>
        <v>1089.2418783541914</v>
      </c>
      <c r="I122" s="7">
        <f t="shared" ca="1" si="51"/>
        <v>966.50410268082692</v>
      </c>
      <c r="J122" s="7">
        <f t="shared" ca="1" si="51"/>
        <v>845.24959360685091</v>
      </c>
      <c r="K122" s="7">
        <f t="shared" ca="1" si="51"/>
        <v>726.72258867038715</v>
      </c>
      <c r="L122" s="7">
        <f t="shared" ca="1" si="51"/>
        <v>611.76050604069553</v>
      </c>
      <c r="M122" s="7">
        <f t="shared" ca="1" si="51"/>
        <v>501.00212441506363</v>
      </c>
      <c r="N122" s="7">
        <f t="shared" ca="1" si="51"/>
        <v>395.07285795793922</v>
      </c>
      <c r="O122" s="7">
        <f t="shared" ca="1" si="51"/>
        <v>294.76206466703837</v>
      </c>
      <c r="P122" s="7">
        <f t="shared" ca="1" si="51"/>
        <v>201.19372628165203</v>
      </c>
      <c r="Q122" s="7">
        <f t="shared" ca="1" si="51"/>
        <v>115.96201985266559</v>
      </c>
      <c r="R122" s="7">
        <f t="shared" ca="1" si="51"/>
        <v>41.148268912095041</v>
      </c>
      <c r="S122" s="7">
        <f t="shared" ca="1" si="51"/>
        <v>-20.923584308522003</v>
      </c>
      <c r="T122" s="7">
        <f t="shared" ca="1" si="51"/>
        <v>-68.272538619217329</v>
      </c>
      <c r="U122" s="7">
        <f t="shared" ca="1" si="51"/>
        <v>-99.874362803399904</v>
      </c>
      <c r="V122" s="7">
        <f t="shared" ca="1" si="51"/>
        <v>-115.96510540811403</v>
      </c>
      <c r="W122" s="7">
        <f t="shared" ca="1" si="51"/>
        <v>-118.02739542410595</v>
      </c>
      <c r="X122" s="7">
        <f t="shared" ca="1" si="51"/>
        <v>-108.45759777581077</v>
      </c>
      <c r="Y122" s="7">
        <f t="shared" ca="1" si="51"/>
        <v>-89.916714298769946</v>
      </c>
      <c r="Z122" s="7">
        <f t="shared" ca="1" si="51"/>
        <v>-64.699365347492957</v>
      </c>
      <c r="AA122" s="7">
        <f t="shared" ca="1" si="51"/>
        <v>-34.429507964209606</v>
      </c>
      <c r="AB122" s="8">
        <f t="shared" ca="1" si="51"/>
        <v>-1.2245025466768723E-3</v>
      </c>
    </row>
    <row r="123" spans="4:28" x14ac:dyDescent="0.25">
      <c r="D123" s="17"/>
      <c r="E123" s="2">
        <f t="shared" si="35"/>
        <v>2.4000000000000008</v>
      </c>
      <c r="H123" s="8">
        <f t="shared" ref="H123:AB123" ca="1" si="52" xml:space="preserve"> -(D*(nu*H74+G73+nu*H72+I73+((-2*nu)-2)*H73))/delta^2</f>
        <v>1177.7160200022693</v>
      </c>
      <c r="I123" s="7">
        <f t="shared" ca="1" si="52"/>
        <v>1038.8768150609867</v>
      </c>
      <c r="J123" s="7">
        <f t="shared" ca="1" si="52"/>
        <v>903.65042523292777</v>
      </c>
      <c r="K123" s="7">
        <f t="shared" ca="1" si="52"/>
        <v>772.80204699795286</v>
      </c>
      <c r="L123" s="7">
        <f t="shared" ca="1" si="52"/>
        <v>646.71805282578987</v>
      </c>
      <c r="M123" s="7">
        <f t="shared" ca="1" si="52"/>
        <v>525.62269020492397</v>
      </c>
      <c r="N123" s="7">
        <f t="shared" ca="1" si="52"/>
        <v>409.77521282463806</v>
      </c>
      <c r="O123" s="7">
        <f t="shared" ca="1" si="52"/>
        <v>299.67787957528776</v>
      </c>
      <c r="P123" s="7">
        <f t="shared" ca="1" si="52"/>
        <v>196.31664689366528</v>
      </c>
      <c r="Q123" s="7">
        <f t="shared" ca="1" si="52"/>
        <v>101.42468893662225</v>
      </c>
      <c r="R123" s="7">
        <f t="shared" ca="1" si="52"/>
        <v>17.660644320794059</v>
      </c>
      <c r="S123" s="7">
        <f t="shared" ca="1" si="52"/>
        <v>-51.614149598788487</v>
      </c>
      <c r="T123" s="7">
        <f t="shared" ca="1" si="52"/>
        <v>-103.38084160890287</v>
      </c>
      <c r="U123" s="7">
        <f t="shared" ca="1" si="52"/>
        <v>-136.07599363771064</v>
      </c>
      <c r="V123" s="7">
        <f t="shared" ca="1" si="52"/>
        <v>-149.99161361854559</v>
      </c>
      <c r="W123" s="7">
        <f t="shared" ca="1" si="52"/>
        <v>-147.26328025165316</v>
      </c>
      <c r="X123" s="7">
        <f t="shared" ca="1" si="52"/>
        <v>-131.4439585428108</v>
      </c>
      <c r="Y123" s="7">
        <f t="shared" ca="1" si="52"/>
        <v>-106.35729379596171</v>
      </c>
      <c r="Z123" s="7">
        <f t="shared" ca="1" si="52"/>
        <v>-75.004513444883088</v>
      </c>
      <c r="AA123" s="7">
        <f t="shared" ca="1" si="52"/>
        <v>-39.271081414909865</v>
      </c>
      <c r="AB123" s="8">
        <f t="shared" ca="1" si="52"/>
        <v>-1.2513721258296732E-3</v>
      </c>
    </row>
    <row r="124" spans="4:28" x14ac:dyDescent="0.25">
      <c r="D124" s="17"/>
      <c r="E124" s="2">
        <f t="shared" si="35"/>
        <v>2.3000000000000007</v>
      </c>
      <c r="H124" s="8">
        <f t="shared" ref="H124:AB124" ca="1" si="53" xml:space="preserve"> -(D*(nu*H75+G74+nu*H73+I74+((-2*nu)-2)*H74))/delta^2</f>
        <v>1264.8977758837784</v>
      </c>
      <c r="I124" s="7">
        <f t="shared" ca="1" si="53"/>
        <v>1109.1859869132572</v>
      </c>
      <c r="J124" s="7">
        <f t="shared" ca="1" si="53"/>
        <v>959.68280350097427</v>
      </c>
      <c r="K124" s="7">
        <f t="shared" ca="1" si="53"/>
        <v>816.49391254706882</v>
      </c>
      <c r="L124" s="7">
        <f t="shared" ca="1" si="53"/>
        <v>679.41793543734605</v>
      </c>
      <c r="M124" s="7">
        <f t="shared" ca="1" si="53"/>
        <v>548.14473109181893</v>
      </c>
      <c r="N124" s="7">
        <f t="shared" ca="1" si="53"/>
        <v>422.43990462123486</v>
      </c>
      <c r="O124" s="7">
        <f t="shared" ca="1" si="53"/>
        <v>302.36187850960482</v>
      </c>
      <c r="P124" s="7">
        <f t="shared" ca="1" si="53"/>
        <v>188.56792601661544</v>
      </c>
      <c r="Q124" s="7">
        <f t="shared" ca="1" si="53"/>
        <v>82.766232730833551</v>
      </c>
      <c r="R124" s="7">
        <f t="shared" ca="1" si="53"/>
        <v>-11.727318966454813</v>
      </c>
      <c r="S124" s="7">
        <f t="shared" ca="1" si="53"/>
        <v>-89.86188130622412</v>
      </c>
      <c r="T124" s="7">
        <f t="shared" ca="1" si="53"/>
        <v>-146.87716519043437</v>
      </c>
      <c r="U124" s="7">
        <f t="shared" ca="1" si="53"/>
        <v>-180.44886742078268</v>
      </c>
      <c r="V124" s="7">
        <f t="shared" ca="1" si="53"/>
        <v>-190.92840006677432</v>
      </c>
      <c r="W124" s="7">
        <f t="shared" ca="1" si="53"/>
        <v>-181.33425893398285</v>
      </c>
      <c r="X124" s="7">
        <f t="shared" ca="1" si="53"/>
        <v>-157.09247632570609</v>
      </c>
      <c r="Y124" s="7">
        <f t="shared" ca="1" si="53"/>
        <v>-123.86301136210196</v>
      </c>
      <c r="Z124" s="7">
        <f t="shared" ca="1" si="53"/>
        <v>-85.469525996028338</v>
      </c>
      <c r="AA124" s="7">
        <f t="shared" ca="1" si="53"/>
        <v>-43.952527796717554</v>
      </c>
      <c r="AB124" s="8">
        <f t="shared" ca="1" si="53"/>
        <v>-1.2704998499071221E-3</v>
      </c>
    </row>
    <row r="125" spans="4:28" x14ac:dyDescent="0.25">
      <c r="D125" s="17"/>
      <c r="E125" s="2">
        <f t="shared" si="35"/>
        <v>2.2000000000000006</v>
      </c>
      <c r="H125" s="8">
        <f t="shared" ref="H125:AB125" ca="1" si="54" xml:space="preserve"> -(D*(nu*H76+G75+nu*H74+I75+((-2*nu)-2)*H75))/delta^2</f>
        <v>1348.8217556726877</v>
      </c>
      <c r="I125" s="7">
        <f t="shared" ca="1" si="54"/>
        <v>1175.8997518169167</v>
      </c>
      <c r="J125" s="7">
        <f t="shared" ca="1" si="54"/>
        <v>1012.1890683026647</v>
      </c>
      <c r="K125" s="7">
        <f t="shared" ca="1" si="54"/>
        <v>856.96879398947272</v>
      </c>
      <c r="L125" s="7">
        <f t="shared" ca="1" si="54"/>
        <v>709.33216759612196</v>
      </c>
      <c r="M125" s="7">
        <f t="shared" ca="1" si="54"/>
        <v>568.33458840106562</v>
      </c>
      <c r="N125" s="7">
        <f t="shared" ca="1" si="54"/>
        <v>433.13314207645055</v>
      </c>
      <c r="O125" s="7">
        <f t="shared" ca="1" si="54"/>
        <v>303.17008723629669</v>
      </c>
      <c r="P125" s="7">
        <f t="shared" ca="1" si="54"/>
        <v>178.49028163265217</v>
      </c>
      <c r="Q125" s="7">
        <f t="shared" ca="1" si="54"/>
        <v>60.373763958168539</v>
      </c>
      <c r="R125" s="7">
        <f t="shared" ca="1" si="54"/>
        <v>-47.412084594972193</v>
      </c>
      <c r="S125" s="7">
        <f t="shared" ca="1" si="54"/>
        <v>-136.91296077498072</v>
      </c>
      <c r="T125" s="7">
        <f t="shared" ca="1" si="54"/>
        <v>-200.33734722882707</v>
      </c>
      <c r="U125" s="7">
        <f t="shared" ca="1" si="54"/>
        <v>-234.56244881606247</v>
      </c>
      <c r="V125" s="7">
        <f t="shared" ca="1" si="54"/>
        <v>-240.00061317724172</v>
      </c>
      <c r="W125" s="7">
        <f t="shared" ca="1" si="54"/>
        <v>-220.59535830619276</v>
      </c>
      <c r="X125" s="7">
        <f t="shared" ca="1" si="54"/>
        <v>-184.94477105141451</v>
      </c>
      <c r="Y125" s="7">
        <f t="shared" ca="1" si="54"/>
        <v>-141.77789186255163</v>
      </c>
      <c r="Z125" s="7">
        <f t="shared" ca="1" si="54"/>
        <v>-95.571765642060342</v>
      </c>
      <c r="AA125" s="7">
        <f t="shared" ca="1" si="54"/>
        <v>-48.187700722103592</v>
      </c>
      <c r="AB125" s="8">
        <f t="shared" ca="1" si="54"/>
        <v>-1.2817766992532691E-3</v>
      </c>
    </row>
    <row r="126" spans="4:28" x14ac:dyDescent="0.25">
      <c r="D126" s="17"/>
      <c r="E126" s="2">
        <f t="shared" si="35"/>
        <v>2.1000000000000005</v>
      </c>
      <c r="H126" s="8">
        <f t="shared" ref="H126:AB126" ca="1" si="55" xml:space="preserve"> -(D*(nu*H77+G76+nu*H75+I76+((-2*nu)-2)*H76))/delta^2</f>
        <v>1427.1311371996949</v>
      </c>
      <c r="I126" s="7">
        <f t="shared" ca="1" si="55"/>
        <v>1237.2374740891885</v>
      </c>
      <c r="J126" s="7">
        <f t="shared" ca="1" si="55"/>
        <v>1059.839284606134</v>
      </c>
      <c r="K126" s="7">
        <f t="shared" ca="1" si="55"/>
        <v>893.26193571699241</v>
      </c>
      <c r="L126" s="7">
        <f t="shared" ca="1" si="55"/>
        <v>735.81298633606025</v>
      </c>
      <c r="M126" s="7">
        <f t="shared" ca="1" si="55"/>
        <v>585.85145479976495</v>
      </c>
      <c r="N126" s="7">
        <f t="shared" ca="1" si="55"/>
        <v>441.85256754563767</v>
      </c>
      <c r="O126" s="7">
        <f t="shared" ca="1" si="55"/>
        <v>302.50533223387225</v>
      </c>
      <c r="P126" s="7">
        <f t="shared" ca="1" si="55"/>
        <v>166.92273183006205</v>
      </c>
      <c r="Q126" s="7">
        <f t="shared" ca="1" si="55"/>
        <v>35.214887248582251</v>
      </c>
      <c r="R126" s="7">
        <f t="shared" ca="1" si="55"/>
        <v>-89.612016494306957</v>
      </c>
      <c r="S126" s="7">
        <f t="shared" ca="1" si="55"/>
        <v>-194.26964569972091</v>
      </c>
      <c r="T126" s="7">
        <f t="shared" ca="1" si="55"/>
        <v>-265.42884499610972</v>
      </c>
      <c r="U126" s="7">
        <f t="shared" ca="1" si="55"/>
        <v>-300.08340533217108</v>
      </c>
      <c r="V126" s="7">
        <f t="shared" ca="1" si="55"/>
        <v>-298.70595176080934</v>
      </c>
      <c r="W126" s="7">
        <f t="shared" ca="1" si="55"/>
        <v>-265.24979658553207</v>
      </c>
      <c r="X126" s="7">
        <f t="shared" ca="1" si="55"/>
        <v>-213.99534374814326</v>
      </c>
      <c r="Y126" s="7">
        <f t="shared" ca="1" si="55"/>
        <v>-159.18379687597104</v>
      </c>
      <c r="Z126" s="7">
        <f t="shared" ca="1" si="55"/>
        <v>-104.7630061922646</v>
      </c>
      <c r="AA126" s="7">
        <f t="shared" ca="1" si="55"/>
        <v>-51.739842175781739</v>
      </c>
      <c r="AB126" s="8">
        <f t="shared" ca="1" si="55"/>
        <v>-1.2851421566218522E-3</v>
      </c>
    </row>
    <row r="127" spans="4:28" x14ac:dyDescent="0.25">
      <c r="D127" s="17"/>
      <c r="E127" s="2">
        <f t="shared" si="35"/>
        <v>2.0000000000000004</v>
      </c>
      <c r="H127" s="8">
        <f t="shared" ref="H127:AB127" ca="1" si="56" xml:space="preserve"> -(D*(nu*H78+G77+nu*H76+I77+((-2*nu)-2)*H77))/delta^2</f>
        <v>1497.177151594105</v>
      </c>
      <c r="I127" s="7">
        <f t="shared" ca="1" si="56"/>
        <v>1291.2434402091314</v>
      </c>
      <c r="J127" s="7">
        <f t="shared" ca="1" si="56"/>
        <v>1101.1810741230636</v>
      </c>
      <c r="K127" s="7">
        <f t="shared" ca="1" si="56"/>
        <v>924.29867229594004</v>
      </c>
      <c r="L127" s="7">
        <f t="shared" ca="1" si="56"/>
        <v>758.0869891126423</v>
      </c>
      <c r="M127" s="7">
        <f t="shared" ca="1" si="56"/>
        <v>600.19203333219821</v>
      </c>
      <c r="N127" s="7">
        <f t="shared" ca="1" si="56"/>
        <v>448.39004195701858</v>
      </c>
      <c r="O127" s="7">
        <f t="shared" ca="1" si="56"/>
        <v>300.57095879320957</v>
      </c>
      <c r="P127" s="7">
        <f t="shared" ca="1" si="56"/>
        <v>154.73616046910948</v>
      </c>
      <c r="Q127" s="7">
        <f t="shared" ca="1" si="56"/>
        <v>9.0148535014702311</v>
      </c>
      <c r="R127" s="9">
        <f t="shared" ca="1" si="56"/>
        <v>-138.29930076631166</v>
      </c>
      <c r="S127" s="9">
        <f t="shared" ca="1" si="56"/>
        <v>-263.69492202485668</v>
      </c>
      <c r="T127" s="9">
        <f t="shared" ca="1" si="56"/>
        <v>-343.38328643317692</v>
      </c>
      <c r="U127" s="9">
        <f t="shared" ca="1" si="56"/>
        <v>-378.24787887420047</v>
      </c>
      <c r="V127" s="9">
        <f t="shared" ca="1" si="56"/>
        <v>-368.81865689104308</v>
      </c>
      <c r="W127" s="9">
        <f t="shared" ca="1" si="56"/>
        <v>-315.28043030436044</v>
      </c>
      <c r="X127" s="7">
        <f t="shared" ca="1" si="56"/>
        <v>-242.51511998533934</v>
      </c>
      <c r="Y127" s="7">
        <f t="shared" ca="1" si="56"/>
        <v>-175.16790400071577</v>
      </c>
      <c r="Z127" s="7">
        <f t="shared" ca="1" si="56"/>
        <v>-112.72079089780212</v>
      </c>
      <c r="AA127" s="7">
        <f t="shared" ca="1" si="56"/>
        <v>-54.556634661994941</v>
      </c>
      <c r="AB127" s="8">
        <f t="shared" ca="1" si="56"/>
        <v>-1.2805846502396839E-3</v>
      </c>
    </row>
    <row r="128" spans="4:28" x14ac:dyDescent="0.25">
      <c r="D128" s="17"/>
      <c r="E128" s="2">
        <f t="shared" si="35"/>
        <v>1.9000000000000006</v>
      </c>
      <c r="H128" s="8">
        <f t="shared" ref="H128:AB128" ca="1" si="57" xml:space="preserve"> -(D*(nu*H79+G78+nu*H77+I78+((-2*nu)-2)*H78))/delta^2</f>
        <v>1556.1846525106739</v>
      </c>
      <c r="I128" s="7">
        <f t="shared" ca="1" si="57"/>
        <v>1335.9012693906031</v>
      </c>
      <c r="J128" s="7">
        <f t="shared" ca="1" si="57"/>
        <v>1134.7228204867781</v>
      </c>
      <c r="K128" s="7">
        <f t="shared" ca="1" si="57"/>
        <v>948.95803168682221</v>
      </c>
      <c r="L128" s="7">
        <f t="shared" ca="1" si="57"/>
        <v>775.30292851217689</v>
      </c>
      <c r="M128" s="7">
        <f t="shared" ca="1" si="57"/>
        <v>610.71182605137676</v>
      </c>
      <c r="N128" s="7">
        <f t="shared" ca="1" si="57"/>
        <v>452.27761690005002</v>
      </c>
      <c r="O128" s="7">
        <f t="shared" ca="1" si="57"/>
        <v>297.09676654220925</v>
      </c>
      <c r="P128" s="7">
        <f t="shared" ca="1" si="57"/>
        <v>142.05093934185456</v>
      </c>
      <c r="Q128" s="7">
        <f t="shared" ca="1" si="57"/>
        <v>-16.73505817419829</v>
      </c>
      <c r="R128" s="9">
        <f t="shared" ca="1" si="57"/>
        <v>-185.7168272858589</v>
      </c>
      <c r="S128" s="9">
        <f t="shared" ca="1" si="57"/>
        <v>-331.20259540988508</v>
      </c>
      <c r="T128" s="9">
        <f t="shared" ca="1" si="57"/>
        <v>-418.98103491278107</v>
      </c>
      <c r="U128" s="9">
        <f t="shared" ca="1" si="57"/>
        <v>-453.84479856889214</v>
      </c>
      <c r="V128" s="9">
        <f t="shared" ca="1" si="57"/>
        <v>-436.37595675360217</v>
      </c>
      <c r="W128" s="9">
        <f t="shared" ca="1" si="57"/>
        <v>-362.96100132563521</v>
      </c>
      <c r="X128" s="7">
        <f t="shared" ca="1" si="57"/>
        <v>-269.03644201360885</v>
      </c>
      <c r="Y128" s="7">
        <f t="shared" ca="1" si="57"/>
        <v>-189.59972301781056</v>
      </c>
      <c r="Z128" s="7">
        <f t="shared" ca="1" si="57"/>
        <v>-119.62305192090268</v>
      </c>
      <c r="AA128" s="7">
        <f t="shared" ca="1" si="57"/>
        <v>-56.837761943763766</v>
      </c>
      <c r="AB128" s="8">
        <f t="shared" ca="1" si="57"/>
        <v>-1.2681414495564439E-3</v>
      </c>
    </row>
    <row r="129" spans="4:28" x14ac:dyDescent="0.25">
      <c r="D129" s="17"/>
      <c r="E129" s="2">
        <f t="shared" si="35"/>
        <v>1.8000000000000005</v>
      </c>
      <c r="H129" s="8">
        <f t="shared" ref="H129:AB129" ca="1" si="58" xml:space="preserve"> -(D*(nu*H80+G79+nu*H78+I79+((-2*nu)-2)*H79))/delta^2</f>
        <v>1601.4642678844702</v>
      </c>
      <c r="I129" s="7">
        <f t="shared" ca="1" si="58"/>
        <v>1369.276786605139</v>
      </c>
      <c r="J129" s="7">
        <f t="shared" ca="1" si="58"/>
        <v>1159.0419663820639</v>
      </c>
      <c r="K129" s="7">
        <f t="shared" ca="1" si="58"/>
        <v>966.17078006979091</v>
      </c>
      <c r="L129" s="7">
        <f t="shared" ca="1" si="58"/>
        <v>786.64364275608102</v>
      </c>
      <c r="M129" s="7">
        <f t="shared" ca="1" si="58"/>
        <v>616.78560858221658</v>
      </c>
      <c r="N129" s="7">
        <f t="shared" ca="1" si="58"/>
        <v>453.05768034556246</v>
      </c>
      <c r="O129" s="7">
        <f t="shared" ca="1" si="58"/>
        <v>291.82266945537282</v>
      </c>
      <c r="P129" s="7">
        <f t="shared" ca="1" si="58"/>
        <v>129.00786730631702</v>
      </c>
      <c r="Q129" s="7">
        <f t="shared" ca="1" si="58"/>
        <v>-40.502958011604349</v>
      </c>
      <c r="R129" s="9">
        <f t="shared" ca="1" si="58"/>
        <v>-224.04121785824594</v>
      </c>
      <c r="S129" s="9">
        <f t="shared" ca="1" si="58"/>
        <v>-382.71674489451516</v>
      </c>
      <c r="T129" s="9">
        <f t="shared" ca="1" si="58"/>
        <v>-476.89953455040876</v>
      </c>
      <c r="U129" s="9">
        <f t="shared" ca="1" si="58"/>
        <v>-511.56224909441158</v>
      </c>
      <c r="V129" s="9">
        <f t="shared" ca="1" si="58"/>
        <v>-487.33161797601213</v>
      </c>
      <c r="W129" s="9">
        <f t="shared" ca="1" si="58"/>
        <v>-400.50950590184152</v>
      </c>
      <c r="X129" s="7">
        <f t="shared" ca="1" si="58"/>
        <v>-292.06575058870737</v>
      </c>
      <c r="Y129" s="7">
        <f t="shared" ca="1" si="58"/>
        <v>-202.34676100044223</v>
      </c>
      <c r="Z129" s="7">
        <f t="shared" ca="1" si="58"/>
        <v>-125.65857041634149</v>
      </c>
      <c r="AA129" s="7">
        <f t="shared" ca="1" si="58"/>
        <v>-58.79401459995681</v>
      </c>
      <c r="AB129" s="8">
        <f t="shared" ca="1" si="58"/>
        <v>-1.2478982482438416E-3</v>
      </c>
    </row>
    <row r="130" spans="4:28" x14ac:dyDescent="0.25">
      <c r="D130" s="17"/>
      <c r="E130" s="2">
        <f t="shared" si="35"/>
        <v>1.7000000000000004</v>
      </c>
      <c r="H130" s="8">
        <f t="shared" ref="H130:AB130" ca="1" si="59" xml:space="preserve"> -(D*(nu*H81+G80+nu*H79+I80+((-2*nu)-2)*H80))/delta^2</f>
        <v>1630.6348770557047</v>
      </c>
      <c r="I130" s="7">
        <f t="shared" ca="1" si="59"/>
        <v>1389.6667281773218</v>
      </c>
      <c r="J130" s="7">
        <f t="shared" ca="1" si="59"/>
        <v>1172.8964361057992</v>
      </c>
      <c r="K130" s="7">
        <f t="shared" ca="1" si="59"/>
        <v>975.01888815817335</v>
      </c>
      <c r="L130" s="7">
        <f t="shared" ca="1" si="59"/>
        <v>791.43797455284948</v>
      </c>
      <c r="M130" s="7">
        <f t="shared" ca="1" si="59"/>
        <v>617.966213215842</v>
      </c>
      <c r="N130" s="7">
        <f t="shared" ca="1" si="59"/>
        <v>450.54936254049284</v>
      </c>
      <c r="O130" s="7">
        <f t="shared" ca="1" si="59"/>
        <v>284.97666527505726</v>
      </c>
      <c r="P130" s="7">
        <f t="shared" ca="1" si="59"/>
        <v>116.5326204935856</v>
      </c>
      <c r="Q130" s="7">
        <f t="shared" ca="1" si="59"/>
        <v>-60.446795744952418</v>
      </c>
      <c r="R130" s="9">
        <f t="shared" ca="1" si="59"/>
        <v>-253.04714650181359</v>
      </c>
      <c r="S130" s="9">
        <f t="shared" ca="1" si="59"/>
        <v>-419.7281355055286</v>
      </c>
      <c r="T130" s="9">
        <f t="shared" ca="1" si="59"/>
        <v>-518.05581416648818</v>
      </c>
      <c r="U130" s="9">
        <f t="shared" ca="1" si="59"/>
        <v>-552.32781850314359</v>
      </c>
      <c r="V130" s="9">
        <f t="shared" ca="1" si="59"/>
        <v>-523.20594320712109</v>
      </c>
      <c r="W130" s="9">
        <f t="shared" ca="1" si="59"/>
        <v>-427.74208736364346</v>
      </c>
      <c r="X130" s="7">
        <f t="shared" ca="1" si="59"/>
        <v>-309.80040816176643</v>
      </c>
      <c r="Y130" s="7">
        <f t="shared" ca="1" si="59"/>
        <v>-212.49582633705884</v>
      </c>
      <c r="Z130" s="7">
        <f t="shared" ca="1" si="59"/>
        <v>-130.5424151315772</v>
      </c>
      <c r="AA130" s="7">
        <f t="shared" ca="1" si="59"/>
        <v>-60.409362493266229</v>
      </c>
      <c r="AB130" s="8">
        <f t="shared" ca="1" si="59"/>
        <v>-1.2199887471947824E-3</v>
      </c>
    </row>
    <row r="131" spans="4:28" x14ac:dyDescent="0.25">
      <c r="D131" s="17"/>
      <c r="E131" s="2">
        <f t="shared" si="35"/>
        <v>1.6000000000000003</v>
      </c>
      <c r="H131" s="8">
        <f t="shared" ref="H131:AB131" ca="1" si="60" xml:space="preserve"> -(D*(nu*H82+G81+nu*H80+I81+((-2*nu)-2)*H81))/delta^2</f>
        <v>1641.8187799040027</v>
      </c>
      <c r="I131" s="7">
        <f t="shared" ca="1" si="60"/>
        <v>1395.7296496656184</v>
      </c>
      <c r="J131" s="7">
        <f t="shared" ca="1" si="60"/>
        <v>1175.3167723378754</v>
      </c>
      <c r="K131" s="7">
        <f t="shared" ca="1" si="60"/>
        <v>974.80352738618683</v>
      </c>
      <c r="L131" s="7">
        <f t="shared" ca="1" si="60"/>
        <v>789.20916213592079</v>
      </c>
      <c r="M131" s="7">
        <f t="shared" ca="1" si="60"/>
        <v>614.00167428974873</v>
      </c>
      <c r="N131" s="7">
        <f t="shared" ca="1" si="60"/>
        <v>444.78411412345622</v>
      </c>
      <c r="O131" s="7">
        <f t="shared" ca="1" si="60"/>
        <v>276.98387790467763</v>
      </c>
      <c r="P131" s="7">
        <f t="shared" ca="1" si="60"/>
        <v>105.53313154619634</v>
      </c>
      <c r="Q131" s="7">
        <f t="shared" ca="1" si="60"/>
        <v>-75.422369182689621</v>
      </c>
      <c r="R131" s="9">
        <f t="shared" ca="1" si="60"/>
        <v>-272.62888845789479</v>
      </c>
      <c r="S131" s="9">
        <f t="shared" ca="1" si="60"/>
        <v>-443.27518627586073</v>
      </c>
      <c r="T131" s="9">
        <f t="shared" ca="1" si="60"/>
        <v>-543.57324663625639</v>
      </c>
      <c r="U131" s="9">
        <f t="shared" ca="1" si="60"/>
        <v>-577.27357335850274</v>
      </c>
      <c r="V131" s="9">
        <f t="shared" ca="1" si="60"/>
        <v>-545.06156332584965</v>
      </c>
      <c r="W131" s="9">
        <f t="shared" ca="1" si="60"/>
        <v>-444.58664192486242</v>
      </c>
      <c r="X131" s="7">
        <f t="shared" ca="1" si="60"/>
        <v>-321.12738376464654</v>
      </c>
      <c r="Y131" s="7">
        <f t="shared" ca="1" si="60"/>
        <v>-219.14772255272075</v>
      </c>
      <c r="Z131" s="7">
        <f t="shared" ca="1" si="60"/>
        <v>-133.80542378752341</v>
      </c>
      <c r="AA131" s="7">
        <f t="shared" ca="1" si="60"/>
        <v>-61.51702229616491</v>
      </c>
      <c r="AB131" s="8">
        <f t="shared" ca="1" si="60"/>
        <v>-1.1845932992706509E-3</v>
      </c>
    </row>
    <row r="132" spans="4:28" x14ac:dyDescent="0.25">
      <c r="D132" s="17"/>
      <c r="E132" s="2">
        <f t="shared" si="35"/>
        <v>1.5000000000000002</v>
      </c>
      <c r="H132" s="8">
        <f t="shared" ref="H132:AB132" ca="1" si="61" xml:space="preserve"> -(D*(nu*H83+G82+nu*H81+I82+((-2*nu)-2)*H82))/delta^2</f>
        <v>1633.7855810536169</v>
      </c>
      <c r="I132" s="7">
        <f t="shared" ca="1" si="61"/>
        <v>1386.5836468350979</v>
      </c>
      <c r="J132" s="7">
        <f t="shared" ca="1" si="61"/>
        <v>1165.6692864161607</v>
      </c>
      <c r="K132" s="7">
        <f t="shared" ca="1" si="61"/>
        <v>965.07820025224351</v>
      </c>
      <c r="L132" s="7">
        <f t="shared" ca="1" si="61"/>
        <v>779.67208474290589</v>
      </c>
      <c r="M132" s="7">
        <f t="shared" ca="1" si="61"/>
        <v>604.77630870191274</v>
      </c>
      <c r="N132" s="7">
        <f t="shared" ca="1" si="61"/>
        <v>435.85441320036392</v>
      </c>
      <c r="O132" s="7">
        <f t="shared" ca="1" si="61"/>
        <v>268.19328414965742</v>
      </c>
      <c r="P132" s="7">
        <f t="shared" ca="1" si="61"/>
        <v>96.599026224540395</v>
      </c>
      <c r="Q132" s="7">
        <f t="shared" ca="1" si="61"/>
        <v>-84.838111802308489</v>
      </c>
      <c r="R132" s="9">
        <f t="shared" ca="1" si="61"/>
        <v>-282.74280302633633</v>
      </c>
      <c r="S132" s="9">
        <f t="shared" ca="1" si="61"/>
        <v>-453.93343244260348</v>
      </c>
      <c r="T132" s="9">
        <f t="shared" ca="1" si="61"/>
        <v>-554.22397744497698</v>
      </c>
      <c r="U132" s="9">
        <f t="shared" ca="1" si="61"/>
        <v>-587.17734782155446</v>
      </c>
      <c r="V132" s="9">
        <f t="shared" ca="1" si="61"/>
        <v>-553.48974960740202</v>
      </c>
      <c r="W132" s="9">
        <f t="shared" ca="1" si="61"/>
        <v>-451.02101061098773</v>
      </c>
      <c r="X132" s="7">
        <f t="shared" ca="1" si="61"/>
        <v>-325.47420065478661</v>
      </c>
      <c r="Y132" s="7">
        <f t="shared" ca="1" si="61"/>
        <v>-221.7165359559821</v>
      </c>
      <c r="Z132" s="7">
        <f t="shared" ca="1" si="61"/>
        <v>-135.06946800037394</v>
      </c>
      <c r="AA132" s="7">
        <f t="shared" ca="1" si="61"/>
        <v>-61.946837084005153</v>
      </c>
      <c r="AB132" s="8">
        <f t="shared" ca="1" si="61"/>
        <v>-1.1419380231745353E-3</v>
      </c>
    </row>
    <row r="133" spans="4:28" x14ac:dyDescent="0.25">
      <c r="D133" s="17"/>
      <c r="E133" s="2">
        <f t="shared" si="35"/>
        <v>1.4000000000000001</v>
      </c>
      <c r="H133" s="8">
        <f t="shared" ref="H133:AB133" ca="1" si="62" xml:space="preserve"> -(D*(nu*H84+G83+nu*H82+I83+((-2*nu)-2)*H83))/delta^2</f>
        <v>1606.0372093899468</v>
      </c>
      <c r="I133" s="7">
        <f t="shared" ca="1" si="62"/>
        <v>1361.8651291013443</v>
      </c>
      <c r="J133" s="7">
        <f t="shared" ca="1" si="62"/>
        <v>1143.69123439956</v>
      </c>
      <c r="K133" s="7">
        <f t="shared" ca="1" si="62"/>
        <v>945.66023986715209</v>
      </c>
      <c r="L133" s="7">
        <f t="shared" ca="1" si="62"/>
        <v>762.71532313246553</v>
      </c>
      <c r="M133" s="7">
        <f t="shared" ca="1" si="62"/>
        <v>590.25240265295656</v>
      </c>
      <c r="N133" s="7">
        <f t="shared" ca="1" si="62"/>
        <v>423.80757344614051</v>
      </c>
      <c r="O133" s="7">
        <f t="shared" ca="1" si="62"/>
        <v>258.74729759142241</v>
      </c>
      <c r="P133" s="7">
        <f t="shared" ca="1" si="62"/>
        <v>89.949518650859503</v>
      </c>
      <c r="Q133" s="7">
        <f t="shared" ca="1" si="62"/>
        <v>-88.487005696343459</v>
      </c>
      <c r="R133" s="9">
        <f t="shared" ca="1" si="62"/>
        <v>-283.34795766535314</v>
      </c>
      <c r="S133" s="9">
        <f t="shared" ca="1" si="62"/>
        <v>-451.85372173082146</v>
      </c>
      <c r="T133" s="9">
        <f t="shared" ca="1" si="62"/>
        <v>-550.24003311488798</v>
      </c>
      <c r="U133" s="9">
        <f t="shared" ca="1" si="62"/>
        <v>-582.27332198968031</v>
      </c>
      <c r="V133" s="9">
        <f t="shared" ca="1" si="62"/>
        <v>-548.64725640746167</v>
      </c>
      <c r="W133" s="9">
        <f t="shared" ca="1" si="62"/>
        <v>-447.01215768687808</v>
      </c>
      <c r="X133" s="7">
        <f t="shared" ca="1" si="62"/>
        <v>-322.64049431754347</v>
      </c>
      <c r="Y133" s="7">
        <f t="shared" ca="1" si="62"/>
        <v>-219.9835355459623</v>
      </c>
      <c r="Z133" s="7">
        <f t="shared" ca="1" si="62"/>
        <v>-134.18031221395904</v>
      </c>
      <c r="AA133" s="7">
        <f t="shared" ca="1" si="62"/>
        <v>-61.623061179580581</v>
      </c>
      <c r="AB133" s="8">
        <f t="shared" ca="1" si="62"/>
        <v>-1.092293187572991E-3</v>
      </c>
    </row>
    <row r="134" spans="4:28" x14ac:dyDescent="0.25">
      <c r="D134" s="17"/>
      <c r="E134" s="2">
        <f t="shared" si="35"/>
        <v>1.3</v>
      </c>
      <c r="H134" s="8">
        <f t="shared" ref="H134:AB134" ca="1" si="63" xml:space="preserve"> -(D*(nu*H85+G84+nu*H83+I84+((-2*nu)-2)*H84))/delta^2</f>
        <v>1558.8355454903387</v>
      </c>
      <c r="I134" s="7">
        <f t="shared" ca="1" si="63"/>
        <v>1321.7483545776461</v>
      </c>
      <c r="J134" s="7">
        <f t="shared" ca="1" si="63"/>
        <v>1109.5022184032205</v>
      </c>
      <c r="K134" s="7">
        <f t="shared" ca="1" si="63"/>
        <v>916.63353843044513</v>
      </c>
      <c r="L134" s="7">
        <f t="shared" ca="1" si="63"/>
        <v>738.39311737836351</v>
      </c>
      <c r="M134" s="7">
        <f t="shared" ca="1" si="63"/>
        <v>570.44856305792086</v>
      </c>
      <c r="N134" s="7">
        <f t="shared" ca="1" si="63"/>
        <v>408.61114560918531</v>
      </c>
      <c r="O134" s="7">
        <f t="shared" ca="1" si="63"/>
        <v>248.54780962951941</v>
      </c>
      <c r="P134" s="7">
        <f t="shared" ca="1" si="63"/>
        <v>85.434304266104377</v>
      </c>
      <c r="Q134" s="7">
        <f t="shared" ca="1" si="63"/>
        <v>-86.487588796512227</v>
      </c>
      <c r="R134" s="9">
        <f t="shared" ca="1" si="63"/>
        <v>-274.38237062586632</v>
      </c>
      <c r="S134" s="9">
        <f t="shared" ca="1" si="63"/>
        <v>-436.77300488443012</v>
      </c>
      <c r="T134" s="9">
        <f t="shared" ca="1" si="63"/>
        <v>-531.27296807601783</v>
      </c>
      <c r="U134" s="9">
        <f t="shared" ca="1" si="63"/>
        <v>-562.21158643396757</v>
      </c>
      <c r="V134" s="9">
        <f t="shared" ca="1" si="63"/>
        <v>-530.26695593387501</v>
      </c>
      <c r="W134" s="9">
        <f t="shared" ca="1" si="63"/>
        <v>-432.49245943156387</v>
      </c>
      <c r="X134" s="7">
        <f t="shared" ca="1" si="63"/>
        <v>-312.73968307606015</v>
      </c>
      <c r="Y134" s="7">
        <f t="shared" ca="1" si="63"/>
        <v>-214.09782848516952</v>
      </c>
      <c r="Z134" s="7">
        <f t="shared" ca="1" si="63"/>
        <v>-131.24309722444866</v>
      </c>
      <c r="AA134" s="7">
        <f t="shared" ca="1" si="63"/>
        <v>-60.595682421956688</v>
      </c>
      <c r="AB134" s="8">
        <f t="shared" ca="1" si="63"/>
        <v>-1.0359712824671735E-3</v>
      </c>
    </row>
    <row r="135" spans="4:28" x14ac:dyDescent="0.25">
      <c r="D135" s="17"/>
      <c r="E135" s="2">
        <f t="shared" si="35"/>
        <v>1.2</v>
      </c>
      <c r="H135" s="8">
        <f t="shared" ref="H135:AB135" ca="1" si="64" xml:space="preserve"> -(D*(nu*H86+G85+nu*H84+I85+((-2*nu)-2)*H85))/delta^2</f>
        <v>1493.1743892125724</v>
      </c>
      <c r="I135" s="7">
        <f t="shared" ca="1" si="64"/>
        <v>1266.9262779076262</v>
      </c>
      <c r="J135" s="7">
        <f t="shared" ca="1" si="64"/>
        <v>1063.5938156696243</v>
      </c>
      <c r="K135" s="7">
        <f t="shared" ca="1" si="64"/>
        <v>878.34735332417677</v>
      </c>
      <c r="L135" s="7">
        <f t="shared" ca="1" si="64"/>
        <v>706.93531634344583</v>
      </c>
      <c r="M135" s="7">
        <f t="shared" ca="1" si="64"/>
        <v>545.46353455349117</v>
      </c>
      <c r="N135" s="7">
        <f t="shared" ca="1" si="64"/>
        <v>390.18985575413029</v>
      </c>
      <c r="O135" s="7">
        <f t="shared" ca="1" si="64"/>
        <v>237.29258855210023</v>
      </c>
      <c r="P135" s="7">
        <f t="shared" ca="1" si="64"/>
        <v>82.535149711506421</v>
      </c>
      <c r="Q135" s="7">
        <f t="shared" ca="1" si="64"/>
        <v>-79.340472553077518</v>
      </c>
      <c r="R135" s="9">
        <f t="shared" ca="1" si="64"/>
        <v>-255.78434926507225</v>
      </c>
      <c r="S135" s="9">
        <f t="shared" ca="1" si="64"/>
        <v>-408.00123093783719</v>
      </c>
      <c r="T135" s="9">
        <f t="shared" ca="1" si="64"/>
        <v>-496.43205767432892</v>
      </c>
      <c r="U135" s="9">
        <f t="shared" ca="1" si="64"/>
        <v>-526.09661874321318</v>
      </c>
      <c r="V135" s="9">
        <f t="shared" ca="1" si="64"/>
        <v>-497.64548688133328</v>
      </c>
      <c r="W135" s="9">
        <f t="shared" ca="1" si="64"/>
        <v>-407.38197228503606</v>
      </c>
      <c r="X135" s="7">
        <f t="shared" ca="1" si="64"/>
        <v>-296.25614660399691</v>
      </c>
      <c r="Y135" s="7">
        <f t="shared" ca="1" si="64"/>
        <v>-204.57485190516104</v>
      </c>
      <c r="Z135" s="7">
        <f t="shared" ca="1" si="64"/>
        <v>-126.58629778776719</v>
      </c>
      <c r="AA135" s="7">
        <f t="shared" ca="1" si="64"/>
        <v>-59.008825092578022</v>
      </c>
      <c r="AB135" s="8">
        <f t="shared" ca="1" si="64"/>
        <v>-9.7332519481418554E-4</v>
      </c>
    </row>
    <row r="136" spans="4:28" x14ac:dyDescent="0.25">
      <c r="D136" s="17"/>
      <c r="E136" s="2">
        <f t="shared" si="35"/>
        <v>1.0999999999999999</v>
      </c>
      <c r="H136" s="8">
        <f t="shared" ref="H136:AB136" ca="1" si="65" xml:space="preserve"> -(D*(nu*H87+G86+nu*H85+I86+((-2*nu)-2)*H86))/delta^2</f>
        <v>1410.6941034810943</v>
      </c>
      <c r="I136" s="7">
        <f t="shared" ca="1" si="65"/>
        <v>1198.5522407321937</v>
      </c>
      <c r="J136" s="7">
        <f t="shared" ca="1" si="65"/>
        <v>1006.7955117905608</v>
      </c>
      <c r="K136" s="7">
        <f t="shared" ca="1" si="65"/>
        <v>831.40640870218249</v>
      </c>
      <c r="L136" s="7">
        <f t="shared" ca="1" si="65"/>
        <v>668.76727373207859</v>
      </c>
      <c r="M136" s="7">
        <f t="shared" ca="1" si="65"/>
        <v>515.53671293661193</v>
      </c>
      <c r="N136" s="7">
        <f t="shared" ca="1" si="65"/>
        <v>368.53415434694858</v>
      </c>
      <c r="O136" s="7">
        <f t="shared" ca="1" si="65"/>
        <v>224.60814406759548</v>
      </c>
      <c r="P136" s="7">
        <f t="shared" ca="1" si="65"/>
        <v>80.420485125087652</v>
      </c>
      <c r="Q136" s="7">
        <f t="shared" ca="1" si="65"/>
        <v>-68.093948215017832</v>
      </c>
      <c r="R136" s="9">
        <f t="shared" ca="1" si="65"/>
        <v>-227.54943759377414</v>
      </c>
      <c r="S136" s="9">
        <f t="shared" ca="1" si="65"/>
        <v>-364.38082342971387</v>
      </c>
      <c r="T136" s="9">
        <f t="shared" ca="1" si="65"/>
        <v>-444.47101394194402</v>
      </c>
      <c r="U136" s="9">
        <f t="shared" ca="1" si="65"/>
        <v>-472.67473107447813</v>
      </c>
      <c r="V136" s="9">
        <f t="shared" ca="1" si="65"/>
        <v>-449.60468349539678</v>
      </c>
      <c r="W136" s="9">
        <f t="shared" ca="1" si="65"/>
        <v>-371.64780538707851</v>
      </c>
      <c r="X136" s="7">
        <f t="shared" ca="1" si="65"/>
        <v>-274.21251732106469</v>
      </c>
      <c r="Y136" s="7">
        <f t="shared" ca="1" si="65"/>
        <v>-192.24162541868938</v>
      </c>
      <c r="Z136" s="7">
        <f t="shared" ca="1" si="65"/>
        <v>-120.6283118792058</v>
      </c>
      <c r="AA136" s="7">
        <f t="shared" ca="1" si="65"/>
        <v>-57.002695516257887</v>
      </c>
      <c r="AB136" s="8">
        <f t="shared" ca="1" si="65"/>
        <v>-9.0474565439695718E-4</v>
      </c>
    </row>
    <row r="137" spans="4:28" x14ac:dyDescent="0.25">
      <c r="D137" s="17"/>
      <c r="E137" s="2">
        <f t="shared" si="35"/>
        <v>0.99999999999999989</v>
      </c>
      <c r="H137" s="8">
        <f t="shared" ref="H137:AB137" ca="1" si="66" xml:space="preserve"> -(D*(nu*H88+G87+nu*H86+I87+((-2*nu)-2)*H87))/delta^2</f>
        <v>1313.5375404816</v>
      </c>
      <c r="I137" s="7">
        <f t="shared" ca="1" si="66"/>
        <v>1118.1428852648787</v>
      </c>
      <c r="J137" s="7">
        <f t="shared" ca="1" si="66"/>
        <v>940.21282286741746</v>
      </c>
      <c r="K137" s="7">
        <f t="shared" ca="1" si="66"/>
        <v>776.63950130298076</v>
      </c>
      <c r="L137" s="7">
        <f t="shared" ca="1" si="66"/>
        <v>624.51465652637137</v>
      </c>
      <c r="M137" s="7">
        <f t="shared" ca="1" si="66"/>
        <v>481.10932478293626</v>
      </c>
      <c r="N137" s="7">
        <f t="shared" ca="1" si="66"/>
        <v>343.85389642680883</v>
      </c>
      <c r="O137" s="7">
        <f t="shared" ca="1" si="66"/>
        <v>210.32546060182634</v>
      </c>
      <c r="P137" s="7">
        <f t="shared" ca="1" si="66"/>
        <v>78.24846035343819</v>
      </c>
      <c r="Q137" s="7">
        <f t="shared" ca="1" si="66"/>
        <v>-54.486709734033312</v>
      </c>
      <c r="R137" s="9">
        <f t="shared" ca="1" si="66"/>
        <v>-189.785487343879</v>
      </c>
      <c r="S137" s="9">
        <f t="shared" ca="1" si="66"/>
        <v>-304.29486334337514</v>
      </c>
      <c r="T137" s="9">
        <f t="shared" ca="1" si="66"/>
        <v>-374.34334805133511</v>
      </c>
      <c r="U137" s="9">
        <f t="shared" ca="1" si="66"/>
        <v>-400.89077440996874</v>
      </c>
      <c r="V137" s="9">
        <f t="shared" ca="1" si="66"/>
        <v>-384.50351007821155</v>
      </c>
      <c r="W137" s="9">
        <f t="shared" ca="1" si="66"/>
        <v>-325.36446686846057</v>
      </c>
      <c r="X137" s="7">
        <f t="shared" ca="1" si="66"/>
        <v>-248.31758295852123</v>
      </c>
      <c r="Y137" s="7">
        <f t="shared" ca="1" si="66"/>
        <v>-177.93662729698585</v>
      </c>
      <c r="Z137" s="7">
        <f t="shared" ca="1" si="66"/>
        <v>-113.60165951128494</v>
      </c>
      <c r="AA137" s="7">
        <f t="shared" ca="1" si="66"/>
        <v>-54.56594445045463</v>
      </c>
      <c r="AB137" s="8">
        <f t="shared" ca="1" si="66"/>
        <v>-8.306589663822036E-4</v>
      </c>
    </row>
    <row r="138" spans="4:28" x14ac:dyDescent="0.25">
      <c r="D138" s="17"/>
      <c r="E138" s="2">
        <f t="shared" si="35"/>
        <v>0.89999999999999991</v>
      </c>
      <c r="H138" s="8">
        <f t="shared" ref="H138:AB138" ca="1" si="67" xml:space="preserve"> -(D*(nu*H89+G88+nu*H87+I88+((-2*nu)-2)*H88))/delta^2</f>
        <v>1204.1549312131679</v>
      </c>
      <c r="I138" s="7">
        <f t="shared" ca="1" si="67"/>
        <v>1027.4481590675061</v>
      </c>
      <c r="J138" s="7">
        <f t="shared" ca="1" si="67"/>
        <v>865.13668956957576</v>
      </c>
      <c r="K138" s="7">
        <f t="shared" ca="1" si="67"/>
        <v>715.03344744993194</v>
      </c>
      <c r="L138" s="7">
        <f t="shared" ca="1" si="67"/>
        <v>574.9572502744918</v>
      </c>
      <c r="M138" s="7">
        <f t="shared" ca="1" si="67"/>
        <v>442.80962259520516</v>
      </c>
      <c r="N138" s="7">
        <f t="shared" ca="1" si="67"/>
        <v>316.64518314899919</v>
      </c>
      <c r="O138" s="7">
        <f t="shared" ca="1" si="67"/>
        <v>194.7734194300283</v>
      </c>
      <c r="P138" s="7">
        <f t="shared" ca="1" si="67"/>
        <v>75.972055719100354</v>
      </c>
      <c r="Q138" s="7">
        <f t="shared" ca="1" si="67"/>
        <v>-39.937349349116388</v>
      </c>
      <c r="R138" s="7">
        <f t="shared" ca="1" si="67"/>
        <v>-150.18863831868717</v>
      </c>
      <c r="S138" s="7">
        <f t="shared" ca="1" si="67"/>
        <v>-241.68372302725868</v>
      </c>
      <c r="T138" s="7">
        <f t="shared" ca="1" si="67"/>
        <v>-301.23334721243685</v>
      </c>
      <c r="U138" s="7">
        <f t="shared" ca="1" si="67"/>
        <v>-325.92110212267636</v>
      </c>
      <c r="V138" s="7">
        <f t="shared" ca="1" si="67"/>
        <v>-316.26047314202617</v>
      </c>
      <c r="W138" s="7">
        <f t="shared" ca="1" si="67"/>
        <v>-276.19877498235718</v>
      </c>
      <c r="X138" s="7">
        <f t="shared" ca="1" si="67"/>
        <v>-219.96645390218825</v>
      </c>
      <c r="Y138" s="7">
        <f t="shared" ca="1" si="67"/>
        <v>-161.71428470318691</v>
      </c>
      <c r="Z138" s="7">
        <f t="shared" ca="1" si="67"/>
        <v>-105.26299234641232</v>
      </c>
      <c r="AA138" s="7">
        <f t="shared" ca="1" si="67"/>
        <v>-51.459361657314474</v>
      </c>
      <c r="AB138" s="8">
        <f t="shared" ca="1" si="67"/>
        <v>-7.5152390987671003E-4</v>
      </c>
    </row>
    <row r="139" spans="4:28" x14ac:dyDescent="0.25">
      <c r="D139" s="17"/>
      <c r="E139" s="2">
        <f t="shared" si="35"/>
        <v>0.79999999999999993</v>
      </c>
      <c r="H139" s="8">
        <f t="shared" ref="H139:AB139" ca="1" si="68" xml:space="preserve"> -(D*(nu*H90+G89+nu*H88+I89+((-2*nu)-2)*H89))/delta^2</f>
        <v>1085.0818534257951</v>
      </c>
      <c r="I139" s="7">
        <f t="shared" ca="1" si="68"/>
        <v>928.303936240555</v>
      </c>
      <c r="J139" s="7">
        <f t="shared" ca="1" si="68"/>
        <v>782.93395590967634</v>
      </c>
      <c r="K139" s="7">
        <f t="shared" ca="1" si="68"/>
        <v>647.63584374905633</v>
      </c>
      <c r="L139" s="7">
        <f t="shared" ca="1" si="68"/>
        <v>520.9194183851115</v>
      </c>
      <c r="M139" s="7">
        <f t="shared" ca="1" si="68"/>
        <v>401.29652994009507</v>
      </c>
      <c r="N139" s="7">
        <f t="shared" ca="1" si="68"/>
        <v>287.42639329991584</v>
      </c>
      <c r="O139" s="7">
        <f t="shared" ca="1" si="68"/>
        <v>178.30327395380749</v>
      </c>
      <c r="P139" s="7">
        <f t="shared" ca="1" si="68"/>
        <v>73.577096852364875</v>
      </c>
      <c r="Q139" s="7">
        <f t="shared" ca="1" si="68"/>
        <v>-25.81141628054597</v>
      </c>
      <c r="R139" s="7">
        <f t="shared" ca="1" si="68"/>
        <v>-116.37649843392354</v>
      </c>
      <c r="S139" s="7">
        <f t="shared" ca="1" si="68"/>
        <v>-190.38619306164171</v>
      </c>
      <c r="T139" s="7">
        <f t="shared" ca="1" si="68"/>
        <v>-240.2112234295461</v>
      </c>
      <c r="U139" s="7">
        <f t="shared" ca="1" si="68"/>
        <v>-262.83107591335283</v>
      </c>
      <c r="V139" s="7">
        <f t="shared" ca="1" si="68"/>
        <v>-258.7017621742549</v>
      </c>
      <c r="W139" s="7">
        <f t="shared" ca="1" si="68"/>
        <v>-231.75444971969469</v>
      </c>
      <c r="X139" s="7">
        <f t="shared" ca="1" si="68"/>
        <v>-190.52259687642686</v>
      </c>
      <c r="Y139" s="7">
        <f t="shared" ca="1" si="68"/>
        <v>-143.62288747882337</v>
      </c>
      <c r="Z139" s="7">
        <f t="shared" ca="1" si="68"/>
        <v>-95.377190835067495</v>
      </c>
      <c r="AA139" s="7">
        <f t="shared" ca="1" si="68"/>
        <v>-47.453598360418866</v>
      </c>
      <c r="AB139" s="8">
        <f t="shared" ca="1" si="68"/>
        <v>-6.678289492342437E-4</v>
      </c>
    </row>
    <row r="140" spans="4:28" x14ac:dyDescent="0.25">
      <c r="D140" s="17"/>
      <c r="E140" s="2">
        <f t="shared" si="35"/>
        <v>0.7</v>
      </c>
      <c r="H140" s="8">
        <f t="shared" ref="H140:AB140" ca="1" si="69" xml:space="preserve"> -(D*(nu*H91+G90+nu*H89+I90+((-2*nu)-2)*H90))/delta^2</f>
        <v>958.72810490871404</v>
      </c>
      <c r="I140" s="7">
        <f t="shared" ca="1" si="69"/>
        <v>822.49106253436435</v>
      </c>
      <c r="J140" s="7">
        <f t="shared" ca="1" si="69"/>
        <v>694.94147915210806</v>
      </c>
      <c r="K140" s="7">
        <f t="shared" ca="1" si="69"/>
        <v>575.45961509835672</v>
      </c>
      <c r="L140" s="7">
        <f t="shared" ca="1" si="69"/>
        <v>463.16076120829229</v>
      </c>
      <c r="M140" s="7">
        <f t="shared" ca="1" si="69"/>
        <v>357.10166976809381</v>
      </c>
      <c r="N140" s="7">
        <f t="shared" ca="1" si="69"/>
        <v>256.47045237853308</v>
      </c>
      <c r="O140" s="7">
        <f t="shared" ca="1" si="69"/>
        <v>160.80736457180518</v>
      </c>
      <c r="P140" s="7">
        <f t="shared" ca="1" si="69"/>
        <v>70.313712637236918</v>
      </c>
      <c r="Q140" s="7">
        <f t="shared" ca="1" si="69"/>
        <v>-13.693536286864076</v>
      </c>
      <c r="R140" s="7">
        <f t="shared" ca="1" si="69"/>
        <v>-88.222585124110893</v>
      </c>
      <c r="S140" s="7">
        <f t="shared" ca="1" si="69"/>
        <v>-148.47748029398031</v>
      </c>
      <c r="T140" s="7">
        <f t="shared" ca="1" si="69"/>
        <v>-189.88229685321096</v>
      </c>
      <c r="U140" s="7">
        <f t="shared" ca="1" si="69"/>
        <v>-210.22642288293204</v>
      </c>
      <c r="V140" s="7">
        <f t="shared" ca="1" si="69"/>
        <v>-209.90573682033357</v>
      </c>
      <c r="W140" s="7">
        <f t="shared" ca="1" si="69"/>
        <v>-191.91718002270719</v>
      </c>
      <c r="X140" s="7">
        <f t="shared" ca="1" si="69"/>
        <v>-161.60402009486532</v>
      </c>
      <c r="Y140" s="7">
        <f t="shared" ca="1" si="69"/>
        <v>-124.48819619384363</v>
      </c>
      <c r="Z140" s="7">
        <f t="shared" ca="1" si="69"/>
        <v>-84.206511840293786</v>
      </c>
      <c r="AA140" s="7">
        <f t="shared" ca="1" si="69"/>
        <v>-42.569909028607867</v>
      </c>
      <c r="AB140" s="8">
        <f t="shared" ca="1" si="69"/>
        <v>-5.8008910654928751E-4</v>
      </c>
    </row>
    <row r="141" spans="4:28" x14ac:dyDescent="0.25">
      <c r="D141" s="17"/>
      <c r="E141" s="2">
        <f t="shared" si="35"/>
        <v>0.6</v>
      </c>
      <c r="H141" s="8">
        <f t="shared" ref="H141:AB141" ca="1" si="70" xml:space="preserve"> -(D*(nu*H92+G91+nu*H90+I91+((-2*nu)-2)*H91))/delta^2</f>
        <v>827.21401248661539</v>
      </c>
      <c r="I141" s="7">
        <f t="shared" ca="1" si="70"/>
        <v>711.62368760719721</v>
      </c>
      <c r="J141" s="7">
        <f t="shared" ca="1" si="70"/>
        <v>602.38600196163895</v>
      </c>
      <c r="K141" s="7">
        <f t="shared" ca="1" si="70"/>
        <v>499.42245655353901</v>
      </c>
      <c r="L141" s="7">
        <f t="shared" ca="1" si="70"/>
        <v>402.33113609493131</v>
      </c>
      <c r="M141" s="7">
        <f t="shared" ca="1" si="70"/>
        <v>310.61061031336902</v>
      </c>
      <c r="N141" s="7">
        <f t="shared" ca="1" si="70"/>
        <v>223.86117536195655</v>
      </c>
      <c r="O141" s="7">
        <f t="shared" ca="1" si="70"/>
        <v>141.99540152751172</v>
      </c>
      <c r="P141" s="7">
        <f t="shared" ca="1" si="70"/>
        <v>65.480969530500957</v>
      </c>
      <c r="Q141" s="7">
        <f t="shared" ca="1" si="70"/>
        <v>-4.3934000159712383</v>
      </c>
      <c r="R141" s="7">
        <f t="shared" ca="1" si="70"/>
        <v>-65.336883879225397</v>
      </c>
      <c r="S141" s="7">
        <f t="shared" ca="1" si="70"/>
        <v>-114.27644494187639</v>
      </c>
      <c r="T141" s="7">
        <f t="shared" ca="1" si="70"/>
        <v>-148.39977661606466</v>
      </c>
      <c r="U141" s="7">
        <f t="shared" ca="1" si="70"/>
        <v>-166.2674561635157</v>
      </c>
      <c r="V141" s="7">
        <f t="shared" ca="1" si="70"/>
        <v>-168.2143717712008</v>
      </c>
      <c r="W141" s="7">
        <f t="shared" ca="1" si="70"/>
        <v>-156.34174416337925</v>
      </c>
      <c r="X141" s="7">
        <f t="shared" ca="1" si="70"/>
        <v>-134.09716901130815</v>
      </c>
      <c r="Y141" s="7">
        <f t="shared" ca="1" si="70"/>
        <v>-105.13578956697265</v>
      </c>
      <c r="Z141" s="7">
        <f t="shared" ca="1" si="70"/>
        <v>-72.235691930112708</v>
      </c>
      <c r="AA141" s="7">
        <f t="shared" ca="1" si="70"/>
        <v>-37.012521140336823</v>
      </c>
      <c r="AB141" s="8">
        <f t="shared" ca="1" si="70"/>
        <v>-4.888424171499375E-4</v>
      </c>
    </row>
    <row r="142" spans="4:28" x14ac:dyDescent="0.25">
      <c r="D142" s="17"/>
      <c r="E142" s="2">
        <f t="shared" si="35"/>
        <v>0.5</v>
      </c>
      <c r="H142" s="8">
        <f t="shared" ref="H142:AB142" ca="1" si="71" xml:space="preserve"> -(D*(nu*H93+G92+nu*H91+I92+((-2*nu)-2)*H92))/delta^2</f>
        <v>692.27406165661432</v>
      </c>
      <c r="I142" s="7">
        <f t="shared" ca="1" si="71"/>
        <v>597.07944760346038</v>
      </c>
      <c r="J142" s="7">
        <f t="shared" ca="1" si="71"/>
        <v>506.33826813706776</v>
      </c>
      <c r="K142" s="7">
        <f t="shared" ca="1" si="71"/>
        <v>420.3249645762557</v>
      </c>
      <c r="L142" s="7">
        <f t="shared" ca="1" si="71"/>
        <v>338.97954976383659</v>
      </c>
      <c r="M142" s="7">
        <f t="shared" ca="1" si="71"/>
        <v>262.12068699659642</v>
      </c>
      <c r="N142" s="7">
        <f t="shared" ca="1" si="71"/>
        <v>189.63256795034621</v>
      </c>
      <c r="O142" s="7">
        <f t="shared" ca="1" si="71"/>
        <v>121.64267094874128</v>
      </c>
      <c r="P142" s="7">
        <f t="shared" ca="1" si="71"/>
        <v>58.693307762835943</v>
      </c>
      <c r="Q142" s="7">
        <f t="shared" ca="1" si="71"/>
        <v>1.8793417021565073</v>
      </c>
      <c r="R142" s="7">
        <f t="shared" ca="1" si="71"/>
        <v>-47.131341688834908</v>
      </c>
      <c r="S142" s="7">
        <f t="shared" ca="1" si="71"/>
        <v>-86.33810282596221</v>
      </c>
      <c r="T142" s="7">
        <f t="shared" ca="1" si="71"/>
        <v>-113.98928484853776</v>
      </c>
      <c r="U142" s="7">
        <f t="shared" ca="1" si="71"/>
        <v>-129.19405098240824</v>
      </c>
      <c r="V142" s="7">
        <f t="shared" ca="1" si="71"/>
        <v>-132.22693483998276</v>
      </c>
      <c r="W142" s="7">
        <f t="shared" ca="1" si="71"/>
        <v>-124.51883364879865</v>
      </c>
      <c r="X142" s="7">
        <f t="shared" ca="1" si="71"/>
        <v>-108.3323123613654</v>
      </c>
      <c r="Y142" s="7">
        <f t="shared" ca="1" si="71"/>
        <v>-86.12309633492103</v>
      </c>
      <c r="Z142" s="7">
        <f t="shared" ca="1" si="71"/>
        <v>-59.920495404887355</v>
      </c>
      <c r="AA142" s="7">
        <f t="shared" ca="1" si="71"/>
        <v>-31.033645160262267</v>
      </c>
      <c r="AB142" s="8">
        <f t="shared" ca="1" si="71"/>
        <v>-3.946465414661135E-4</v>
      </c>
    </row>
    <row r="143" spans="4:28" x14ac:dyDescent="0.25">
      <c r="D143" s="17"/>
      <c r="E143" s="2">
        <f t="shared" si="35"/>
        <v>0.4</v>
      </c>
      <c r="H143" s="8">
        <f t="shared" ref="H143:AB143" ca="1" si="72" xml:space="preserve"> -(D*(nu*H94+G93+nu*H92+I93+((-2*nu)-2)*H93))/delta^2</f>
        <v>555.22751892676388</v>
      </c>
      <c r="I143" s="7">
        <f t="shared" ca="1" si="72"/>
        <v>479.9720891261357</v>
      </c>
      <c r="J143" s="7">
        <f t="shared" ca="1" si="72"/>
        <v>407.69795604004963</v>
      </c>
      <c r="K143" s="7">
        <f t="shared" ca="1" si="72"/>
        <v>338.85447840872899</v>
      </c>
      <c r="L143" s="7">
        <f t="shared" ca="1" si="72"/>
        <v>273.58393765230221</v>
      </c>
      <c r="M143" s="7">
        <f t="shared" ca="1" si="72"/>
        <v>211.90417540521619</v>
      </c>
      <c r="N143" s="7">
        <f t="shared" ca="1" si="72"/>
        <v>153.86553568988748</v>
      </c>
      <c r="O143" s="7">
        <f t="shared" ca="1" si="72"/>
        <v>99.688900083682483</v>
      </c>
      <c r="P143" s="7">
        <f t="shared" ca="1" si="72"/>
        <v>49.879752920443799</v>
      </c>
      <c r="Q143" s="7">
        <f t="shared" ca="1" si="72"/>
        <v>5.2934266869280897</v>
      </c>
      <c r="R143" s="7">
        <f t="shared" ca="1" si="72"/>
        <v>-32.897621954776653</v>
      </c>
      <c r="S143" s="7">
        <f t="shared" ca="1" si="72"/>
        <v>-63.390980145035165</v>
      </c>
      <c r="T143" s="7">
        <f t="shared" ca="1" si="72"/>
        <v>-85.093741769440228</v>
      </c>
      <c r="U143" s="7">
        <f t="shared" ca="1" si="72"/>
        <v>-97.470094256286146</v>
      </c>
      <c r="V143" s="7">
        <f t="shared" ca="1" si="72"/>
        <v>-100.73587349493485</v>
      </c>
      <c r="W143" s="7">
        <f t="shared" ca="1" si="72"/>
        <v>-95.849867156921448</v>
      </c>
      <c r="X143" s="7">
        <f t="shared" ca="1" si="72"/>
        <v>-84.3002951046101</v>
      </c>
      <c r="Y143" s="7">
        <f t="shared" ca="1" si="72"/>
        <v>-67.733620960499891</v>
      </c>
      <c r="Z143" s="7">
        <f t="shared" ca="1" si="72"/>
        <v>-47.584174869572436</v>
      </c>
      <c r="AA143" s="7">
        <f t="shared" ca="1" si="72"/>
        <v>-24.847338076927979</v>
      </c>
      <c r="AB143" s="8">
        <f t="shared" ca="1" si="72"/>
        <v>-2.980749729282112E-4</v>
      </c>
    </row>
    <row r="144" spans="4:28" x14ac:dyDescent="0.25">
      <c r="D144" s="17"/>
      <c r="E144" s="2">
        <f t="shared" si="35"/>
        <v>0.30000000000000004</v>
      </c>
      <c r="H144" s="8">
        <f t="shared" ref="H144:AB144" ca="1" si="73" xml:space="preserve"> -(D*(nu*H95+G94+nu*H93+I94+((-2*nu)-2)*H94))/delta^2</f>
        <v>417.00209771208739</v>
      </c>
      <c r="I144" s="7">
        <f t="shared" ca="1" si="73"/>
        <v>361.15914610405656</v>
      </c>
      <c r="J144" s="7">
        <f t="shared" ca="1" si="73"/>
        <v>307.20120829831626</v>
      </c>
      <c r="K144" s="7">
        <f t="shared" ca="1" si="73"/>
        <v>255.60102337127714</v>
      </c>
      <c r="L144" s="7">
        <f t="shared" ca="1" si="73"/>
        <v>206.57985676168315</v>
      </c>
      <c r="M144" s="7">
        <f t="shared" ca="1" si="73"/>
        <v>160.24868497059717</v>
      </c>
      <c r="N144" s="7">
        <f t="shared" ca="1" si="73"/>
        <v>116.72776614391478</v>
      </c>
      <c r="O144" s="7">
        <f t="shared" ca="1" si="73"/>
        <v>76.245783682695887</v>
      </c>
      <c r="P144" s="7">
        <f t="shared" ca="1" si="73"/>
        <v>39.212162234225602</v>
      </c>
      <c r="Q144" s="7">
        <f t="shared" ca="1" si="73"/>
        <v>6.2456640110724759</v>
      </c>
      <c r="R144" s="7">
        <f t="shared" ca="1" si="73"/>
        <v>-21.86593138779735</v>
      </c>
      <c r="S144" s="7">
        <f t="shared" ca="1" si="73"/>
        <v>-44.294115385653178</v>
      </c>
      <c r="T144" s="7">
        <f t="shared" ca="1" si="73"/>
        <v>-60.369160086427776</v>
      </c>
      <c r="U144" s="7">
        <f t="shared" ca="1" si="73"/>
        <v>-69.778263941177073</v>
      </c>
      <c r="V144" s="7">
        <f t="shared" ca="1" si="73"/>
        <v>-72.680698130019209</v>
      </c>
      <c r="W144" s="7">
        <f t="shared" ca="1" si="73"/>
        <v>-69.700464503267725</v>
      </c>
      <c r="X144" s="7">
        <f t="shared" ca="1" si="73"/>
        <v>-61.79542722129009</v>
      </c>
      <c r="Y144" s="7">
        <f t="shared" ca="1" si="73"/>
        <v>-50.040496745906282</v>
      </c>
      <c r="Z144" s="7">
        <f t="shared" ca="1" si="73"/>
        <v>-35.405209879354892</v>
      </c>
      <c r="AA144" s="7">
        <f t="shared" ca="1" si="73"/>
        <v>-18.598455966805496</v>
      </c>
      <c r="AB144" s="8">
        <f t="shared" ca="1" si="73"/>
        <v>-1.9971344133489505E-4</v>
      </c>
    </row>
    <row r="145" spans="4:28" x14ac:dyDescent="0.25">
      <c r="D145" s="17"/>
      <c r="E145" s="2">
        <f t="shared" si="35"/>
        <v>0.2</v>
      </c>
      <c r="H145" s="8">
        <f t="shared" ref="H145:AB145" ca="1" si="74" xml:space="preserve"> -(D*(nu*H96+G95+nu*H94+I95+((-2*nu)-2)*H95))/delta^2</f>
        <v>278.1922918266016</v>
      </c>
      <c r="I145" s="7">
        <f t="shared" ca="1" si="74"/>
        <v>241.27439222292435</v>
      </c>
      <c r="J145" s="7">
        <f t="shared" ca="1" si="74"/>
        <v>205.44270767968666</v>
      </c>
      <c r="K145" s="7">
        <f t="shared" ca="1" si="74"/>
        <v>171.07708185277235</v>
      </c>
      <c r="L145" s="7">
        <f t="shared" ca="1" si="74"/>
        <v>138.38045232332351</v>
      </c>
      <c r="M145" s="7">
        <f t="shared" ca="1" si="74"/>
        <v>107.4738420228876</v>
      </c>
      <c r="N145" s="7">
        <f t="shared" ca="1" si="74"/>
        <v>78.476089788363893</v>
      </c>
      <c r="O145" s="7">
        <f t="shared" ca="1" si="74"/>
        <v>51.567367820524133</v>
      </c>
      <c r="P145" s="7">
        <f t="shared" ca="1" si="74"/>
        <v>27.031537407115657</v>
      </c>
      <c r="Q145" s="7">
        <f t="shared" ca="1" si="74"/>
        <v>5.2676628043275171</v>
      </c>
      <c r="R145" s="7">
        <f t="shared" ca="1" si="74"/>
        <v>-13.24086632417926</v>
      </c>
      <c r="S145" s="7">
        <f t="shared" ca="1" si="74"/>
        <v>-28.004501600214667</v>
      </c>
      <c r="T145" s="7">
        <f t="shared" ca="1" si="74"/>
        <v>-38.638984075151789</v>
      </c>
      <c r="U145" s="7">
        <f t="shared" ca="1" si="74"/>
        <v>-44.973104578485383</v>
      </c>
      <c r="V145" s="7">
        <f t="shared" ca="1" si="74"/>
        <v>-47.1116609321572</v>
      </c>
      <c r="W145" s="7">
        <f t="shared" ca="1" si="74"/>
        <v>-45.430198654930592</v>
      </c>
      <c r="X145" s="7">
        <f t="shared" ca="1" si="74"/>
        <v>-40.50093214185889</v>
      </c>
      <c r="Y145" s="7">
        <f t="shared" ca="1" si="74"/>
        <v>-32.97221175764205</v>
      </c>
      <c r="Z145" s="7">
        <f t="shared" ca="1" si="74"/>
        <v>-23.442151537044975</v>
      </c>
      <c r="AA145" s="7">
        <f t="shared" ca="1" si="74"/>
        <v>-12.364028039823522</v>
      </c>
      <c r="AB145" s="8">
        <f t="shared" ca="1" si="74"/>
        <v>-1.0015579496984692E-4</v>
      </c>
    </row>
    <row r="146" spans="4:28" x14ac:dyDescent="0.25">
      <c r="D146" s="17"/>
      <c r="E146" s="2">
        <f t="shared" si="35"/>
        <v>0.1</v>
      </c>
      <c r="H146" s="8">
        <f t="shared" ref="H146:AB146" ca="1" si="75" xml:space="preserve"> -(D*(nu*H97+G96+nu*H95+I96+((-2*nu)-2)*H96))/delta^2</f>
        <v>139.13622520670657</v>
      </c>
      <c r="I146" s="7">
        <f t="shared" ca="1" si="75"/>
        <v>120.77552939850402</v>
      </c>
      <c r="J146" s="7">
        <f t="shared" ca="1" si="75"/>
        <v>102.90626675515323</v>
      </c>
      <c r="K146" s="7">
        <f t="shared" ca="1" si="75"/>
        <v>85.737694239411979</v>
      </c>
      <c r="L146" s="7">
        <f t="shared" ca="1" si="75"/>
        <v>69.388023773571661</v>
      </c>
      <c r="M146" s="7">
        <f t="shared" ca="1" si="75"/>
        <v>53.931941008702587</v>
      </c>
      <c r="N146" s="7">
        <f t="shared" ca="1" si="75"/>
        <v>39.440306645720206</v>
      </c>
      <c r="O146" s="7">
        <f t="shared" ca="1" si="75"/>
        <v>26.011071226082798</v>
      </c>
      <c r="P146" s="7">
        <f t="shared" ca="1" si="75"/>
        <v>13.788821131386891</v>
      </c>
      <c r="Q146" s="7">
        <f t="shared" ca="1" si="75"/>
        <v>2.9686808563869449</v>
      </c>
      <c r="R146" s="7">
        <f t="shared" ca="1" si="75"/>
        <v>-6.2197586816418742</v>
      </c>
      <c r="S146" s="7">
        <f t="shared" ca="1" si="75"/>
        <v>-13.549145241881158</v>
      </c>
      <c r="T146" s="7">
        <f t="shared" ca="1" si="75"/>
        <v>-18.844366430741207</v>
      </c>
      <c r="U146" s="7">
        <f t="shared" ca="1" si="75"/>
        <v>-22.030031711313342</v>
      </c>
      <c r="V146" s="7">
        <f t="shared" ca="1" si="75"/>
        <v>-23.158096745219446</v>
      </c>
      <c r="W146" s="7">
        <f t="shared" ca="1" si="75"/>
        <v>-22.405130620836331</v>
      </c>
      <c r="X146" s="7">
        <f t="shared" ca="1" si="75"/>
        <v>-20.038955313553188</v>
      </c>
      <c r="Y146" s="7">
        <f t="shared" ca="1" si="75"/>
        <v>-16.364707663038345</v>
      </c>
      <c r="Z146" s="7">
        <f t="shared" ca="1" si="75"/>
        <v>-11.667521128392107</v>
      </c>
      <c r="AA146" s="7">
        <f t="shared" ca="1" si="75"/>
        <v>-6.1681057100242489</v>
      </c>
      <c r="AB146" s="8">
        <f t="shared" ca="1" si="75"/>
        <v>0</v>
      </c>
    </row>
    <row r="147" spans="4:28" x14ac:dyDescent="0.25">
      <c r="D147" s="17"/>
      <c r="E147" s="2">
        <v>0</v>
      </c>
      <c r="H147" s="8">
        <f t="shared" ref="H147:AB147" si="76" xml:space="preserve"> -(D*(nu*H98+G97+nu*H96+I97+((-2*nu)-2)*H97))/delta^2</f>
        <v>0</v>
      </c>
      <c r="I147" s="8">
        <f t="shared" ca="1" si="76"/>
        <v>0</v>
      </c>
      <c r="J147" s="8">
        <f t="shared" ca="1" si="76"/>
        <v>0</v>
      </c>
      <c r="K147" s="8">
        <f t="shared" ca="1" si="76"/>
        <v>0</v>
      </c>
      <c r="L147" s="8">
        <f t="shared" ca="1" si="76"/>
        <v>0</v>
      </c>
      <c r="M147" s="8">
        <f t="shared" ca="1" si="76"/>
        <v>0</v>
      </c>
      <c r="N147" s="8">
        <f t="shared" ca="1" si="76"/>
        <v>0</v>
      </c>
      <c r="O147" s="8">
        <f t="shared" ca="1" si="76"/>
        <v>0</v>
      </c>
      <c r="P147" s="8">
        <f t="shared" ca="1" si="76"/>
        <v>0</v>
      </c>
      <c r="Q147" s="8">
        <f t="shared" ca="1" si="76"/>
        <v>0</v>
      </c>
      <c r="R147" s="8">
        <f t="shared" ca="1" si="76"/>
        <v>0</v>
      </c>
      <c r="S147" s="8">
        <f t="shared" ca="1" si="76"/>
        <v>0</v>
      </c>
      <c r="T147" s="8">
        <f t="shared" ca="1" si="76"/>
        <v>0</v>
      </c>
      <c r="U147" s="8">
        <f t="shared" ca="1" si="76"/>
        <v>0</v>
      </c>
      <c r="V147" s="8">
        <f t="shared" ca="1" si="76"/>
        <v>0</v>
      </c>
      <c r="W147" s="8">
        <f t="shared" ca="1" si="76"/>
        <v>0</v>
      </c>
      <c r="X147" s="8">
        <f t="shared" ca="1" si="76"/>
        <v>0</v>
      </c>
      <c r="Y147" s="8">
        <f t="shared" ca="1" si="76"/>
        <v>0</v>
      </c>
      <c r="Z147" s="8">
        <f t="shared" ca="1" si="76"/>
        <v>0</v>
      </c>
      <c r="AA147" s="8">
        <f t="shared" ca="1" si="76"/>
        <v>0</v>
      </c>
      <c r="AB147" s="8">
        <f t="shared" ca="1" si="76"/>
        <v>0</v>
      </c>
    </row>
    <row r="152" spans="4:28" ht="18.75" x14ac:dyDescent="0.3">
      <c r="E152" s="1" t="s">
        <v>19</v>
      </c>
    </row>
    <row r="153" spans="4:28" x14ac:dyDescent="0.25">
      <c r="H153" s="16" t="s">
        <v>17</v>
      </c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</row>
    <row r="154" spans="4:28" x14ac:dyDescent="0.25">
      <c r="H154" s="2">
        <v>0</v>
      </c>
      <c r="I154" s="2">
        <f t="shared" ref="I154:AB154" si="77">+H154+delta</f>
        <v>0.1</v>
      </c>
      <c r="J154" s="2">
        <f t="shared" si="77"/>
        <v>0.2</v>
      </c>
      <c r="K154" s="2">
        <f t="shared" si="77"/>
        <v>0.30000000000000004</v>
      </c>
      <c r="L154" s="2">
        <f t="shared" si="77"/>
        <v>0.4</v>
      </c>
      <c r="M154" s="2">
        <f t="shared" si="77"/>
        <v>0.5</v>
      </c>
      <c r="N154" s="2">
        <f t="shared" si="77"/>
        <v>0.6</v>
      </c>
      <c r="O154" s="2">
        <f t="shared" si="77"/>
        <v>0.7</v>
      </c>
      <c r="P154" s="2">
        <f t="shared" si="77"/>
        <v>0.79999999999999993</v>
      </c>
      <c r="Q154" s="2">
        <f t="shared" si="77"/>
        <v>0.89999999999999991</v>
      </c>
      <c r="R154" s="2">
        <f t="shared" si="77"/>
        <v>0.99999999999999989</v>
      </c>
      <c r="S154" s="2">
        <f t="shared" si="77"/>
        <v>1.0999999999999999</v>
      </c>
      <c r="T154" s="2">
        <f t="shared" si="77"/>
        <v>1.2</v>
      </c>
      <c r="U154" s="2">
        <f t="shared" si="77"/>
        <v>1.3</v>
      </c>
      <c r="V154" s="2">
        <f t="shared" si="77"/>
        <v>1.4000000000000001</v>
      </c>
      <c r="W154" s="2">
        <f t="shared" si="77"/>
        <v>1.5000000000000002</v>
      </c>
      <c r="X154" s="2">
        <f t="shared" si="77"/>
        <v>1.6000000000000003</v>
      </c>
      <c r="Y154" s="2">
        <f t="shared" si="77"/>
        <v>1.7000000000000004</v>
      </c>
      <c r="Z154" s="2">
        <f t="shared" si="77"/>
        <v>1.8000000000000005</v>
      </c>
      <c r="AA154" s="2">
        <f t="shared" si="77"/>
        <v>1.9000000000000006</v>
      </c>
      <c r="AB154" s="2">
        <f t="shared" si="77"/>
        <v>2.0000000000000004</v>
      </c>
    </row>
    <row r="157" spans="4:28" x14ac:dyDescent="0.25">
      <c r="D157" s="17" t="s">
        <v>16</v>
      </c>
      <c r="E157" s="2">
        <f t="shared" ref="E157:E196" si="78">E158+delta</f>
        <v>4.0000000000000018</v>
      </c>
      <c r="H157" s="8">
        <f t="shared" ref="H157:AB157" si="79" xml:space="preserve"> -(D*(H58+nu*G57+H56+nu*I57+((-2*nu)-2)*H57))/delta^2</f>
        <v>0</v>
      </c>
      <c r="I157" s="8">
        <f t="shared" ca="1" si="79"/>
        <v>-1.9438055608063006E-6</v>
      </c>
      <c r="J157" s="8">
        <f t="shared" ca="1" si="79"/>
        <v>-7.286252596636245E-6</v>
      </c>
      <c r="K157" s="8">
        <f t="shared" ca="1" si="79"/>
        <v>-1.5582545049917873E-5</v>
      </c>
      <c r="L157" s="8">
        <f t="shared" ca="1" si="79"/>
        <v>-2.6427306346058272E-5</v>
      </c>
      <c r="M157" s="8">
        <f t="shared" ca="1" si="79"/>
        <v>-3.9450856997969026E-5</v>
      </c>
      <c r="N157" s="8">
        <f t="shared" ca="1" si="79"/>
        <v>-5.4316373794236821E-5</v>
      </c>
      <c r="O157" s="8">
        <f t="shared" ca="1" si="79"/>
        <v>-7.0717819709648297E-5</v>
      </c>
      <c r="P157" s="8">
        <f t="shared" ca="1" si="79"/>
        <v>-8.8378530368055978E-5</v>
      </c>
      <c r="Q157" s="8">
        <f t="shared" ca="1" si="79"/>
        <v>-1.0705041104089117E-4</v>
      </c>
      <c r="R157" s="8">
        <f t="shared" ca="1" si="79"/>
        <v>-1.2651366115784259E-4</v>
      </c>
      <c r="S157" s="8">
        <f t="shared" ca="1" si="79"/>
        <v>-1.4657700724091666E-4</v>
      </c>
      <c r="T157" s="8">
        <f t="shared" ca="1" si="79"/>
        <v>-1.6707839315484429E-4</v>
      </c>
      <c r="U157" s="8">
        <f t="shared" ca="1" si="79"/>
        <v>-1.8788612970997012E-4</v>
      </c>
      <c r="V157" s="8">
        <f t="shared" ca="1" si="79"/>
        <v>-2.0890048855021204E-4</v>
      </c>
      <c r="W157" s="8">
        <f t="shared" ca="1" si="79"/>
        <v>-2.3005573177431555E-4</v>
      </c>
      <c r="X157" s="8">
        <f t="shared" ca="1" si="79"/>
        <v>-2.51322648147967E-4</v>
      </c>
      <c r="Y157" s="8">
        <f t="shared" ca="1" si="79"/>
        <v>-2.7271156740084899E-4</v>
      </c>
      <c r="Z157" s="8">
        <f t="shared" ca="1" si="79"/>
        <v>-2.9427596663230462E-4</v>
      </c>
      <c r="AA157" s="8">
        <f t="shared" ca="1" si="79"/>
        <v>-3.1611680646846337E-4</v>
      </c>
      <c r="AB157" s="8">
        <f t="shared" ca="1" si="79"/>
        <v>-3.3838775090277838E-4</v>
      </c>
    </row>
    <row r="158" spans="4:28" x14ac:dyDescent="0.25">
      <c r="D158" s="17"/>
      <c r="E158" s="2">
        <f t="shared" si="78"/>
        <v>3.9000000000000021</v>
      </c>
      <c r="H158" s="8">
        <f t="shared" ref="H158:AB158" ca="1" si="80" xml:space="preserve"> -(D*(H59+nu*G58+H57+nu*I58+((-2*nu)-2)*H58))/delta^2</f>
        <v>18.307975597056842</v>
      </c>
      <c r="I158" s="7">
        <f t="shared" ca="1" si="80"/>
        <v>17.172841323352451</v>
      </c>
      <c r="J158" s="7">
        <f t="shared" ca="1" si="80"/>
        <v>16.146221072345167</v>
      </c>
      <c r="K158" s="7">
        <f t="shared" ca="1" si="80"/>
        <v>15.194335969725492</v>
      </c>
      <c r="L158" s="7">
        <f t="shared" ca="1" si="80"/>
        <v>14.287963173662343</v>
      </c>
      <c r="M158" s="7">
        <f t="shared" ca="1" si="80"/>
        <v>13.40278854243587</v>
      </c>
      <c r="N158" s="7">
        <f t="shared" ca="1" si="80"/>
        <v>12.519410195196873</v>
      </c>
      <c r="O158" s="7">
        <f t="shared" ca="1" si="80"/>
        <v>11.623181632428521</v>
      </c>
      <c r="P158" s="7">
        <f t="shared" ca="1" si="80"/>
        <v>10.704042141876773</v>
      </c>
      <c r="Q158" s="7">
        <f t="shared" ca="1" si="80"/>
        <v>9.7564248005056733</v>
      </c>
      <c r="R158" s="7">
        <f t="shared" ca="1" si="80"/>
        <v>8.7792695539334105</v>
      </c>
      <c r="S158" s="7">
        <f t="shared" ca="1" si="80"/>
        <v>7.7761117886005193</v>
      </c>
      <c r="T158" s="7">
        <f t="shared" ca="1" si="80"/>
        <v>6.7551759965335068</v>
      </c>
      <c r="U158" s="7">
        <f t="shared" ca="1" si="80"/>
        <v>5.7293875175638798</v>
      </c>
      <c r="V158" s="7">
        <f t="shared" ca="1" si="80"/>
        <v>4.7162259896385255</v>
      </c>
      <c r="W158" s="7">
        <f t="shared" ca="1" si="80"/>
        <v>3.7373785416435741</v>
      </c>
      <c r="X158" s="7">
        <f t="shared" ca="1" si="80"/>
        <v>2.8181990185868715</v>
      </c>
      <c r="Y158" s="7">
        <f t="shared" ca="1" si="80"/>
        <v>1.9870276899288388</v>
      </c>
      <c r="Z158" s="7">
        <f t="shared" ca="1" si="80"/>
        <v>1.2744598410256864</v>
      </c>
      <c r="AA158" s="7">
        <f t="shared" ca="1" si="80"/>
        <v>0.71266088677077377</v>
      </c>
      <c r="AB158" s="8">
        <f t="shared" ca="1" si="80"/>
        <v>0.3348047386339229</v>
      </c>
    </row>
    <row r="159" spans="4:28" x14ac:dyDescent="0.25">
      <c r="D159" s="17"/>
      <c r="E159" s="2">
        <f t="shared" si="78"/>
        <v>3.800000000000002</v>
      </c>
      <c r="H159" s="8">
        <f t="shared" ref="H159:AB159" ca="1" si="81" xml:space="preserve"> -(D*(H60+nu*G59+H58+nu*I59+((-2*nu)-2)*H59))/delta^2</f>
        <v>36.725411421731977</v>
      </c>
      <c r="I159" s="7">
        <f t="shared" ca="1" si="81"/>
        <v>34.425945656998735</v>
      </c>
      <c r="J159" s="7">
        <f t="shared" ca="1" si="81"/>
        <v>32.342290620677019</v>
      </c>
      <c r="K159" s="7">
        <f t="shared" ca="1" si="81"/>
        <v>30.40683330798154</v>
      </c>
      <c r="L159" s="7">
        <f t="shared" ca="1" si="81"/>
        <v>28.561386107282338</v>
      </c>
      <c r="M159" s="7">
        <f t="shared" ca="1" si="81"/>
        <v>26.75775054981775</v>
      </c>
      <c r="N159" s="7">
        <f t="shared" ca="1" si="81"/>
        <v>24.957591855768815</v>
      </c>
      <c r="O159" s="7">
        <f t="shared" ca="1" si="81"/>
        <v>23.132021240353289</v>
      </c>
      <c r="P159" s="7">
        <f t="shared" ca="1" si="81"/>
        <v>21.261193538473581</v>
      </c>
      <c r="Q159" s="7">
        <f t="shared" ca="1" si="81"/>
        <v>19.334105292466283</v>
      </c>
      <c r="R159" s="7">
        <f t="shared" ca="1" si="81"/>
        <v>17.34864496925999</v>
      </c>
      <c r="S159" s="7">
        <f t="shared" ca="1" si="81"/>
        <v>15.311825210172469</v>
      </c>
      <c r="T159" s="7">
        <f t="shared" ca="1" si="81"/>
        <v>13.240039307962769</v>
      </c>
      <c r="U159" s="7">
        <f t="shared" ca="1" si="81"/>
        <v>11.159148227569021</v>
      </c>
      <c r="V159" s="7">
        <f t="shared" ca="1" si="81"/>
        <v>9.1042279803122916</v>
      </c>
      <c r="W159" s="7">
        <f t="shared" ca="1" si="81"/>
        <v>7.1188830203464377</v>
      </c>
      <c r="X159" s="7">
        <f t="shared" ca="1" si="81"/>
        <v>5.2541379768298571</v>
      </c>
      <c r="Y159" s="7">
        <f t="shared" ca="1" si="81"/>
        <v>3.5670265871075384</v>
      </c>
      <c r="Z159" s="7">
        <f t="shared" ca="1" si="81"/>
        <v>2.1190719323866039</v>
      </c>
      <c r="AA159" s="7">
        <f t="shared" ca="1" si="81"/>
        <v>0.97487369181237549</v>
      </c>
      <c r="AB159" s="8">
        <f t="shared" ca="1" si="81"/>
        <v>0.20097919755270333</v>
      </c>
    </row>
    <row r="160" spans="4:28" x14ac:dyDescent="0.25">
      <c r="D160" s="17"/>
      <c r="E160" s="2">
        <f t="shared" si="78"/>
        <v>3.700000000000002</v>
      </c>
      <c r="H160" s="8">
        <f t="shared" ref="H160:AB160" ca="1" si="82" xml:space="preserve"> -(D*(H61+nu*G60+H59+nu*I60+((-2*nu)-2)*H60))/delta^2</f>
        <v>55.361222400941521</v>
      </c>
      <c r="I160" s="7">
        <f t="shared" ca="1" si="82"/>
        <v>51.838369889085904</v>
      </c>
      <c r="J160" s="7">
        <f t="shared" ca="1" si="82"/>
        <v>48.636032889562649</v>
      </c>
      <c r="K160" s="7">
        <f t="shared" ca="1" si="82"/>
        <v>45.652724030011321</v>
      </c>
      <c r="L160" s="7">
        <f t="shared" ca="1" si="82"/>
        <v>42.801889522544961</v>
      </c>
      <c r="M160" s="7">
        <f t="shared" ca="1" si="82"/>
        <v>40.012384178133871</v>
      </c>
      <c r="N160" s="7">
        <f t="shared" ca="1" si="82"/>
        <v>37.227939788747243</v>
      </c>
      <c r="O160" s="7">
        <f t="shared" ca="1" si="82"/>
        <v>34.406271017981723</v>
      </c>
      <c r="P160" s="7">
        <f t="shared" ca="1" si="82"/>
        <v>31.51831024235344</v>
      </c>
      <c r="Q160" s="7">
        <f t="shared" ca="1" si="82"/>
        <v>28.547860725732694</v>
      </c>
      <c r="R160" s="7">
        <f t="shared" ca="1" si="82"/>
        <v>25.491737695465133</v>
      </c>
      <c r="S160" s="7">
        <f t="shared" ca="1" si="82"/>
        <v>22.360264289338023</v>
      </c>
      <c r="T160" s="7">
        <f t="shared" ca="1" si="82"/>
        <v>19.177841183313525</v>
      </c>
      <c r="U160" s="7">
        <f t="shared" ca="1" si="82"/>
        <v>15.983247102830639</v>
      </c>
      <c r="V160" s="7">
        <f t="shared" ca="1" si="82"/>
        <v>12.829368010825654</v>
      </c>
      <c r="W160" s="7">
        <f t="shared" ca="1" si="82"/>
        <v>9.78218534764199</v>
      </c>
      <c r="X160" s="7">
        <f t="shared" ca="1" si="82"/>
        <v>6.9190411080551577</v>
      </c>
      <c r="Y160" s="7">
        <f t="shared" ca="1" si="82"/>
        <v>4.3263851277737819</v>
      </c>
      <c r="Z160" s="7">
        <f t="shared" ca="1" si="82"/>
        <v>2.0973423244121165</v>
      </c>
      <c r="AA160" s="7">
        <f t="shared" ca="1" si="82"/>
        <v>0.32947599206021505</v>
      </c>
      <c r="AB160" s="8">
        <f t="shared" ca="1" si="82"/>
        <v>-0.87694328712408443</v>
      </c>
    </row>
    <row r="161" spans="4:28" x14ac:dyDescent="0.25">
      <c r="D161" s="17"/>
      <c r="E161" s="2">
        <f t="shared" si="78"/>
        <v>3.6000000000000019</v>
      </c>
      <c r="H161" s="8">
        <f t="shared" ref="H161:AB161" ca="1" si="83" xml:space="preserve"> -(D*(H62+nu*G61+H60+nu*I61+((-2*nu)-2)*H61))/delta^2</f>
        <v>74.32308914710265</v>
      </c>
      <c r="I161" s="7">
        <f t="shared" ca="1" si="83"/>
        <v>69.486635679990485</v>
      </c>
      <c r="J161" s="7">
        <f t="shared" ca="1" si="83"/>
        <v>65.071134693065943</v>
      </c>
      <c r="K161" s="7">
        <f t="shared" ca="1" si="83"/>
        <v>60.941346174825448</v>
      </c>
      <c r="L161" s="7">
        <f t="shared" ca="1" si="83"/>
        <v>56.983457243770097</v>
      </c>
      <c r="M161" s="7">
        <f t="shared" ca="1" si="83"/>
        <v>53.104978388320809</v>
      </c>
      <c r="N161" s="7">
        <f t="shared" ca="1" si="83"/>
        <v>49.233361272210651</v>
      </c>
      <c r="O161" s="7">
        <f t="shared" ca="1" si="83"/>
        <v>45.314285847597603</v>
      </c>
      <c r="P161" s="7">
        <f t="shared" ca="1" si="83"/>
        <v>41.310327850359116</v>
      </c>
      <c r="Q161" s="7">
        <f t="shared" ca="1" si="83"/>
        <v>37.200415828298283</v>
      </c>
      <c r="R161" s="7">
        <f t="shared" ca="1" si="83"/>
        <v>32.980157249973708</v>
      </c>
      <c r="S161" s="7">
        <f t="shared" ca="1" si="83"/>
        <v>28.662803210535877</v>
      </c>
      <c r="T161" s="7">
        <f t="shared" ca="1" si="83"/>
        <v>24.280388258789507</v>
      </c>
      <c r="U161" s="7">
        <f t="shared" ca="1" si="83"/>
        <v>19.884481313604866</v>
      </c>
      <c r="V161" s="7">
        <f t="shared" ca="1" si="83"/>
        <v>15.546047044154678</v>
      </c>
      <c r="W161" s="7">
        <f t="shared" ca="1" si="83"/>
        <v>11.354132419805657</v>
      </c>
      <c r="X161" s="7">
        <f t="shared" ca="1" si="83"/>
        <v>7.4134006600117246</v>
      </c>
      <c r="Y161" s="7">
        <f t="shared" ca="1" si="83"/>
        <v>3.8408433525686938</v>
      </c>
      <c r="Z161" s="7">
        <f t="shared" ca="1" si="83"/>
        <v>0.76221831075815827</v>
      </c>
      <c r="AA161" s="7">
        <f t="shared" ca="1" si="83"/>
        <v>-1.6911778832045039</v>
      </c>
      <c r="AB161" s="8">
        <f t="shared" ca="1" si="83"/>
        <v>-3.3849037551340451</v>
      </c>
    </row>
    <row r="162" spans="4:28" x14ac:dyDescent="0.25">
      <c r="D162" s="17"/>
      <c r="E162" s="2">
        <f t="shared" si="78"/>
        <v>3.5000000000000018</v>
      </c>
      <c r="H162" s="8">
        <f t="shared" ref="H162:AB162" ca="1" si="84" xml:space="preserve"> -(D*(H63+nu*G62+H61+nu*I62+((-2*nu)-2)*H62))/delta^2</f>
        <v>93.716479491744735</v>
      </c>
      <c r="I162" s="7">
        <f t="shared" ca="1" si="84"/>
        <v>87.443093006520854</v>
      </c>
      <c r="J162" s="7">
        <f t="shared" ca="1" si="84"/>
        <v>81.684665001640596</v>
      </c>
      <c r="K162" s="7">
        <f t="shared" ca="1" si="84"/>
        <v>76.272725115570935</v>
      </c>
      <c r="L162" s="7">
        <f t="shared" ca="1" si="84"/>
        <v>71.068081464839537</v>
      </c>
      <c r="M162" s="7">
        <f t="shared" ca="1" si="84"/>
        <v>65.959412137351805</v>
      </c>
      <c r="N162" s="7">
        <f t="shared" ca="1" si="84"/>
        <v>60.860389128493118</v>
      </c>
      <c r="O162" s="7">
        <f t="shared" ca="1" si="84"/>
        <v>55.706655416558171</v>
      </c>
      <c r="P162" s="7">
        <f t="shared" ca="1" si="84"/>
        <v>50.45363268269044</v>
      </c>
      <c r="Q162" s="7">
        <f t="shared" ca="1" si="84"/>
        <v>45.075713357642236</v>
      </c>
      <c r="R162" s="7">
        <f t="shared" ca="1" si="84"/>
        <v>39.566920985675949</v>
      </c>
      <c r="S162" s="7">
        <f t="shared" ca="1" si="84"/>
        <v>33.942665043893513</v>
      </c>
      <c r="T162" s="7">
        <f t="shared" ca="1" si="84"/>
        <v>28.241856770089736</v>
      </c>
      <c r="U162" s="7">
        <f t="shared" ca="1" si="84"/>
        <v>22.528486915998133</v>
      </c>
      <c r="V162" s="7">
        <f t="shared" ca="1" si="84"/>
        <v>16.891858107460543</v>
      </c>
      <c r="W162" s="7">
        <f t="shared" ca="1" si="84"/>
        <v>11.445003873622403</v>
      </c>
      <c r="X162" s="7">
        <f t="shared" ca="1" si="84"/>
        <v>6.3213191264123072</v>
      </c>
      <c r="Y162" s="7">
        <f t="shared" ca="1" si="84"/>
        <v>1.6699225892175162</v>
      </c>
      <c r="Z162" s="7">
        <f t="shared" ca="1" si="84"/>
        <v>-2.3493829055801205</v>
      </c>
      <c r="AA162" s="7">
        <f t="shared" ca="1" si="84"/>
        <v>-5.5705935276916314</v>
      </c>
      <c r="AB162" s="8">
        <f t="shared" ca="1" si="84"/>
        <v>-7.8246521710363766</v>
      </c>
    </row>
    <row r="163" spans="4:28" x14ac:dyDescent="0.25">
      <c r="D163" s="17"/>
      <c r="E163" s="2">
        <f t="shared" si="78"/>
        <v>3.4000000000000017</v>
      </c>
      <c r="H163" s="8">
        <f t="shared" ref="H163:AB163" ca="1" si="85" xml:space="preserve"> -(D*(H64+nu*G63+H62+nu*I63+((-2*nu)-2)*H63))/delta^2</f>
        <v>113.64319442886566</v>
      </c>
      <c r="I163" s="7">
        <f t="shared" ca="1" si="85"/>
        <v>105.77382080107971</v>
      </c>
      <c r="J163" s="7">
        <f t="shared" ca="1" si="85"/>
        <v>98.504113640968512</v>
      </c>
      <c r="K163" s="7">
        <f t="shared" ca="1" si="85"/>
        <v>91.633643316818748</v>
      </c>
      <c r="L163" s="7">
        <f t="shared" ca="1" si="85"/>
        <v>85.000862294295658</v>
      </c>
      <c r="M163" s="7">
        <f t="shared" ca="1" si="85"/>
        <v>78.479376613188037</v>
      </c>
      <c r="N163" s="7">
        <f t="shared" ca="1" si="85"/>
        <v>71.972697729163031</v>
      </c>
      <c r="O163" s="7">
        <f t="shared" ca="1" si="85"/>
        <v>65.409241052625859</v>
      </c>
      <c r="P163" s="7">
        <f t="shared" ca="1" si="85"/>
        <v>58.738871748199692</v>
      </c>
      <c r="Q163" s="7">
        <f t="shared" ca="1" si="85"/>
        <v>51.931736865471322</v>
      </c>
      <c r="R163" s="7">
        <f t="shared" ca="1" si="85"/>
        <v>44.97947903823038</v>
      </c>
      <c r="S163" s="7">
        <f t="shared" ca="1" si="85"/>
        <v>37.898261999147103</v>
      </c>
      <c r="T163" s="7">
        <f t="shared" ca="1" si="85"/>
        <v>30.732480636450749</v>
      </c>
      <c r="U163" s="7">
        <f t="shared" ca="1" si="85"/>
        <v>23.557746149771166</v>
      </c>
      <c r="V163" s="7">
        <f t="shared" ca="1" si="85"/>
        <v>16.481858348814356</v>
      </c>
      <c r="W163" s="7">
        <f t="shared" ca="1" si="85"/>
        <v>9.643004805627486</v>
      </c>
      <c r="X163" s="7">
        <f t="shared" ca="1" si="85"/>
        <v>3.2052107123993085</v>
      </c>
      <c r="Y163" s="7">
        <f t="shared" ca="1" si="85"/>
        <v>-2.6481455139677847</v>
      </c>
      <c r="Z163" s="7">
        <f t="shared" ca="1" si="85"/>
        <v>-7.7213918918034068</v>
      </c>
      <c r="AA163" s="7">
        <f t="shared" ca="1" si="85"/>
        <v>-11.81270591432081</v>
      </c>
      <c r="AB163" s="8">
        <f t="shared" ca="1" si="85"/>
        <v>-14.718145647644635</v>
      </c>
    </row>
    <row r="164" spans="4:28" x14ac:dyDescent="0.25">
      <c r="D164" s="17"/>
      <c r="E164" s="2">
        <f t="shared" si="78"/>
        <v>3.3000000000000016</v>
      </c>
      <c r="H164" s="8">
        <f t="shared" ref="H164:AB164" ca="1" si="86" xml:space="preserve"> -(D*(H65+nu*G64+H63+nu*I64+((-2*nu)-2)*H64))/delta^2</f>
        <v>134.19920480885253</v>
      </c>
      <c r="I164" s="7">
        <f t="shared" ca="1" si="86"/>
        <v>124.53587099044422</v>
      </c>
      <c r="J164" s="7">
        <f t="shared" ca="1" si="86"/>
        <v>115.54378332568783</v>
      </c>
      <c r="K164" s="7">
        <f t="shared" ca="1" si="86"/>
        <v>106.99304894769597</v>
      </c>
      <c r="L164" s="7">
        <f t="shared" ca="1" si="86"/>
        <v>98.704411687755425</v>
      </c>
      <c r="M164" s="7">
        <f t="shared" ca="1" si="86"/>
        <v>90.541850151471607</v>
      </c>
      <c r="N164" s="7">
        <f t="shared" ca="1" si="86"/>
        <v>82.403812621712603</v>
      </c>
      <c r="O164" s="7">
        <f t="shared" ca="1" si="86"/>
        <v>74.21535870008853</v>
      </c>
      <c r="P164" s="7">
        <f t="shared" ca="1" si="86"/>
        <v>65.922895480271691</v>
      </c>
      <c r="Q164" s="7">
        <f t="shared" ca="1" si="86"/>
        <v>57.492503278340358</v>
      </c>
      <c r="R164" s="7">
        <f t="shared" ca="1" si="86"/>
        <v>48.911998366334707</v>
      </c>
      <c r="S164" s="7">
        <f t="shared" ca="1" si="86"/>
        <v>40.19592275355059</v>
      </c>
      <c r="T164" s="7">
        <f t="shared" ca="1" si="86"/>
        <v>31.391772337729705</v>
      </c>
      <c r="U164" s="7">
        <f t="shared" ca="1" si="86"/>
        <v>22.585274443266123</v>
      </c>
      <c r="V164" s="7">
        <f t="shared" ca="1" si="86"/>
        <v>13.902665257489158</v>
      </c>
      <c r="W164" s="7">
        <f t="shared" ca="1" si="86"/>
        <v>5.5087341901592612</v>
      </c>
      <c r="X164" s="7">
        <f t="shared" ca="1" si="86"/>
        <v>-2.3993481765343043</v>
      </c>
      <c r="Y164" s="7">
        <f t="shared" ca="1" si="86"/>
        <v>-9.6011378835414511</v>
      </c>
      <c r="Z164" s="7">
        <f t="shared" ca="1" si="86"/>
        <v>-15.862827872107154</v>
      </c>
      <c r="AA164" s="7">
        <f t="shared" ca="1" si="86"/>
        <v>-20.945651758568406</v>
      </c>
      <c r="AB164" s="8">
        <f t="shared" ca="1" si="86"/>
        <v>-24.610972482506405</v>
      </c>
    </row>
    <row r="165" spans="4:28" x14ac:dyDescent="0.25">
      <c r="D165" s="17"/>
      <c r="E165" s="2">
        <f t="shared" si="78"/>
        <v>3.2000000000000015</v>
      </c>
      <c r="H165" s="8">
        <f t="shared" ref="H165:AB165" ca="1" si="87" xml:space="preserve"> -(D*(H66+nu*G65+H64+nu*I65+((-2*nu)-2)*H65))/delta^2</f>
        <v>155.47148209761318</v>
      </c>
      <c r="I165" s="7">
        <f t="shared" ca="1" si="87"/>
        <v>143.77364315436259</v>
      </c>
      <c r="J165" s="7">
        <f t="shared" ca="1" si="87"/>
        <v>132.8004033467947</v>
      </c>
      <c r="K165" s="7">
        <f t="shared" ca="1" si="87"/>
        <v>122.29674066656435</v>
      </c>
      <c r="L165" s="7">
        <f t="shared" ca="1" si="87"/>
        <v>112.07254017606429</v>
      </c>
      <c r="M165" s="7">
        <f t="shared" ca="1" si="87"/>
        <v>101.98980536984486</v>
      </c>
      <c r="N165" s="7">
        <f t="shared" ca="1" si="87"/>
        <v>91.948953212484213</v>
      </c>
      <c r="O165" s="7">
        <f t="shared" ca="1" si="87"/>
        <v>81.876978039789066</v>
      </c>
      <c r="P165" s="7">
        <f t="shared" ca="1" si="87"/>
        <v>71.719626047985997</v>
      </c>
      <c r="Q165" s="7">
        <f t="shared" ca="1" si="87"/>
        <v>61.438955822075236</v>
      </c>
      <c r="R165" s="7">
        <f t="shared" ca="1" si="87"/>
        <v>51.016603572238019</v>
      </c>
      <c r="S165" s="7">
        <f t="shared" ca="1" si="87"/>
        <v>40.461703545728014</v>
      </c>
      <c r="T165" s="7">
        <f t="shared" ca="1" si="87"/>
        <v>29.820998483004324</v>
      </c>
      <c r="U165" s="7">
        <f t="shared" ca="1" si="87"/>
        <v>19.187754537955129</v>
      </c>
      <c r="V165" s="7">
        <f t="shared" ca="1" si="87"/>
        <v>8.7062094859761192</v>
      </c>
      <c r="W165" s="7">
        <f t="shared" ca="1" si="87"/>
        <v>-1.4304497220482317</v>
      </c>
      <c r="X165" s="7">
        <f t="shared" ca="1" si="87"/>
        <v>-10.988581261024986</v>
      </c>
      <c r="Y165" s="7">
        <f t="shared" ca="1" si="87"/>
        <v>-19.707027000255856</v>
      </c>
      <c r="Z165" s="7">
        <f t="shared" ca="1" si="87"/>
        <v>-27.311130739250554</v>
      </c>
      <c r="AA165" s="7">
        <f t="shared" ca="1" si="87"/>
        <v>-33.52427176410346</v>
      </c>
      <c r="AB165" s="8">
        <f t="shared" ca="1" si="87"/>
        <v>-38.07422394965166</v>
      </c>
    </row>
    <row r="166" spans="4:28" x14ac:dyDescent="0.25">
      <c r="D166" s="17"/>
      <c r="E166" s="2">
        <f t="shared" si="78"/>
        <v>3.1000000000000014</v>
      </c>
      <c r="H166" s="8">
        <f t="shared" ref="H166:AB166" ca="1" si="88" xml:space="preserve"> -(D*(H67+nu*G66+H65+nu*I66+((-2*nu)-2)*H66))/delta^2</f>
        <v>177.53345454225104</v>
      </c>
      <c r="I166" s="7">
        <f t="shared" ca="1" si="88"/>
        <v>163.51416990634348</v>
      </c>
      <c r="J166" s="7">
        <f t="shared" ca="1" si="88"/>
        <v>150.24790202366512</v>
      </c>
      <c r="K166" s="7">
        <f t="shared" ca="1" si="88"/>
        <v>137.46140625638839</v>
      </c>
      <c r="L166" s="7">
        <f t="shared" ca="1" si="88"/>
        <v>124.96339546429617</v>
      </c>
      <c r="M166" s="7">
        <f t="shared" ca="1" si="88"/>
        <v>112.62433410795907</v>
      </c>
      <c r="N166" s="7">
        <f t="shared" ca="1" si="88"/>
        <v>100.35612817183227</v>
      </c>
      <c r="O166" s="7">
        <f t="shared" ca="1" si="88"/>
        <v>88.094925247348328</v>
      </c>
      <c r="P166" s="7">
        <f t="shared" ca="1" si="88"/>
        <v>75.789676793485</v>
      </c>
      <c r="Q166" s="7">
        <f t="shared" ca="1" si="88"/>
        <v>63.398434139318951</v>
      </c>
      <c r="R166" s="7">
        <f t="shared" ca="1" si="88"/>
        <v>50.893147531974947</v>
      </c>
      <c r="S166" s="7">
        <f t="shared" ca="1" si="88"/>
        <v>38.271808014205874</v>
      </c>
      <c r="T166" s="7">
        <f t="shared" ca="1" si="88"/>
        <v>25.574439057120554</v>
      </c>
      <c r="U166" s="7">
        <f t="shared" ca="1" si="88"/>
        <v>12.897697167700978</v>
      </c>
      <c r="V166" s="7">
        <f t="shared" ca="1" si="88"/>
        <v>0.40282037569520618</v>
      </c>
      <c r="W166" s="7">
        <f t="shared" ca="1" si="88"/>
        <v>-11.686343117347654</v>
      </c>
      <c r="X166" s="7">
        <f t="shared" ca="1" si="88"/>
        <v>-23.095262095326902</v>
      </c>
      <c r="Y166" s="7">
        <f t="shared" ca="1" si="88"/>
        <v>-33.517367088701711</v>
      </c>
      <c r="Z166" s="7">
        <f t="shared" ca="1" si="88"/>
        <v>-42.634061027964165</v>
      </c>
      <c r="AA166" s="7">
        <f t="shared" ca="1" si="88"/>
        <v>-50.130595013114942</v>
      </c>
      <c r="AB166" s="8">
        <f t="shared" ca="1" si="88"/>
        <v>-55.703906980421458</v>
      </c>
    </row>
    <row r="167" spans="4:28" x14ac:dyDescent="0.25">
      <c r="D167" s="17"/>
      <c r="E167" s="2">
        <f t="shared" si="78"/>
        <v>3.0000000000000013</v>
      </c>
      <c r="H167" s="8">
        <f t="shared" ref="H167:AB167" ca="1" si="89" xml:space="preserve"> -(D*(H68+nu*G67+H66+nu*I67+((-2*nu)-2)*H67))/delta^2</f>
        <v>200.43865239977845</v>
      </c>
      <c r="I167" s="7">
        <f t="shared" ca="1" si="89"/>
        <v>183.76111922155093</v>
      </c>
      <c r="J167" s="7">
        <f t="shared" ca="1" si="89"/>
        <v>167.83141486616</v>
      </c>
      <c r="K167" s="7">
        <f t="shared" ca="1" si="89"/>
        <v>152.36834265922784</v>
      </c>
      <c r="L167" s="7">
        <f t="shared" ca="1" si="89"/>
        <v>137.19255334697522</v>
      </c>
      <c r="M167" s="7">
        <f t="shared" ca="1" si="89"/>
        <v>122.19673761582422</v>
      </c>
      <c r="N167" s="7">
        <f t="shared" ca="1" si="89"/>
        <v>107.3169298394794</v>
      </c>
      <c r="O167" s="7">
        <f t="shared" ca="1" si="89"/>
        <v>92.508303117813441</v>
      </c>
      <c r="P167" s="7">
        <f t="shared" ca="1" si="89"/>
        <v>77.728629412167479</v>
      </c>
      <c r="Q167" s="7">
        <f t="shared" ca="1" si="89"/>
        <v>62.932323771089216</v>
      </c>
      <c r="R167" s="7">
        <f t="shared" ca="1" si="89"/>
        <v>48.076875945965156</v>
      </c>
      <c r="S167" s="7">
        <f t="shared" ca="1" si="89"/>
        <v>33.140836871426906</v>
      </c>
      <c r="T167" s="7">
        <f t="shared" ca="1" si="89"/>
        <v>18.148607357512173</v>
      </c>
      <c r="U167" s="7">
        <f t="shared" ca="1" si="89"/>
        <v>3.1938596313661374</v>
      </c>
      <c r="V167" s="7">
        <f t="shared" ca="1" si="89"/>
        <v>-11.54697041048655</v>
      </c>
      <c r="W167" s="7">
        <f t="shared" ca="1" si="89"/>
        <v>-25.816447895050793</v>
      </c>
      <c r="X167" s="7">
        <f t="shared" ca="1" si="89"/>
        <v>-39.293255458618638</v>
      </c>
      <c r="Y167" s="7">
        <f t="shared" ca="1" si="89"/>
        <v>-51.619461944510824</v>
      </c>
      <c r="Z167" s="7">
        <f t="shared" ca="1" si="89"/>
        <v>-62.429324878302737</v>
      </c>
      <c r="AA167" s="7">
        <f t="shared" ca="1" si="89"/>
        <v>-71.371107070874828</v>
      </c>
      <c r="AB167" s="8">
        <f t="shared" ca="1" si="89"/>
        <v>-78.116463967177282</v>
      </c>
    </row>
    <row r="168" spans="4:28" x14ac:dyDescent="0.25">
      <c r="D168" s="17"/>
      <c r="E168" s="2">
        <f t="shared" si="78"/>
        <v>2.9000000000000012</v>
      </c>
      <c r="H168" s="8">
        <f t="shared" ref="H168:AB168" ca="1" si="90" xml:space="preserve"> -(D*(H69+nu*G68+H67+nu*I68+((-2*nu)-2)*H68))/delta^2</f>
        <v>224.21206897592484</v>
      </c>
      <c r="I168" s="7">
        <f t="shared" ca="1" si="90"/>
        <v>204.48740814662187</v>
      </c>
      <c r="J168" s="7">
        <f t="shared" ca="1" si="90"/>
        <v>185.46085205019043</v>
      </c>
      <c r="K168" s="7">
        <f t="shared" ca="1" si="90"/>
        <v>166.85759231073408</v>
      </c>
      <c r="L168" s="7">
        <f t="shared" ca="1" si="90"/>
        <v>148.5270994045967</v>
      </c>
      <c r="M168" s="7">
        <f t="shared" ca="1" si="90"/>
        <v>130.40173259727959</v>
      </c>
      <c r="N168" s="7">
        <f t="shared" ca="1" si="90"/>
        <v>112.45804361433551</v>
      </c>
      <c r="O168" s="7">
        <f t="shared" ca="1" si="90"/>
        <v>94.683765404380409</v>
      </c>
      <c r="P168" s="7">
        <f t="shared" ca="1" si="90"/>
        <v>77.054060074334544</v>
      </c>
      <c r="Q168" s="7">
        <f t="shared" ca="1" si="90"/>
        <v>59.5213966938935</v>
      </c>
      <c r="R168" s="7">
        <f t="shared" ca="1" si="90"/>
        <v>42.023008275440155</v>
      </c>
      <c r="S168" s="7">
        <f t="shared" ca="1" si="90"/>
        <v>24.506556408924961</v>
      </c>
      <c r="T168" s="7">
        <f t="shared" ca="1" si="90"/>
        <v>6.9679692884835998</v>
      </c>
      <c r="U168" s="7">
        <f t="shared" ca="1" si="90"/>
        <v>-10.511485081806583</v>
      </c>
      <c r="V168" s="7">
        <f t="shared" ca="1" si="90"/>
        <v>-27.74305143789223</v>
      </c>
      <c r="W168" s="7">
        <f t="shared" ca="1" si="90"/>
        <v>-44.431846268790686</v>
      </c>
      <c r="X168" s="7">
        <f t="shared" ca="1" si="90"/>
        <v>-60.201906836124195</v>
      </c>
      <c r="Y168" s="7">
        <f t="shared" ca="1" si="90"/>
        <v>-74.636638659255951</v>
      </c>
      <c r="Z168" s="7">
        <f t="shared" ca="1" si="90"/>
        <v>-87.320541426119803</v>
      </c>
      <c r="AA168" s="7">
        <f t="shared" ca="1" si="90"/>
        <v>-97.868867837950944</v>
      </c>
      <c r="AB168" s="8">
        <f t="shared" ca="1" si="90"/>
        <v>-105.93813334689213</v>
      </c>
    </row>
    <row r="169" spans="4:28" x14ac:dyDescent="0.25">
      <c r="D169" s="17"/>
      <c r="E169" s="2">
        <f t="shared" si="78"/>
        <v>2.8000000000000012</v>
      </c>
      <c r="H169" s="8">
        <f t="shared" ref="H169:AB169" ca="1" si="91" xml:space="preserve"> -(D*(H70+nu*G69+H68+nu*I69+((-2*nu)-2)*H69))/delta^2</f>
        <v>248.83880464249194</v>
      </c>
      <c r="I169" s="7">
        <f t="shared" ca="1" si="91"/>
        <v>225.62651001075835</v>
      </c>
      <c r="J169" s="7">
        <f t="shared" ca="1" si="91"/>
        <v>203.00473554310048</v>
      </c>
      <c r="K169" s="7">
        <f t="shared" ca="1" si="91"/>
        <v>180.72383708099977</v>
      </c>
      <c r="L169" s="7">
        <f t="shared" ca="1" si="91"/>
        <v>158.68255364421387</v>
      </c>
      <c r="M169" s="7">
        <f t="shared" ca="1" si="91"/>
        <v>136.87388039803082</v>
      </c>
      <c r="N169" s="7">
        <f t="shared" ca="1" si="91"/>
        <v>115.33545377358811</v>
      </c>
      <c r="O169" s="7">
        <f t="shared" ca="1" si="91"/>
        <v>94.106064288971567</v>
      </c>
      <c r="P169" s="7">
        <f t="shared" ca="1" si="91"/>
        <v>73.19181436845966</v>
      </c>
      <c r="Q169" s="7">
        <f t="shared" ca="1" si="91"/>
        <v>52.548283797349029</v>
      </c>
      <c r="R169" s="7">
        <f t="shared" ca="1" si="91"/>
        <v>32.086716573101789</v>
      </c>
      <c r="S169" s="7">
        <f t="shared" ca="1" si="91"/>
        <v>11.708948312333197</v>
      </c>
      <c r="T169" s="7">
        <f t="shared" ca="1" si="91"/>
        <v>-8.6354611300641277</v>
      </c>
      <c r="U169" s="7">
        <f t="shared" ca="1" si="91"/>
        <v>-28.891008316787975</v>
      </c>
      <c r="V169" s="7">
        <f t="shared" ca="1" si="91"/>
        <v>-48.860876317476936</v>
      </c>
      <c r="W169" s="7">
        <f t="shared" ca="1" si="91"/>
        <v>-68.207647541549605</v>
      </c>
      <c r="X169" s="7">
        <f t="shared" ca="1" si="91"/>
        <v>-86.490400818412127</v>
      </c>
      <c r="Y169" s="7">
        <f t="shared" ca="1" si="91"/>
        <v>-103.22548176192461</v>
      </c>
      <c r="Z169" s="7">
        <f t="shared" ca="1" si="91"/>
        <v>-117.94725238069674</v>
      </c>
      <c r="AA169" s="7">
        <f t="shared" ca="1" si="91"/>
        <v>-130.24735673479657</v>
      </c>
      <c r="AB169" s="8">
        <f t="shared" ca="1" si="91"/>
        <v>-139.78459737661154</v>
      </c>
    </row>
    <row r="170" spans="4:28" x14ac:dyDescent="0.25">
      <c r="D170" s="17"/>
      <c r="E170" s="2">
        <f t="shared" si="78"/>
        <v>2.7000000000000011</v>
      </c>
      <c r="H170" s="8">
        <f t="shared" ref="H170:AB170" ca="1" si="92" xml:space="preserve"> -(D*(H71+nu*G70+H69+nu*I70+((-2*nu)-2)*H70))/delta^2</f>
        <v>274.24975144689034</v>
      </c>
      <c r="I170" s="7">
        <f t="shared" ca="1" si="92"/>
        <v>247.06286261487662</v>
      </c>
      <c r="J170" s="7">
        <f t="shared" ca="1" si="92"/>
        <v>220.2855500310915</v>
      </c>
      <c r="K170" s="7">
        <f t="shared" ca="1" si="92"/>
        <v>193.71619668931234</v>
      </c>
      <c r="L170" s="7">
        <f t="shared" ca="1" si="92"/>
        <v>167.32561787054655</v>
      </c>
      <c r="M170" s="7">
        <f t="shared" ca="1" si="92"/>
        <v>141.1907826675432</v>
      </c>
      <c r="N170" s="7">
        <f t="shared" ca="1" si="92"/>
        <v>115.43492336182808</v>
      </c>
      <c r="O170" s="7">
        <f t="shared" ca="1" si="92"/>
        <v>90.172734424165412</v>
      </c>
      <c r="P170" s="7">
        <f t="shared" ca="1" si="92"/>
        <v>65.462931994408422</v>
      </c>
      <c r="Q170" s="7">
        <f t="shared" ca="1" si="92"/>
        <v>41.276592307406027</v>
      </c>
      <c r="R170" s="7">
        <f t="shared" ca="1" si="92"/>
        <v>17.496167207448643</v>
      </c>
      <c r="S170" s="7">
        <f t="shared" ca="1" si="92"/>
        <v>-6.0403098553683021</v>
      </c>
      <c r="T170" s="7">
        <f t="shared" ca="1" si="92"/>
        <v>-29.453416738342092</v>
      </c>
      <c r="U170" s="7">
        <f t="shared" ca="1" si="92"/>
        <v>-52.73126901386884</v>
      </c>
      <c r="V170" s="7">
        <f t="shared" ca="1" si="92"/>
        <v>-75.674922329341541</v>
      </c>
      <c r="W170" s="7">
        <f t="shared" ca="1" si="92"/>
        <v>-97.898176478551534</v>
      </c>
      <c r="X170" s="7">
        <f t="shared" ca="1" si="92"/>
        <v>-118.88221673042089</v>
      </c>
      <c r="Y170" s="7">
        <f t="shared" ca="1" si="92"/>
        <v>-138.06798213729033</v>
      </c>
      <c r="Z170" s="7">
        <f t="shared" ca="1" si="92"/>
        <v>-154.94510260595044</v>
      </c>
      <c r="AA170" s="7">
        <f t="shared" ca="1" si="92"/>
        <v>-169.10103999972654</v>
      </c>
      <c r="AB170" s="8">
        <f t="shared" ca="1" si="92"/>
        <v>-180.22544722043389</v>
      </c>
    </row>
    <row r="171" spans="4:28" x14ac:dyDescent="0.25">
      <c r="D171" s="17"/>
      <c r="E171" s="2">
        <f t="shared" si="78"/>
        <v>2.600000000000001</v>
      </c>
      <c r="H171" s="8">
        <f t="shared" ref="H171:AB171" ca="1" si="93" xml:space="preserve"> -(D*(H72+nu*G71+H70+nu*I71+((-2*nu)-2)*H71))/delta^2</f>
        <v>300.30451491304206</v>
      </c>
      <c r="I171" s="7">
        <f t="shared" ca="1" si="93"/>
        <v>268.62226633033288</v>
      </c>
      <c r="J171" s="7">
        <f t="shared" ca="1" si="93"/>
        <v>237.07846673490519</v>
      </c>
      <c r="K171" s="7">
        <f t="shared" ca="1" si="93"/>
        <v>205.54497063334762</v>
      </c>
      <c r="L171" s="7">
        <f t="shared" ca="1" si="93"/>
        <v>174.08709367940938</v>
      </c>
      <c r="M171" s="7">
        <f t="shared" ca="1" si="93"/>
        <v>142.88858662287419</v>
      </c>
      <c r="N171" s="7">
        <f t="shared" ca="1" si="93"/>
        <v>112.18489114835133</v>
      </c>
      <c r="O171" s="7">
        <f t="shared" ca="1" si="93"/>
        <v>82.198454692062896</v>
      </c>
      <c r="P171" s="7">
        <f t="shared" ca="1" si="93"/>
        <v>53.074619484255358</v>
      </c>
      <c r="Q171" s="7">
        <f t="shared" ca="1" si="93"/>
        <v>24.826756392922668</v>
      </c>
      <c r="R171" s="7">
        <f t="shared" ca="1" si="93"/>
        <v>-2.6848450365380372</v>
      </c>
      <c r="S171" s="7">
        <f t="shared" ca="1" si="93"/>
        <v>-29.704610397139732</v>
      </c>
      <c r="T171" s="7">
        <f t="shared" ca="1" si="93"/>
        <v>-56.452378206960439</v>
      </c>
      <c r="U171" s="7">
        <f t="shared" ca="1" si="93"/>
        <v>-82.981008686715796</v>
      </c>
      <c r="V171" s="7">
        <f t="shared" ca="1" si="93"/>
        <v>-109.09726438596432</v>
      </c>
      <c r="W171" s="7">
        <f t="shared" ca="1" si="93"/>
        <v>-134.36046932519554</v>
      </c>
      <c r="X171" s="7">
        <f t="shared" ca="1" si="93"/>
        <v>-158.15950181872827</v>
      </c>
      <c r="Y171" s="7">
        <f t="shared" ca="1" si="93"/>
        <v>-179.85473321463982</v>
      </c>
      <c r="Z171" s="7">
        <f t="shared" ca="1" si="93"/>
        <v>-198.90962022015708</v>
      </c>
      <c r="AA171" s="7">
        <f t="shared" ca="1" si="93"/>
        <v>-214.94478260915363</v>
      </c>
      <c r="AB171" s="8">
        <f t="shared" ca="1" si="93"/>
        <v>-227.72533562534161</v>
      </c>
    </row>
    <row r="172" spans="4:28" x14ac:dyDescent="0.25">
      <c r="D172" s="17"/>
      <c r="E172" s="2">
        <f t="shared" si="78"/>
        <v>2.5000000000000009</v>
      </c>
      <c r="H172" s="8">
        <f t="shared" ref="H172:AB172" ca="1" si="94" xml:space="preserve"> -(D*(H73+nu*G72+H71+nu*I72+((-2*nu)-2)*H72))/delta^2</f>
        <v>326.77256350625737</v>
      </c>
      <c r="I172" s="7">
        <f t="shared" ca="1" si="94"/>
        <v>290.06375828536068</v>
      </c>
      <c r="J172" s="7">
        <f t="shared" ca="1" si="94"/>
        <v>253.11578340472974</v>
      </c>
      <c r="K172" s="7">
        <f t="shared" ca="1" si="94"/>
        <v>215.89899590803668</v>
      </c>
      <c r="L172" s="7">
        <f t="shared" ca="1" si="94"/>
        <v>178.59057556207756</v>
      </c>
      <c r="M172" s="7">
        <f t="shared" ca="1" si="94"/>
        <v>141.49778618848759</v>
      </c>
      <c r="N172" s="7">
        <f t="shared" ca="1" si="94"/>
        <v>104.99186487184278</v>
      </c>
      <c r="O172" s="7">
        <f t="shared" ca="1" si="94"/>
        <v>69.439589548701946</v>
      </c>
      <c r="P172" s="7">
        <f t="shared" ca="1" si="94"/>
        <v>35.123137018932766</v>
      </c>
      <c r="Q172" s="7">
        <f t="shared" ca="1" si="94"/>
        <v>2.1507784570001043</v>
      </c>
      <c r="R172" s="7">
        <f t="shared" ca="1" si="94"/>
        <v>-29.609469692586572</v>
      </c>
      <c r="S172" s="7">
        <f t="shared" ca="1" si="94"/>
        <v>-60.497136209411217</v>
      </c>
      <c r="T172" s="7">
        <f t="shared" ca="1" si="94"/>
        <v>-90.86098095994636</v>
      </c>
      <c r="U172" s="7">
        <f t="shared" ca="1" si="94"/>
        <v>-120.83566775847289</v>
      </c>
      <c r="V172" s="7">
        <f t="shared" ca="1" si="94"/>
        <v>-150.24343712467052</v>
      </c>
      <c r="W172" s="7">
        <f t="shared" ca="1" si="94"/>
        <v>-178.59149519237155</v>
      </c>
      <c r="X172" s="7">
        <f t="shared" ca="1" si="94"/>
        <v>-205.16573479566466</v>
      </c>
      <c r="Y172" s="7">
        <f t="shared" ca="1" si="94"/>
        <v>-229.25141298907027</v>
      </c>
      <c r="Z172" s="7">
        <f t="shared" ca="1" si="94"/>
        <v>-250.3323891581457</v>
      </c>
      <c r="AA172" s="7">
        <f t="shared" ca="1" si="94"/>
        <v>-268.13016241129139</v>
      </c>
      <c r="AB172" s="8">
        <f t="shared" ca="1" si="94"/>
        <v>-282.55050088017845</v>
      </c>
    </row>
    <row r="173" spans="4:28" x14ac:dyDescent="0.25">
      <c r="D173" s="17"/>
      <c r="E173" s="2">
        <f t="shared" si="78"/>
        <v>2.4000000000000008</v>
      </c>
      <c r="H173" s="8">
        <f t="shared" ref="H173:AB173" ca="1" si="95" xml:space="preserve"> -(D*(H74+nu*G73+H72+nu*I73+((-2*nu)-2)*H73))/delta^2</f>
        <v>353.31480600068068</v>
      </c>
      <c r="I173" s="7">
        <f t="shared" ca="1" si="95"/>
        <v>311.07500906052763</v>
      </c>
      <c r="J173" s="7">
        <f t="shared" ca="1" si="95"/>
        <v>268.09934167140284</v>
      </c>
      <c r="K173" s="7">
        <f t="shared" ca="1" si="95"/>
        <v>224.47693186432471</v>
      </c>
      <c r="L173" s="7">
        <f t="shared" ca="1" si="95"/>
        <v>180.50274110110794</v>
      </c>
      <c r="M173" s="7">
        <f t="shared" ca="1" si="95"/>
        <v>136.60945064478861</v>
      </c>
      <c r="N173" s="7">
        <f t="shared" ca="1" si="95"/>
        <v>93.313862432459118</v>
      </c>
      <c r="O173" s="7">
        <f t="shared" ca="1" si="95"/>
        <v>51.158441742179477</v>
      </c>
      <c r="P173" s="7">
        <f t="shared" ca="1" si="95"/>
        <v>10.626560799008747</v>
      </c>
      <c r="Q173" s="7">
        <f t="shared" ca="1" si="95"/>
        <v>-27.98568819226648</v>
      </c>
      <c r="R173" s="7">
        <f t="shared" ca="1" si="95"/>
        <v>-64.721239342107751</v>
      </c>
      <c r="S173" s="7">
        <f t="shared" ca="1" si="95"/>
        <v>-100.00454244189893</v>
      </c>
      <c r="T173" s="7">
        <f t="shared" ca="1" si="95"/>
        <v>-134.32635269933729</v>
      </c>
      <c r="U173" s="7">
        <f t="shared" ca="1" si="95"/>
        <v>-167.89099523569575</v>
      </c>
      <c r="V173" s="7">
        <f t="shared" ca="1" si="95"/>
        <v>-200.5475916616231</v>
      </c>
      <c r="W173" s="7">
        <f t="shared" ca="1" si="95"/>
        <v>-231.78627325477851</v>
      </c>
      <c r="X173" s="7">
        <f t="shared" ca="1" si="95"/>
        <v>-260.79995923465566</v>
      </c>
      <c r="Y173" s="7">
        <f t="shared" ca="1" si="95"/>
        <v>-286.83204736325371</v>
      </c>
      <c r="Z173" s="7">
        <f t="shared" ca="1" si="95"/>
        <v>-309.49057699632795</v>
      </c>
      <c r="AA173" s="7">
        <f t="shared" ca="1" si="95"/>
        <v>-328.71190335421824</v>
      </c>
      <c r="AB173" s="8">
        <f t="shared" ca="1" si="95"/>
        <v>-344.62689146365256</v>
      </c>
    </row>
    <row r="174" spans="4:28" x14ac:dyDescent="0.25">
      <c r="D174" s="17"/>
      <c r="E174" s="2">
        <f t="shared" si="78"/>
        <v>2.3000000000000007</v>
      </c>
      <c r="H174" s="8">
        <f t="shared" ref="H174:AB174" ca="1" si="96" xml:space="preserve"> -(D*(H75+nu*G74+H73+nu*I74+((-2*nu)-2)*H74))/delta^2</f>
        <v>379.46933276513346</v>
      </c>
      <c r="I174" s="7">
        <f t="shared" ca="1" si="96"/>
        <v>331.2735080191938</v>
      </c>
      <c r="J174" s="7">
        <f t="shared" ca="1" si="96"/>
        <v>281.72187506422148</v>
      </c>
      <c r="K174" s="7">
        <f t="shared" ca="1" si="96"/>
        <v>231.03321247573243</v>
      </c>
      <c r="L174" s="7">
        <f t="shared" ca="1" si="96"/>
        <v>179.60832325667172</v>
      </c>
      <c r="M174" s="7">
        <f t="shared" ca="1" si="96"/>
        <v>127.98157651844861</v>
      </c>
      <c r="N174" s="7">
        <f t="shared" ca="1" si="96"/>
        <v>76.79323548348124</v>
      </c>
      <c r="O174" s="7">
        <f t="shared" ca="1" si="96"/>
        <v>26.7622087665222</v>
      </c>
      <c r="P174" s="7">
        <f t="shared" ca="1" si="96"/>
        <v>-21.371652166151993</v>
      </c>
      <c r="Q174" s="7">
        <f t="shared" ca="1" si="96"/>
        <v>-66.986985271024622</v>
      </c>
      <c r="R174" s="7">
        <f t="shared" ca="1" si="96"/>
        <v>-109.85238078209522</v>
      </c>
      <c r="S174" s="7">
        <f t="shared" ca="1" si="96"/>
        <v>-150.39937762983115</v>
      </c>
      <c r="T174" s="7">
        <f t="shared" ca="1" si="96"/>
        <v>-189.20414550079016</v>
      </c>
      <c r="U174" s="7">
        <f t="shared" ca="1" si="96"/>
        <v>-226.43108752890319</v>
      </c>
      <c r="V174" s="7">
        <f t="shared" ca="1" si="96"/>
        <v>-261.96843641949044</v>
      </c>
      <c r="W174" s="7">
        <f t="shared" ca="1" si="96"/>
        <v>-295.42369453561156</v>
      </c>
      <c r="X174" s="7">
        <f t="shared" ca="1" si="96"/>
        <v>-325.97935685959811</v>
      </c>
      <c r="Y174" s="7">
        <f t="shared" ca="1" si="96"/>
        <v>-352.94222134820183</v>
      </c>
      <c r="Z174" s="7">
        <f t="shared" ca="1" si="96"/>
        <v>-376.25833891892819</v>
      </c>
      <c r="AA174" s="7">
        <f t="shared" ca="1" si="96"/>
        <v>-396.24461688243588</v>
      </c>
      <c r="AB174" s="8">
        <f t="shared" ca="1" si="96"/>
        <v>-413.33829140390998</v>
      </c>
    </row>
    <row r="175" spans="4:28" x14ac:dyDescent="0.25">
      <c r="D175" s="17"/>
      <c r="E175" s="2">
        <f t="shared" si="78"/>
        <v>2.2000000000000006</v>
      </c>
      <c r="H175" s="8">
        <f t="shared" ref="H175:AB175" ca="1" si="97" xml:space="preserve"> -(D*(H76+nu*G75+H74+nu*I75+((-2*nu)-2)*H75))/delta^2</f>
        <v>404.64652670180641</v>
      </c>
      <c r="I175" s="7">
        <f t="shared" ca="1" si="97"/>
        <v>350.21528340416938</v>
      </c>
      <c r="J175" s="7">
        <f t="shared" ca="1" si="97"/>
        <v>293.69508813929275</v>
      </c>
      <c r="K175" s="7">
        <f t="shared" ca="1" si="97"/>
        <v>235.43321534418274</v>
      </c>
      <c r="L175" s="7">
        <f t="shared" ca="1" si="97"/>
        <v>175.90403506436348</v>
      </c>
      <c r="M175" s="7">
        <f t="shared" ca="1" si="97"/>
        <v>115.68678266402796</v>
      </c>
      <c r="N175" s="7">
        <f t="shared" ca="1" si="97"/>
        <v>55.47018002884311</v>
      </c>
      <c r="O175" s="7">
        <f t="shared" ca="1" si="97"/>
        <v>-3.9264705634868555</v>
      </c>
      <c r="P175" s="7">
        <f t="shared" ca="1" si="97"/>
        <v>-61.535777039852412</v>
      </c>
      <c r="Q175" s="7">
        <f t="shared" ca="1" si="97"/>
        <v>-116.2933079635764</v>
      </c>
      <c r="R175" s="7">
        <f t="shared" ca="1" si="97"/>
        <v>-167.34186954655263</v>
      </c>
      <c r="S175" s="7">
        <f t="shared" ca="1" si="97"/>
        <v>-214.82685682249132</v>
      </c>
      <c r="T175" s="7">
        <f t="shared" ca="1" si="97"/>
        <v>-259.11063764734428</v>
      </c>
      <c r="U175" s="7">
        <f t="shared" ca="1" si="97"/>
        <v>-299.98001273670951</v>
      </c>
      <c r="V175" s="7">
        <f t="shared" ca="1" si="97"/>
        <v>-337.37399885428329</v>
      </c>
      <c r="W175" s="7">
        <f t="shared" ca="1" si="97"/>
        <v>-371.37919594748405</v>
      </c>
      <c r="X175" s="7">
        <f t="shared" ca="1" si="97"/>
        <v>-401.49298805637653</v>
      </c>
      <c r="Y175" s="7">
        <f t="shared" ca="1" si="97"/>
        <v>-427.40807443810019</v>
      </c>
      <c r="Z175" s="7">
        <f t="shared" ca="1" si="97"/>
        <v>-449.79281034849532</v>
      </c>
      <c r="AA175" s="7">
        <f t="shared" ca="1" si="97"/>
        <v>-469.49750459856494</v>
      </c>
      <c r="AB175" s="8">
        <f t="shared" ca="1" si="97"/>
        <v>-487.26899636023563</v>
      </c>
    </row>
    <row r="176" spans="4:28" x14ac:dyDescent="0.25">
      <c r="D176" s="17"/>
      <c r="E176" s="2">
        <f t="shared" si="78"/>
        <v>2.1000000000000005</v>
      </c>
      <c r="H176" s="8">
        <f t="shared" ref="H176:AB176" ca="1" si="98" xml:space="preserve"> -(D*(H77+nu*G76+H75+nu*I76+((-2*nu)-2)*H76))/delta^2</f>
        <v>428.13934115990844</v>
      </c>
      <c r="I176" s="7">
        <f t="shared" ca="1" si="98"/>
        <v>367.41141025017362</v>
      </c>
      <c r="J176" s="7">
        <f t="shared" ca="1" si="98"/>
        <v>303.77747385545769</v>
      </c>
      <c r="K176" s="7">
        <f t="shared" ca="1" si="98"/>
        <v>237.70209203189472</v>
      </c>
      <c r="L176" s="7">
        <f t="shared" ca="1" si="98"/>
        <v>169.68765640929146</v>
      </c>
      <c r="M176" s="7">
        <f t="shared" ca="1" si="98"/>
        <v>100.2759860944055</v>
      </c>
      <c r="N176" s="7">
        <f t="shared" ca="1" si="98"/>
        <v>30.072969295749502</v>
      </c>
      <c r="O176" s="7">
        <f t="shared" ca="1" si="98"/>
        <v>-40.199593474022187</v>
      </c>
      <c r="P176" s="7">
        <f t="shared" ca="1" si="98"/>
        <v>-109.6088838884114</v>
      </c>
      <c r="Q176" s="7">
        <f t="shared" ca="1" si="98"/>
        <v>-176.85355246035311</v>
      </c>
      <c r="R176" s="7">
        <f t="shared" ca="1" si="98"/>
        <v>-240.14218786403893</v>
      </c>
      <c r="S176" s="7">
        <f t="shared" ca="1" si="98"/>
        <v>-298.20055264602638</v>
      </c>
      <c r="T176" s="7">
        <f t="shared" ca="1" si="98"/>
        <v>-349.97024980840712</v>
      </c>
      <c r="U176" s="7">
        <f t="shared" ca="1" si="98"/>
        <v>-394.35121436079675</v>
      </c>
      <c r="V176" s="7">
        <f t="shared" ca="1" si="98"/>
        <v>-431.34252371496132</v>
      </c>
      <c r="W176" s="7">
        <f t="shared" ca="1" si="98"/>
        <v>-462.03851128056709</v>
      </c>
      <c r="X176" s="7">
        <f t="shared" ca="1" si="98"/>
        <v>-487.48027297977092</v>
      </c>
      <c r="Y176" s="7">
        <f t="shared" ca="1" si="98"/>
        <v>-508.90593044409167</v>
      </c>
      <c r="Z176" s="7">
        <f t="shared" ca="1" si="98"/>
        <v>-528.04615162677499</v>
      </c>
      <c r="AA176" s="7">
        <f t="shared" ca="1" si="98"/>
        <v>-546.11527501093315</v>
      </c>
      <c r="AB176" s="8">
        <f t="shared" ca="1" si="98"/>
        <v>-563.94303500344711</v>
      </c>
    </row>
    <row r="177" spans="4:28" x14ac:dyDescent="0.25">
      <c r="D177" s="17"/>
      <c r="E177" s="2">
        <f t="shared" si="78"/>
        <v>2.0000000000000004</v>
      </c>
      <c r="H177" s="8">
        <f t="shared" ref="H177:AB177" ca="1" si="99" xml:space="preserve"> -(D*(H78+nu*G77+H76+nu*I77+((-2*nu)-2)*H77))/delta^2</f>
        <v>449.15314547823152</v>
      </c>
      <c r="I177" s="7">
        <f t="shared" ca="1" si="99"/>
        <v>382.35050849913387</v>
      </c>
      <c r="J177" s="7">
        <f t="shared" ca="1" si="99"/>
        <v>311.79076230656443</v>
      </c>
      <c r="K177" s="7">
        <f t="shared" ca="1" si="99"/>
        <v>238.04153039603156</v>
      </c>
      <c r="L177" s="7">
        <f t="shared" ca="1" si="99"/>
        <v>161.59342469529577</v>
      </c>
      <c r="M177" s="7">
        <f t="shared" ca="1" si="99"/>
        <v>82.878029198598611</v>
      </c>
      <c r="N177" s="7">
        <f t="shared" ca="1" si="99"/>
        <v>2.2860602160491634</v>
      </c>
      <c r="O177" s="7">
        <f t="shared" ca="1" si="99"/>
        <v>-79.817717455344209</v>
      </c>
      <c r="P177" s="7">
        <f t="shared" ca="1" si="99"/>
        <v>-163.08604625064709</v>
      </c>
      <c r="Q177" s="7">
        <f t="shared" ca="1" si="99"/>
        <v>-247.19015680452583</v>
      </c>
      <c r="R177" s="9">
        <f t="shared" ca="1" si="99"/>
        <v>-331.8319749586633</v>
      </c>
      <c r="S177" s="9">
        <f t="shared" ca="1" si="99"/>
        <v>-409.26668196050059</v>
      </c>
      <c r="T177" s="9">
        <f t="shared" ca="1" si="99"/>
        <v>-471.83081060853345</v>
      </c>
      <c r="U177" s="9">
        <f t="shared" ca="1" si="99"/>
        <v>-519.46764282442268</v>
      </c>
      <c r="V177" s="9">
        <f t="shared" ca="1" si="99"/>
        <v>-552.24130808914049</v>
      </c>
      <c r="W177" s="9">
        <f t="shared" ca="1" si="99"/>
        <v>-570.33426663794637</v>
      </c>
      <c r="X177" s="7">
        <f t="shared" ca="1" si="99"/>
        <v>-581.52815645300507</v>
      </c>
      <c r="Y177" s="7">
        <f t="shared" ca="1" si="99"/>
        <v>-593.6733372815753</v>
      </c>
      <c r="Z177" s="7">
        <f t="shared" ca="1" si="99"/>
        <v>-607.15592608540908</v>
      </c>
      <c r="AA177" s="7">
        <f t="shared" ca="1" si="99"/>
        <v>-622.37103382024634</v>
      </c>
      <c r="AB177" s="8">
        <f t="shared" ca="1" si="99"/>
        <v>-639.70782004950411</v>
      </c>
    </row>
    <row r="178" spans="4:28" x14ac:dyDescent="0.25">
      <c r="D178" s="17"/>
      <c r="E178" s="2">
        <f t="shared" si="78"/>
        <v>1.9000000000000006</v>
      </c>
      <c r="H178" s="8">
        <f t="shared" ref="H178:AB178" ca="1" si="100" xml:space="preserve"> -(D*(H79+nu*G78+H77+nu*I78+((-2*nu)-2)*H78))/delta^2</f>
        <v>466.85539575320217</v>
      </c>
      <c r="I178" s="7">
        <f t="shared" ca="1" si="100"/>
        <v>394.52419296367151</v>
      </c>
      <c r="J178" s="7">
        <f t="shared" ca="1" si="100"/>
        <v>317.61549023242674</v>
      </c>
      <c r="K178" s="7">
        <f t="shared" ca="1" si="100"/>
        <v>236.79000941113318</v>
      </c>
      <c r="L178" s="7">
        <f t="shared" ca="1" si="100"/>
        <v>152.51334178052304</v>
      </c>
      <c r="M178" s="7">
        <f t="shared" ca="1" si="100"/>
        <v>65.092328950054224</v>
      </c>
      <c r="N178" s="7">
        <f t="shared" ca="1" si="100"/>
        <v>-25.311576583965685</v>
      </c>
      <c r="O178" s="7">
        <f t="shared" ca="1" si="100"/>
        <v>-118.70244888511196</v>
      </c>
      <c r="P178" s="7">
        <f t="shared" ca="1" si="100"/>
        <v>-215.32594394874377</v>
      </c>
      <c r="Q178" s="7">
        <f t="shared" ca="1" si="100"/>
        <v>-315.82684287663068</v>
      </c>
      <c r="R178" s="9">
        <f t="shared" ca="1" si="100"/>
        <v>-421.39440704347425</v>
      </c>
      <c r="S178" s="9">
        <f t="shared" ca="1" si="100"/>
        <v>-517.80213913685577</v>
      </c>
      <c r="T178" s="9">
        <f t="shared" ca="1" si="100"/>
        <v>-590.76961102365829</v>
      </c>
      <c r="U178" s="9">
        <f t="shared" ca="1" si="100"/>
        <v>-641.2756338765945</v>
      </c>
      <c r="V178" s="9">
        <f t="shared" ca="1" si="100"/>
        <v>-669.44875935370112</v>
      </c>
      <c r="W178" s="9">
        <f t="shared" ca="1" si="100"/>
        <v>-674.5662917168703</v>
      </c>
      <c r="X178" s="7">
        <f t="shared" ca="1" si="100"/>
        <v>-671.1616501859736</v>
      </c>
      <c r="Y178" s="7">
        <f t="shared" ca="1" si="100"/>
        <v>-673.70852672427725</v>
      </c>
      <c r="Z178" s="7">
        <f t="shared" ca="1" si="100"/>
        <v>-681.25518203283264</v>
      </c>
      <c r="AA178" s="7">
        <f t="shared" ca="1" si="100"/>
        <v>-693.37778245878496</v>
      </c>
      <c r="AB178" s="8">
        <f t="shared" ca="1" si="100"/>
        <v>-710.01912891382608</v>
      </c>
    </row>
    <row r="179" spans="4:28" x14ac:dyDescent="0.25">
      <c r="D179" s="17"/>
      <c r="E179" s="2">
        <f t="shared" si="78"/>
        <v>1.8000000000000005</v>
      </c>
      <c r="H179" s="8">
        <f t="shared" ref="H179:AB179" ca="1" si="101" xml:space="preserve"> -(D*(H80+nu*G79+H78+nu*I79+((-2*nu)-2)*H79))/delta^2</f>
        <v>480.43928036534106</v>
      </c>
      <c r="I179" s="7">
        <f t="shared" ca="1" si="101"/>
        <v>403.45343822704569</v>
      </c>
      <c r="J179" s="7">
        <f t="shared" ca="1" si="101"/>
        <v>321.16780366758002</v>
      </c>
      <c r="K179" s="7">
        <f t="shared" ca="1" si="101"/>
        <v>234.33009338953664</v>
      </c>
      <c r="L179" s="7">
        <f t="shared" ca="1" si="101"/>
        <v>143.39432639369957</v>
      </c>
      <c r="M179" s="7">
        <f t="shared" ca="1" si="101"/>
        <v>48.586463728373083</v>
      </c>
      <c r="N179" s="7">
        <f t="shared" ca="1" si="101"/>
        <v>-50.057670358465302</v>
      </c>
      <c r="O179" s="7">
        <f t="shared" ca="1" si="101"/>
        <v>-152.67643073514452</v>
      </c>
      <c r="P179" s="7">
        <f t="shared" ca="1" si="101"/>
        <v>-259.57416877602446</v>
      </c>
      <c r="Q179" s="7">
        <f t="shared" ca="1" si="101"/>
        <v>-371.16371028694653</v>
      </c>
      <c r="R179" s="9">
        <f t="shared" ca="1" si="101"/>
        <v>-487.68315856165651</v>
      </c>
      <c r="S179" s="9">
        <f t="shared" ca="1" si="101"/>
        <v>-593.45272204636456</v>
      </c>
      <c r="T179" s="9">
        <f t="shared" ca="1" si="101"/>
        <v>-672.73440289824578</v>
      </c>
      <c r="U179" s="9">
        <f t="shared" ca="1" si="101"/>
        <v>-725.59578014641397</v>
      </c>
      <c r="V179" s="9">
        <f t="shared" ca="1" si="101"/>
        <v>-752.22327858476615</v>
      </c>
      <c r="W179" s="9">
        <f t="shared" ca="1" si="101"/>
        <v>-752.92240440865282</v>
      </c>
      <c r="X179" s="7">
        <f t="shared" ca="1" si="101"/>
        <v>-743.80454582696177</v>
      </c>
      <c r="Y179" s="7">
        <f t="shared" ca="1" si="101"/>
        <v>-740.92189805021428</v>
      </c>
      <c r="Z179" s="7">
        <f t="shared" ca="1" si="101"/>
        <v>-744.40352694948206</v>
      </c>
      <c r="AA179" s="7">
        <f t="shared" ca="1" si="101"/>
        <v>-754.18792509010677</v>
      </c>
      <c r="AB179" s="8">
        <f t="shared" ca="1" si="101"/>
        <v>-770.28075508155916</v>
      </c>
    </row>
    <row r="180" spans="4:28" x14ac:dyDescent="0.25">
      <c r="D180" s="17"/>
      <c r="E180" s="2">
        <f t="shared" si="78"/>
        <v>1.7000000000000004</v>
      </c>
      <c r="H180" s="8">
        <f t="shared" ref="H180:AB180" ca="1" si="102" xml:space="preserve"> -(D*(H81+nu*G80+H79+nu*I80+((-2*nu)-2)*H80))/delta^2</f>
        <v>489.19046311671144</v>
      </c>
      <c r="I180" s="7">
        <f t="shared" ca="1" si="102"/>
        <v>408.7160671427344</v>
      </c>
      <c r="J180" s="7">
        <f t="shared" ca="1" si="102"/>
        <v>322.3750828369599</v>
      </c>
      <c r="K180" s="7">
        <f t="shared" ca="1" si="102"/>
        <v>230.9922811105038</v>
      </c>
      <c r="L180" s="7">
        <f t="shared" ca="1" si="102"/>
        <v>135.0301248879297</v>
      </c>
      <c r="M180" s="7">
        <f t="shared" ca="1" si="102"/>
        <v>34.687682858185617</v>
      </c>
      <c r="N180" s="7">
        <f t="shared" ca="1" si="102"/>
        <v>-70.023363322341851</v>
      </c>
      <c r="O180" s="7">
        <f t="shared" ca="1" si="102"/>
        <v>-179.20663527501688</v>
      </c>
      <c r="P180" s="7">
        <f t="shared" ca="1" si="102"/>
        <v>-292.98632112933007</v>
      </c>
      <c r="Q180" s="7">
        <f t="shared" ca="1" si="102"/>
        <v>-411.34811599997278</v>
      </c>
      <c r="R180" s="9">
        <f t="shared" ca="1" si="102"/>
        <v>-533.88058680647202</v>
      </c>
      <c r="S180" s="9">
        <f t="shared" ca="1" si="102"/>
        <v>-644.56098010618939</v>
      </c>
      <c r="T180" s="9">
        <f t="shared" ca="1" si="102"/>
        <v>-727.37273160127518</v>
      </c>
      <c r="U180" s="9">
        <f t="shared" ca="1" si="102"/>
        <v>-781.96257306406494</v>
      </c>
      <c r="V180" s="9">
        <f t="shared" ca="1" si="102"/>
        <v>-808.56310560391626</v>
      </c>
      <c r="W180" s="9">
        <f t="shared" ca="1" si="102"/>
        <v>-807.99374483233635</v>
      </c>
      <c r="X180" s="7">
        <f t="shared" ca="1" si="102"/>
        <v>-796.7393345029277</v>
      </c>
      <c r="Y180" s="7">
        <f t="shared" ca="1" si="102"/>
        <v>-791.2919039739478</v>
      </c>
      <c r="Z180" s="7">
        <f t="shared" ca="1" si="102"/>
        <v>-792.52736322821283</v>
      </c>
      <c r="AA180" s="7">
        <f t="shared" ca="1" si="102"/>
        <v>-800.90540145710224</v>
      </c>
      <c r="AB180" s="8">
        <f t="shared" ca="1" si="102"/>
        <v>-816.69869918911343</v>
      </c>
    </row>
    <row r="181" spans="4:28" x14ac:dyDescent="0.25">
      <c r="D181" s="17"/>
      <c r="E181" s="2">
        <f t="shared" si="78"/>
        <v>1.6000000000000003</v>
      </c>
      <c r="H181" s="8">
        <f t="shared" ref="H181:AB181" ca="1" si="103" xml:space="preserve"> -(D*(H82+nu*G81+H80+nu*I81+((-2*nu)-2)*H81))/delta^2</f>
        <v>492.54563397120074</v>
      </c>
      <c r="I181" s="7">
        <f t="shared" ca="1" si="103"/>
        <v>409.97511369165551</v>
      </c>
      <c r="J181" s="7">
        <f t="shared" ca="1" si="103"/>
        <v>321.16738589365093</v>
      </c>
      <c r="K181" s="7">
        <f t="shared" ca="1" si="103"/>
        <v>227.00405529295503</v>
      </c>
      <c r="L181" s="7">
        <f t="shared" ca="1" si="103"/>
        <v>127.96554762867693</v>
      </c>
      <c r="M181" s="7">
        <f t="shared" ca="1" si="103"/>
        <v>24.255347953256642</v>
      </c>
      <c r="N181" s="7">
        <f t="shared" ca="1" si="103"/>
        <v>-84.093919009105392</v>
      </c>
      <c r="O181" s="7">
        <f t="shared" ca="1" si="103"/>
        <v>-197.1094182921538</v>
      </c>
      <c r="P181" s="7">
        <f t="shared" ca="1" si="103"/>
        <v>-314.74095533415152</v>
      </c>
      <c r="Q181" s="7">
        <f t="shared" ca="1" si="103"/>
        <v>-436.69032212653065</v>
      </c>
      <c r="R181" s="9">
        <f t="shared" ca="1" si="103"/>
        <v>-562.2516226958146</v>
      </c>
      <c r="S181" s="9">
        <f t="shared" ca="1" si="103"/>
        <v>-675.33026770305833</v>
      </c>
      <c r="T181" s="9">
        <f t="shared" ca="1" si="103"/>
        <v>-759.89892893304818</v>
      </c>
      <c r="U181" s="9">
        <f t="shared" ca="1" si="103"/>
        <v>-815.50046758105384</v>
      </c>
      <c r="V181" s="9">
        <f t="shared" ca="1" si="103"/>
        <v>-842.39824607240325</v>
      </c>
      <c r="W181" s="9">
        <f t="shared" ca="1" si="103"/>
        <v>-841.57733742166931</v>
      </c>
      <c r="X181" s="7">
        <f t="shared" ca="1" si="103"/>
        <v>-829.59568132055585</v>
      </c>
      <c r="Y181" s="7">
        <f t="shared" ca="1" si="103"/>
        <v>-823.07955083581635</v>
      </c>
      <c r="Z181" s="7">
        <f t="shared" ca="1" si="103"/>
        <v>-823.2601746278043</v>
      </c>
      <c r="AA181" s="7">
        <f t="shared" ca="1" si="103"/>
        <v>-830.93796264637501</v>
      </c>
      <c r="AB181" s="8">
        <f t="shared" ca="1" si="103"/>
        <v>-846.61246252030026</v>
      </c>
    </row>
    <row r="182" spans="4:28" x14ac:dyDescent="0.25">
      <c r="D182" s="17"/>
      <c r="E182" s="2">
        <f t="shared" si="78"/>
        <v>1.5000000000000002</v>
      </c>
      <c r="H182" s="8">
        <f t="shared" ref="H182:AB182" ca="1" si="104" xml:space="preserve"> -(D*(H83+nu*G82+H81+nu*I82+((-2*nu)-2)*H82))/delta^2</f>
        <v>490.1356743160851</v>
      </c>
      <c r="I182" s="7">
        <f t="shared" ca="1" si="104"/>
        <v>407.00469048335731</v>
      </c>
      <c r="J182" s="7">
        <f t="shared" ca="1" si="104"/>
        <v>317.48525682272549</v>
      </c>
      <c r="K182" s="7">
        <f t="shared" ca="1" si="104"/>
        <v>222.48541151556606</v>
      </c>
      <c r="L182" s="7">
        <f t="shared" ca="1" si="104"/>
        <v>122.49927122374456</v>
      </c>
      <c r="M182" s="7">
        <f t="shared" ca="1" si="104"/>
        <v>17.740409478867033</v>
      </c>
      <c r="N182" s="7">
        <f t="shared" ca="1" si="104"/>
        <v>-91.741218032876517</v>
      </c>
      <c r="O182" s="7">
        <f t="shared" ca="1" si="104"/>
        <v>-205.93527353467437</v>
      </c>
      <c r="P182" s="7">
        <f t="shared" ca="1" si="104"/>
        <v>-324.72296598904313</v>
      </c>
      <c r="Q182" s="7">
        <f t="shared" ca="1" si="104"/>
        <v>-447.71099814928721</v>
      </c>
      <c r="R182" s="9">
        <f t="shared" ca="1" si="104"/>
        <v>-574.11186437606295</v>
      </c>
      <c r="S182" s="9">
        <f t="shared" ca="1" si="104"/>
        <v>-687.82191508777578</v>
      </c>
      <c r="T182" s="9">
        <f t="shared" ca="1" si="104"/>
        <v>-772.82879569672093</v>
      </c>
      <c r="U182" s="9">
        <f t="shared" ca="1" si="104"/>
        <v>-828.66529122417603</v>
      </c>
      <c r="V182" s="9">
        <f t="shared" ca="1" si="104"/>
        <v>-855.60798618894682</v>
      </c>
      <c r="W182" s="9">
        <f t="shared" ca="1" si="104"/>
        <v>-854.67846516955979</v>
      </c>
      <c r="X182" s="7">
        <f t="shared" ca="1" si="104"/>
        <v>-842.44601065582413</v>
      </c>
      <c r="Y182" s="7">
        <f t="shared" ca="1" si="104"/>
        <v>-835.57176984801572</v>
      </c>
      <c r="Z182" s="7">
        <f t="shared" ca="1" si="104"/>
        <v>-835.39312106867726</v>
      </c>
      <c r="AA182" s="7">
        <f t="shared" ca="1" si="104"/>
        <v>-842.82789805602829</v>
      </c>
      <c r="AB182" s="8">
        <f t="shared" ca="1" si="104"/>
        <v>-858.464655536431</v>
      </c>
    </row>
    <row r="183" spans="4:28" x14ac:dyDescent="0.25">
      <c r="D183" s="17"/>
      <c r="E183" s="2">
        <f t="shared" si="78"/>
        <v>1.4000000000000001</v>
      </c>
      <c r="H183" s="8">
        <f t="shared" ref="H183:AB183" ca="1" si="105" xml:space="preserve"> -(D*(H84+nu*G83+H82+nu*I83+((-2*nu)-2)*H83))/delta^2</f>
        <v>481.81116281698399</v>
      </c>
      <c r="I183" s="7">
        <f t="shared" ca="1" si="105"/>
        <v>399.70829082354288</v>
      </c>
      <c r="J183" s="7">
        <f t="shared" ca="1" si="105"/>
        <v>311.29255384562731</v>
      </c>
      <c r="K183" s="7">
        <f t="shared" ca="1" si="105"/>
        <v>217.46394417114075</v>
      </c>
      <c r="L183" s="7">
        <f t="shared" ca="1" si="105"/>
        <v>118.72012507256417</v>
      </c>
      <c r="M183" s="7">
        <f t="shared" ca="1" si="105"/>
        <v>15.280102563055662</v>
      </c>
      <c r="N183" s="7">
        <f t="shared" ca="1" si="105"/>
        <v>-92.810120076082683</v>
      </c>
      <c r="O183" s="7">
        <f t="shared" ca="1" si="105"/>
        <v>-205.56677715378856</v>
      </c>
      <c r="P183" s="7">
        <f t="shared" ca="1" si="105"/>
        <v>-322.93139856615215</v>
      </c>
      <c r="Q183" s="7">
        <f t="shared" ca="1" si="105"/>
        <v>-444.60028472878992</v>
      </c>
      <c r="R183" s="9">
        <f t="shared" ca="1" si="105"/>
        <v>-569.86489620072166</v>
      </c>
      <c r="S183" s="9">
        <f t="shared" ca="1" si="105"/>
        <v>-682.6308554727417</v>
      </c>
      <c r="T183" s="9">
        <f t="shared" ca="1" si="105"/>
        <v>-766.87385431013934</v>
      </c>
      <c r="U183" s="9">
        <f t="shared" ca="1" si="105"/>
        <v>-822.14248050262847</v>
      </c>
      <c r="V183" s="9">
        <f t="shared" ca="1" si="105"/>
        <v>-848.70837386542053</v>
      </c>
      <c r="W183" s="9">
        <f t="shared" ca="1" si="105"/>
        <v>-847.56722823802363</v>
      </c>
      <c r="X183" s="7">
        <f t="shared" ca="1" si="105"/>
        <v>-835.28969547054453</v>
      </c>
      <c r="Y183" s="7">
        <f t="shared" ca="1" si="105"/>
        <v>-828.51656613096873</v>
      </c>
      <c r="Z183" s="7">
        <f t="shared" ca="1" si="105"/>
        <v>-828.4950853293218</v>
      </c>
      <c r="AA183" s="7">
        <f t="shared" ca="1" si="105"/>
        <v>-836.04286528454372</v>
      </c>
      <c r="AB183" s="8">
        <f t="shared" ca="1" si="105"/>
        <v>-851.67753288462154</v>
      </c>
    </row>
    <row r="184" spans="4:28" x14ac:dyDescent="0.25">
      <c r="D184" s="17"/>
      <c r="E184" s="2">
        <f t="shared" si="78"/>
        <v>1.3</v>
      </c>
      <c r="H184" s="8">
        <f t="shared" ref="H184:AB184" ca="1" si="106" xml:space="preserve"> -(D*(H85+nu*G84+H83+nu*I84+((-2*nu)-2)*H84))/delta^2</f>
        <v>467.65066364710162</v>
      </c>
      <c r="I184" s="7">
        <f t="shared" ca="1" si="106"/>
        <v>388.12543739897507</v>
      </c>
      <c r="J184" s="7">
        <f t="shared" ca="1" si="106"/>
        <v>302.58244676068148</v>
      </c>
      <c r="K184" s="7">
        <f t="shared" ca="1" si="106"/>
        <v>211.88344919935153</v>
      </c>
      <c r="L184" s="7">
        <f t="shared" ca="1" si="106"/>
        <v>116.52550606746399</v>
      </c>
      <c r="M184" s="7">
        <f t="shared" ca="1" si="106"/>
        <v>16.738775531789233</v>
      </c>
      <c r="N184" s="7">
        <f t="shared" ca="1" si="106"/>
        <v>-87.438314247734141</v>
      </c>
      <c r="O184" s="7">
        <f t="shared" ca="1" si="106"/>
        <v>-196.08757408866032</v>
      </c>
      <c r="P184" s="7">
        <f t="shared" ca="1" si="106"/>
        <v>-309.31671675263743</v>
      </c>
      <c r="Q184" s="7">
        <f t="shared" ca="1" si="106"/>
        <v>-427.10054525281231</v>
      </c>
      <c r="R184" s="9">
        <f t="shared" ca="1" si="106"/>
        <v>-549.02244185981328</v>
      </c>
      <c r="S184" s="9">
        <f t="shared" ca="1" si="106"/>
        <v>-659.06019084305024</v>
      </c>
      <c r="T184" s="9">
        <f t="shared" ca="1" si="106"/>
        <v>-741.20339686796387</v>
      </c>
      <c r="U184" s="9">
        <f t="shared" ca="1" si="106"/>
        <v>-795.1103923435976</v>
      </c>
      <c r="V184" s="9">
        <f t="shared" ca="1" si="106"/>
        <v>-821.03050079216189</v>
      </c>
      <c r="W184" s="9">
        <f t="shared" ca="1" si="106"/>
        <v>-819.80456602046172</v>
      </c>
      <c r="X184" s="7">
        <f t="shared" ca="1" si="106"/>
        <v>-807.94305710954563</v>
      </c>
      <c r="Y184" s="7">
        <f t="shared" ca="1" si="106"/>
        <v>-801.96724722446788</v>
      </c>
      <c r="Z184" s="7">
        <f t="shared" ca="1" si="106"/>
        <v>-802.78528868746639</v>
      </c>
      <c r="AA184" s="7">
        <f t="shared" ca="1" si="106"/>
        <v>-810.89147966764892</v>
      </c>
      <c r="AB184" s="8">
        <f t="shared" ca="1" si="106"/>
        <v>-826.59485622404031</v>
      </c>
    </row>
    <row r="185" spans="4:28" x14ac:dyDescent="0.25">
      <c r="D185" s="17"/>
      <c r="E185" s="2">
        <f t="shared" si="78"/>
        <v>1.2</v>
      </c>
      <c r="H185" s="8">
        <f t="shared" ref="H185:AB185" ca="1" si="107" xml:space="preserve"> -(D*(H86+nu*G85+H84+nu*I85+((-2*nu)-2)*H85))/delta^2</f>
        <v>447.95231676377165</v>
      </c>
      <c r="I185" s="7">
        <f t="shared" ca="1" si="107"/>
        <v>372.42517952549821</v>
      </c>
      <c r="J185" s="7">
        <f t="shared" ca="1" si="107"/>
        <v>291.37186316332065</v>
      </c>
      <c r="K185" s="7">
        <f t="shared" ca="1" si="107"/>
        <v>205.59608615157319</v>
      </c>
      <c r="L185" s="7">
        <f t="shared" ca="1" si="107"/>
        <v>115.60406087058912</v>
      </c>
      <c r="M185" s="7">
        <f t="shared" ca="1" si="107"/>
        <v>21.668486487042451</v>
      </c>
      <c r="N185" s="7">
        <f t="shared" ca="1" si="107"/>
        <v>-76.134733472602306</v>
      </c>
      <c r="O185" s="7">
        <f t="shared" ca="1" si="107"/>
        <v>-177.91137471565295</v>
      </c>
      <c r="P185" s="7">
        <f t="shared" ca="1" si="107"/>
        <v>-283.94127041710635</v>
      </c>
      <c r="Q185" s="7">
        <f t="shared" ca="1" si="107"/>
        <v>-394.62113637546906</v>
      </c>
      <c r="R185" s="9">
        <f t="shared" ca="1" si="107"/>
        <v>-510.18155095634762</v>
      </c>
      <c r="S185" s="9">
        <f t="shared" ca="1" si="107"/>
        <v>-614.94380800667625</v>
      </c>
      <c r="T185" s="9">
        <f t="shared" ca="1" si="107"/>
        <v>-693.17947854712475</v>
      </c>
      <c r="U185" s="9">
        <f t="shared" ca="1" si="107"/>
        <v>-744.97390496642663</v>
      </c>
      <c r="V185" s="9">
        <f t="shared" ca="1" si="107"/>
        <v>-770.53901052118829</v>
      </c>
      <c r="W185" s="9">
        <f t="shared" ca="1" si="107"/>
        <v>-770.21290810949699</v>
      </c>
      <c r="X185" s="7">
        <f t="shared" ca="1" si="107"/>
        <v>-760.14592632522113</v>
      </c>
      <c r="Y185" s="7">
        <f t="shared" ca="1" si="107"/>
        <v>-756.43464875697259</v>
      </c>
      <c r="Z185" s="7">
        <f t="shared" ca="1" si="107"/>
        <v>-759.25702862270839</v>
      </c>
      <c r="AA185" s="7">
        <f t="shared" ca="1" si="107"/>
        <v>-768.6039819093761</v>
      </c>
      <c r="AB185" s="8">
        <f t="shared" ca="1" si="107"/>
        <v>-784.53619414660966</v>
      </c>
    </row>
    <row r="186" spans="4:28" x14ac:dyDescent="0.25">
      <c r="D186" s="17"/>
      <c r="E186" s="2">
        <f t="shared" si="78"/>
        <v>1.0999999999999999</v>
      </c>
      <c r="H186" s="8">
        <f t="shared" ref="H186:AB186" ca="1" si="108" xml:space="preserve"> -(D*(H87+nu*G86+H85+nu*I86+((-2*nu)-2)*H86))/delta^2</f>
        <v>423.20823104432827</v>
      </c>
      <c r="I186" s="7">
        <f t="shared" ca="1" si="108"/>
        <v>352.88796611393724</v>
      </c>
      <c r="J186" s="7">
        <f t="shared" ca="1" si="108"/>
        <v>277.68914447217833</v>
      </c>
      <c r="K186" s="7">
        <f t="shared" ca="1" si="108"/>
        <v>198.34811098021032</v>
      </c>
      <c r="L186" s="7">
        <f t="shared" ca="1" si="108"/>
        <v>115.40056261816846</v>
      </c>
      <c r="M186" s="7">
        <f t="shared" ca="1" si="108"/>
        <v>29.215808645103341</v>
      </c>
      <c r="N186" s="7">
        <f t="shared" ca="1" si="108"/>
        <v>-59.991375329195584</v>
      </c>
      <c r="O186" s="7">
        <f t="shared" ca="1" si="108"/>
        <v>-152.18191014345965</v>
      </c>
      <c r="P186" s="7">
        <f t="shared" ca="1" si="108"/>
        <v>-247.56914008848213</v>
      </c>
      <c r="Q186" s="7">
        <f t="shared" ca="1" si="108"/>
        <v>-346.77679288860008</v>
      </c>
      <c r="R186" s="9">
        <f t="shared" ca="1" si="108"/>
        <v>-450.98455574704292</v>
      </c>
      <c r="S186" s="9">
        <f t="shared" ca="1" si="108"/>
        <v>-545.96788006209158</v>
      </c>
      <c r="T186" s="9">
        <f t="shared" ca="1" si="108"/>
        <v>-617.45966386006717</v>
      </c>
      <c r="U186" s="9">
        <f t="shared" ca="1" si="108"/>
        <v>-666.46306094711906</v>
      </c>
      <c r="V186" s="9">
        <f t="shared" ca="1" si="108"/>
        <v>-693.14138295936766</v>
      </c>
      <c r="W186" s="9">
        <f t="shared" ca="1" si="108"/>
        <v>-696.81627118452366</v>
      </c>
      <c r="X186" s="7">
        <f t="shared" ca="1" si="108"/>
        <v>-692.07400309973912</v>
      </c>
      <c r="Y186" s="7">
        <f t="shared" ca="1" si="108"/>
        <v>-693.44843306958387</v>
      </c>
      <c r="Z186" s="7">
        <f t="shared" ca="1" si="108"/>
        <v>-700.05398367099099</v>
      </c>
      <c r="AA186" s="7">
        <f t="shared" ca="1" si="108"/>
        <v>-711.5376677535985</v>
      </c>
      <c r="AB186" s="8">
        <f t="shared" ca="1" si="108"/>
        <v>-727.91655545414642</v>
      </c>
    </row>
    <row r="187" spans="4:28" x14ac:dyDescent="0.25">
      <c r="D187" s="17"/>
      <c r="E187" s="2">
        <f t="shared" si="78"/>
        <v>0.99999999999999989</v>
      </c>
      <c r="H187" s="8">
        <f t="shared" ref="H187:AB187" ca="1" si="109" xml:space="preserve"> -(D*(H88+nu*G87+H86+nu*I87+((-2*nu)-2)*H87))/delta^2</f>
        <v>394.06126214448</v>
      </c>
      <c r="I187" s="7">
        <f t="shared" ca="1" si="109"/>
        <v>329.88001457459762</v>
      </c>
      <c r="J187" s="7">
        <f t="shared" ca="1" si="109"/>
        <v>261.56680765472339</v>
      </c>
      <c r="K187" s="7">
        <f t="shared" ca="1" si="109"/>
        <v>189.78527757001069</v>
      </c>
      <c r="L187" s="7">
        <f t="shared" ca="1" si="109"/>
        <v>115.11440859598612</v>
      </c>
      <c r="M187" s="7">
        <f t="shared" ca="1" si="109"/>
        <v>38.064011223809572</v>
      </c>
      <c r="N187" s="7">
        <f t="shared" ca="1" si="109"/>
        <v>-40.908821118840677</v>
      </c>
      <c r="O187" s="7">
        <f t="shared" ca="1" si="109"/>
        <v>-121.38590706950372</v>
      </c>
      <c r="P187" s="7">
        <f t="shared" ca="1" si="109"/>
        <v>-202.98024192441204</v>
      </c>
      <c r="Q187" s="7">
        <f t="shared" ca="1" si="109"/>
        <v>-285.3374247696151</v>
      </c>
      <c r="R187" s="9">
        <f t="shared" ca="1" si="109"/>
        <v>-368.14812354413675</v>
      </c>
      <c r="S187" s="9">
        <f t="shared" ca="1" si="109"/>
        <v>-443.67071658998941</v>
      </c>
      <c r="T187" s="9">
        <f t="shared" ca="1" si="109"/>
        <v>-504.25925763553278</v>
      </c>
      <c r="U187" s="9">
        <f t="shared" ca="1" si="109"/>
        <v>-549.88847247976537</v>
      </c>
      <c r="V187" s="9">
        <f t="shared" ca="1" si="109"/>
        <v>-580.66713738756334</v>
      </c>
      <c r="W187" s="9">
        <f t="shared" ca="1" si="109"/>
        <v>-596.83450659954292</v>
      </c>
      <c r="X187" s="7">
        <f t="shared" ca="1" si="109"/>
        <v>-606.23979892396903</v>
      </c>
      <c r="Y187" s="7">
        <f t="shared" ca="1" si="109"/>
        <v>-616.81015485565911</v>
      </c>
      <c r="Z187" s="7">
        <f t="shared" ca="1" si="109"/>
        <v>-629.01596942723313</v>
      </c>
      <c r="AA187" s="7">
        <f t="shared" ca="1" si="109"/>
        <v>-643.34242883254683</v>
      </c>
      <c r="AB187" s="8">
        <f t="shared" ca="1" si="109"/>
        <v>-660.27296400312514</v>
      </c>
    </row>
    <row r="188" spans="4:28" x14ac:dyDescent="0.25">
      <c r="D188" s="17"/>
      <c r="E188" s="2">
        <f t="shared" si="78"/>
        <v>0.89999999999999991</v>
      </c>
      <c r="H188" s="8">
        <f t="shared" ref="H188:AB188" ca="1" si="110" xml:space="preserve"> -(D*(H89+nu*G88+H87+nu*I88+((-2*nu)-2)*H88))/delta^2</f>
        <v>361.24647936395036</v>
      </c>
      <c r="I188" s="7">
        <f t="shared" ca="1" si="110"/>
        <v>303.82528458762886</v>
      </c>
      <c r="J188" s="7">
        <f t="shared" ca="1" si="110"/>
        <v>243.05080763743067</v>
      </c>
      <c r="K188" s="7">
        <f t="shared" ca="1" si="110"/>
        <v>179.50489573251321</v>
      </c>
      <c r="L188" s="7">
        <f t="shared" ca="1" si="110"/>
        <v>113.79689878026453</v>
      </c>
      <c r="M188" s="7">
        <f t="shared" ca="1" si="110"/>
        <v>46.562520311145867</v>
      </c>
      <c r="N188" s="7">
        <f t="shared" ca="1" si="110"/>
        <v>-21.513280209496195</v>
      </c>
      <c r="O188" s="7">
        <f t="shared" ca="1" si="110"/>
        <v>-89.645497758197322</v>
      </c>
      <c r="P188" s="7">
        <f t="shared" ca="1" si="110"/>
        <v>-156.85461984086353</v>
      </c>
      <c r="Q188" s="7">
        <f t="shared" ca="1" si="110"/>
        <v>-221.80953806225023</v>
      </c>
      <c r="R188" s="7">
        <f t="shared" ca="1" si="110"/>
        <v>-282.70631290878902</v>
      </c>
      <c r="S188" s="7">
        <f t="shared" ca="1" si="110"/>
        <v>-338.27556772814825</v>
      </c>
      <c r="T188" s="7">
        <f t="shared" ca="1" si="110"/>
        <v>-387.4810972383371</v>
      </c>
      <c r="U188" s="7">
        <f t="shared" ca="1" si="110"/>
        <v>-429.26197436771662</v>
      </c>
      <c r="V188" s="7">
        <f t="shared" ca="1" si="110"/>
        <v>-463.67255352689051</v>
      </c>
      <c r="W188" s="7">
        <f t="shared" ca="1" si="110"/>
        <v>-491.87731304816748</v>
      </c>
      <c r="X188" s="7">
        <f t="shared" ca="1" si="110"/>
        <v>-515.00066199287471</v>
      </c>
      <c r="Y188" s="7">
        <f t="shared" ca="1" si="110"/>
        <v>-534.3751874777854</v>
      </c>
      <c r="Z188" s="7">
        <f t="shared" ca="1" si="110"/>
        <v>-551.83500913921807</v>
      </c>
      <c r="AA188" s="7">
        <f t="shared" ca="1" si="110"/>
        <v>-568.70476620529928</v>
      </c>
      <c r="AB188" s="8">
        <f t="shared" ca="1" si="110"/>
        <v>-585.92938184625007</v>
      </c>
    </row>
    <row r="189" spans="4:28" x14ac:dyDescent="0.25">
      <c r="D189" s="17"/>
      <c r="E189" s="2">
        <f t="shared" si="78"/>
        <v>0.79999999999999993</v>
      </c>
      <c r="H189" s="8">
        <f t="shared" ref="H189:AB189" ca="1" si="111" xml:space="preserve"> -(D*(H90+nu*G89+H88+nu*I89+((-2*nu)-2)*H89))/delta^2</f>
        <v>325.52455602773858</v>
      </c>
      <c r="I189" s="7">
        <f t="shared" ca="1" si="111"/>
        <v>275.17847572938683</v>
      </c>
      <c r="J189" s="7">
        <f t="shared" ca="1" si="111"/>
        <v>222.22581697396186</v>
      </c>
      <c r="K189" s="7">
        <f t="shared" ca="1" si="111"/>
        <v>167.15334283756394</v>
      </c>
      <c r="L189" s="7">
        <f t="shared" ca="1" si="111"/>
        <v>110.56114472528473</v>
      </c>
      <c r="M189" s="7">
        <f t="shared" ca="1" si="111"/>
        <v>53.137656245347301</v>
      </c>
      <c r="N189" s="7">
        <f t="shared" ca="1" si="111"/>
        <v>-4.3372620503053829</v>
      </c>
      <c r="O189" s="7">
        <f t="shared" ca="1" si="111"/>
        <v>-60.972021007031785</v>
      </c>
      <c r="P189" s="7">
        <f t="shared" ca="1" si="111"/>
        <v>-115.74623276014199</v>
      </c>
      <c r="Q189" s="7">
        <f t="shared" ca="1" si="111"/>
        <v>-167.56210422680073</v>
      </c>
      <c r="R189" s="7">
        <f t="shared" ca="1" si="111"/>
        <v>-215.54906190445004</v>
      </c>
      <c r="S189" s="7">
        <f t="shared" ca="1" si="111"/>
        <v>-259.85941054170928</v>
      </c>
      <c r="T189" s="7">
        <f t="shared" ca="1" si="111"/>
        <v>-300.88283235584379</v>
      </c>
      <c r="U189" s="7">
        <f t="shared" ca="1" si="111"/>
        <v>-338.45357252536883</v>
      </c>
      <c r="V189" s="7">
        <f t="shared" ca="1" si="111"/>
        <v>-372.57738584146443</v>
      </c>
      <c r="W189" s="7">
        <f t="shared" ca="1" si="111"/>
        <v>-403.42542057652776</v>
      </c>
      <c r="X189" s="7">
        <f t="shared" ca="1" si="111"/>
        <v>-430.59532857736053</v>
      </c>
      <c r="Y189" s="7">
        <f t="shared" ca="1" si="111"/>
        <v>-453.89326091871663</v>
      </c>
      <c r="Z189" s="7">
        <f t="shared" ca="1" si="111"/>
        <v>-474.11147801508281</v>
      </c>
      <c r="AA189" s="7">
        <f t="shared" ca="1" si="111"/>
        <v>-492.2319938716094</v>
      </c>
      <c r="AB189" s="8">
        <f t="shared" ca="1" si="111"/>
        <v>-509.1388007667386</v>
      </c>
    </row>
    <row r="190" spans="4:28" x14ac:dyDescent="0.25">
      <c r="D190" s="17"/>
      <c r="E190" s="2">
        <f t="shared" si="78"/>
        <v>0.7</v>
      </c>
      <c r="H190" s="8">
        <f t="shared" ref="H190:AB190" ca="1" si="112" xml:space="preserve"> -(D*(H91+nu*G90+H89+nu*I90+((-2*nu)-2)*H90))/delta^2</f>
        <v>287.61843147261419</v>
      </c>
      <c r="I190" s="7">
        <f t="shared" ca="1" si="112"/>
        <v>244.3993623182846</v>
      </c>
      <c r="J190" s="7">
        <f t="shared" ca="1" si="112"/>
        <v>199.23960209176636</v>
      </c>
      <c r="K190" s="7">
        <f t="shared" ca="1" si="112"/>
        <v>152.52047349281159</v>
      </c>
      <c r="L190" s="7">
        <f t="shared" ca="1" si="112"/>
        <v>104.78714452330908</v>
      </c>
      <c r="M190" s="7">
        <f t="shared" ca="1" si="112"/>
        <v>56.697751647146923</v>
      </c>
      <c r="N190" s="7">
        <f t="shared" ca="1" si="112"/>
        <v>8.9947386988392992</v>
      </c>
      <c r="O190" s="7">
        <f t="shared" ca="1" si="112"/>
        <v>-37.522639042504345</v>
      </c>
      <c r="P190" s="7">
        <f t="shared" ca="1" si="112"/>
        <v>-82.056067160288322</v>
      </c>
      <c r="Q190" s="7">
        <f t="shared" ca="1" si="112"/>
        <v>-123.94779562491532</v>
      </c>
      <c r="R190" s="7">
        <f t="shared" ca="1" si="112"/>
        <v>-162.95254209227275</v>
      </c>
      <c r="S190" s="7">
        <f t="shared" ca="1" si="112"/>
        <v>-199.51106916568926</v>
      </c>
      <c r="T190" s="7">
        <f t="shared" ca="1" si="112"/>
        <v>-234.23231909298471</v>
      </c>
      <c r="U190" s="7">
        <f t="shared" ca="1" si="112"/>
        <v>-267.33700456784686</v>
      </c>
      <c r="V190" s="7">
        <f t="shared" ca="1" si="112"/>
        <v>-298.79243342359524</v>
      </c>
      <c r="W190" s="7">
        <f t="shared" ca="1" si="112"/>
        <v>-328.30626204893792</v>
      </c>
      <c r="X190" s="7">
        <f t="shared" ca="1" si="112"/>
        <v>-355.17965828638927</v>
      </c>
      <c r="Y190" s="7">
        <f t="shared" ca="1" si="112"/>
        <v>-378.85341772809193</v>
      </c>
      <c r="Z190" s="7">
        <f t="shared" ca="1" si="112"/>
        <v>-399.41946358112813</v>
      </c>
      <c r="AA190" s="7">
        <f t="shared" ca="1" si="112"/>
        <v>-417.34915990288749</v>
      </c>
      <c r="AB190" s="8">
        <f t="shared" ca="1" si="112"/>
        <v>-433.23999510403581</v>
      </c>
    </row>
    <row r="191" spans="4:28" x14ac:dyDescent="0.25">
      <c r="D191" s="17"/>
      <c r="E191" s="2">
        <f t="shared" si="78"/>
        <v>0.6</v>
      </c>
      <c r="H191" s="8">
        <f t="shared" ref="H191:AB191" ca="1" si="113" xml:space="preserve"> -(D*(H92+nu*G91+H90+nu*I91+((-2*nu)-2)*H91))/delta^2</f>
        <v>248.16420374598457</v>
      </c>
      <c r="I191" s="7">
        <f t="shared" ca="1" si="113"/>
        <v>211.92834073665145</v>
      </c>
      <c r="J191" s="7">
        <f t="shared" ca="1" si="113"/>
        <v>174.30899966985223</v>
      </c>
      <c r="K191" s="7">
        <f t="shared" ca="1" si="113"/>
        <v>135.58151589985613</v>
      </c>
      <c r="L191" s="7">
        <f t="shared" ca="1" si="113"/>
        <v>96.203226671554816</v>
      </c>
      <c r="M191" s="7">
        <f t="shared" ca="1" si="113"/>
        <v>56.743790397683291</v>
      </c>
      <c r="N191" s="7">
        <f t="shared" ca="1" si="113"/>
        <v>17.8316313569382</v>
      </c>
      <c r="O191" s="7">
        <f t="shared" ca="1" si="113"/>
        <v>-19.903832158683677</v>
      </c>
      <c r="P191" s="7">
        <f t="shared" ca="1" si="113"/>
        <v>-55.916360365850672</v>
      </c>
      <c r="Q191" s="7">
        <f t="shared" ca="1" si="113"/>
        <v>-89.871039336377649</v>
      </c>
      <c r="R191" s="7">
        <f t="shared" ca="1" si="113"/>
        <v>-121.79664014222622</v>
      </c>
      <c r="S191" s="7">
        <f t="shared" ca="1" si="113"/>
        <v>-152.12916438458666</v>
      </c>
      <c r="T191" s="7">
        <f t="shared" ca="1" si="113"/>
        <v>-181.39768460605319</v>
      </c>
      <c r="U191" s="7">
        <f t="shared" ca="1" si="113"/>
        <v>-209.87210095179361</v>
      </c>
      <c r="V191" s="7">
        <f t="shared" ca="1" si="113"/>
        <v>-237.49381205475285</v>
      </c>
      <c r="W191" s="7">
        <f t="shared" ca="1" si="113"/>
        <v>-263.87005447635437</v>
      </c>
      <c r="X191" s="7">
        <f t="shared" ca="1" si="113"/>
        <v>-288.33253233491337</v>
      </c>
      <c r="Y191" s="7">
        <f t="shared" ca="1" si="113"/>
        <v>-310.28104157401589</v>
      </c>
      <c r="Z191" s="7">
        <f t="shared" ca="1" si="113"/>
        <v>-329.49322607562522</v>
      </c>
      <c r="AA191" s="7">
        <f t="shared" ca="1" si="113"/>
        <v>-346.08414168674955</v>
      </c>
      <c r="AB191" s="8">
        <f t="shared" ca="1" si="113"/>
        <v>-360.36915773045752</v>
      </c>
    </row>
    <row r="192" spans="4:28" x14ac:dyDescent="0.25">
      <c r="D192" s="17"/>
      <c r="E192" s="2">
        <f t="shared" si="78"/>
        <v>0.5</v>
      </c>
      <c r="H192" s="8">
        <f t="shared" ref="H192:AB192" ca="1" si="114" xml:space="preserve"> -(D*(H93+nu*G92+H91+nu*I92+((-2*nu)-2)*H92))/delta^2</f>
        <v>207.68221849698426</v>
      </c>
      <c r="I192" s="7">
        <f t="shared" ca="1" si="114"/>
        <v>178.16533499186508</v>
      </c>
      <c r="J192" s="7">
        <f t="shared" ca="1" si="114"/>
        <v>147.70549104904478</v>
      </c>
      <c r="K192" s="7">
        <f t="shared" ca="1" si="114"/>
        <v>116.48302334254026</v>
      </c>
      <c r="L192" s="7">
        <f t="shared" ca="1" si="114"/>
        <v>84.854056256301234</v>
      </c>
      <c r="M192" s="7">
        <f t="shared" ca="1" si="114"/>
        <v>53.273782994463026</v>
      </c>
      <c r="N192" s="7">
        <f t="shared" ca="1" si="114"/>
        <v>22.232098731423498</v>
      </c>
      <c r="O192" s="7">
        <f t="shared" ca="1" si="114"/>
        <v>-7.8126929137662824</v>
      </c>
      <c r="P192" s="7">
        <f t="shared" ca="1" si="114"/>
        <v>-36.512484112758258</v>
      </c>
      <c r="Q192" s="7">
        <f t="shared" ca="1" si="114"/>
        <v>-63.718306422864686</v>
      </c>
      <c r="R192" s="7">
        <f t="shared" ca="1" si="114"/>
        <v>-89.547600784899316</v>
      </c>
      <c r="S192" s="7">
        <f t="shared" ca="1" si="114"/>
        <v>-114.35335440534344</v>
      </c>
      <c r="T192" s="7">
        <f t="shared" ca="1" si="114"/>
        <v>-138.5278391435279</v>
      </c>
      <c r="U192" s="7">
        <f t="shared" ca="1" si="114"/>
        <v>-162.28065599955559</v>
      </c>
      <c r="V192" s="7">
        <f t="shared" ca="1" si="114"/>
        <v>-185.54030346796586</v>
      </c>
      <c r="W192" s="7">
        <f t="shared" ca="1" si="114"/>
        <v>-207.94953238549164</v>
      </c>
      <c r="X192" s="7">
        <f t="shared" ca="1" si="114"/>
        <v>-228.95514560139216</v>
      </c>
      <c r="Y192" s="7">
        <f t="shared" ca="1" si="114"/>
        <v>-248.02340766850489</v>
      </c>
      <c r="Z192" s="7">
        <f t="shared" ca="1" si="114"/>
        <v>-264.83355633522058</v>
      </c>
      <c r="AA192" s="7">
        <f t="shared" ca="1" si="114"/>
        <v>-279.31163354762259</v>
      </c>
      <c r="AB192" s="8">
        <f t="shared" ca="1" si="114"/>
        <v>-291.57322333642855</v>
      </c>
    </row>
    <row r="193" spans="4:28" x14ac:dyDescent="0.25">
      <c r="D193" s="17"/>
      <c r="E193" s="2">
        <f t="shared" si="78"/>
        <v>0.4</v>
      </c>
      <c r="H193" s="8">
        <f t="shared" ref="H193:AB193" ca="1" si="115" xml:space="preserve"> -(D*(H94+nu*G93+H92+nu*I93+((-2*nu)-2)*H93))/delta^2</f>
        <v>166.56825567802915</v>
      </c>
      <c r="I193" s="7">
        <f t="shared" ca="1" si="115"/>
        <v>143.45523704755161</v>
      </c>
      <c r="J193" s="7">
        <f t="shared" ca="1" si="115"/>
        <v>119.73000997127309</v>
      </c>
      <c r="K193" s="7">
        <f t="shared" ca="1" si="115"/>
        <v>95.497436831910846</v>
      </c>
      <c r="L193" s="7">
        <f t="shared" ca="1" si="115"/>
        <v>71.015705870103886</v>
      </c>
      <c r="M193" s="7">
        <f t="shared" ca="1" si="115"/>
        <v>46.623928400867165</v>
      </c>
      <c r="N193" s="7">
        <f t="shared" ca="1" si="115"/>
        <v>22.679729928244399</v>
      </c>
      <c r="O193" s="7">
        <f t="shared" ca="1" si="115"/>
        <v>-0.50115562811739633</v>
      </c>
      <c r="P193" s="7">
        <f t="shared" ca="1" si="115"/>
        <v>-22.706083946514831</v>
      </c>
      <c r="Q193" s="7">
        <f t="shared" ca="1" si="115"/>
        <v>-43.879573111062086</v>
      </c>
      <c r="R193" s="7">
        <f t="shared" ca="1" si="115"/>
        <v>-64.145849833392049</v>
      </c>
      <c r="S193" s="7">
        <f t="shared" ca="1" si="115"/>
        <v>-83.763593035706563</v>
      </c>
      <c r="T193" s="7">
        <f t="shared" ca="1" si="115"/>
        <v>-103.00029969433615</v>
      </c>
      <c r="U193" s="7">
        <f t="shared" ca="1" si="115"/>
        <v>-121.9927215797015</v>
      </c>
      <c r="V193" s="7">
        <f t="shared" ca="1" si="115"/>
        <v>-140.66845695596621</v>
      </c>
      <c r="W193" s="7">
        <f t="shared" ca="1" si="115"/>
        <v>-158.74245594610719</v>
      </c>
      <c r="X193" s="7">
        <f t="shared" ca="1" si="115"/>
        <v>-175.78903260212815</v>
      </c>
      <c r="Y193" s="7">
        <f t="shared" ca="1" si="115"/>
        <v>-191.37682638614135</v>
      </c>
      <c r="Z193" s="7">
        <f t="shared" ca="1" si="115"/>
        <v>-205.19279542784207</v>
      </c>
      <c r="AA193" s="7">
        <f t="shared" ca="1" si="115"/>
        <v>-217.08957954041247</v>
      </c>
      <c r="AB193" s="8">
        <f t="shared" ca="1" si="115"/>
        <v>-227.06820889617799</v>
      </c>
    </row>
    <row r="194" spans="4:28" x14ac:dyDescent="0.25">
      <c r="D194" s="17"/>
      <c r="E194" s="2">
        <f t="shared" si="78"/>
        <v>0.30000000000000004</v>
      </c>
      <c r="H194" s="8">
        <f t="shared" ref="H194:AB194" ca="1" si="116" xml:space="preserve"> -(D*(H95+nu*G94+H93+nu*I94+((-2*nu)-2)*H94))/delta^2</f>
        <v>125.10062931362621</v>
      </c>
      <c r="I194" s="7">
        <f t="shared" ca="1" si="116"/>
        <v>108.08184882126737</v>
      </c>
      <c r="J194" s="7">
        <f t="shared" ca="1" si="116"/>
        <v>90.68821907616622</v>
      </c>
      <c r="K194" s="7">
        <f t="shared" ca="1" si="116"/>
        <v>72.972083704574004</v>
      </c>
      <c r="L194" s="7">
        <f t="shared" ca="1" si="116"/>
        <v>55.106726421073823</v>
      </c>
      <c r="M194" s="7">
        <f t="shared" ca="1" si="116"/>
        <v>37.326670206173247</v>
      </c>
      <c r="N194" s="7">
        <f t="shared" ca="1" si="116"/>
        <v>19.875864561601084</v>
      </c>
      <c r="O194" s="7">
        <f t="shared" ca="1" si="116"/>
        <v>2.9601941875217941</v>
      </c>
      <c r="P194" s="7">
        <f t="shared" ca="1" si="116"/>
        <v>-13.295112842807978</v>
      </c>
      <c r="Q194" s="7">
        <f t="shared" ca="1" si="116"/>
        <v>-28.875762550203731</v>
      </c>
      <c r="R194" s="7">
        <f t="shared" ca="1" si="116"/>
        <v>-43.881617387452472</v>
      </c>
      <c r="S194" s="7">
        <f t="shared" ca="1" si="116"/>
        <v>-58.487549984292222</v>
      </c>
      <c r="T194" s="7">
        <f t="shared" ca="1" si="116"/>
        <v>-72.863838338732279</v>
      </c>
      <c r="U194" s="7">
        <f t="shared" ca="1" si="116"/>
        <v>-87.090256978684977</v>
      </c>
      <c r="V194" s="7">
        <f t="shared" ca="1" si="116"/>
        <v>-101.10356608814051</v>
      </c>
      <c r="W194" s="7">
        <f t="shared" ca="1" si="116"/>
        <v>-114.69510103364134</v>
      </c>
      <c r="X194" s="7">
        <f t="shared" ca="1" si="116"/>
        <v>-127.55892499585156</v>
      </c>
      <c r="Y194" s="7">
        <f t="shared" ca="1" si="116"/>
        <v>-139.37472616407638</v>
      </c>
      <c r="Z194" s="7">
        <f t="shared" ca="1" si="116"/>
        <v>-149.88644539930601</v>
      </c>
      <c r="AA194" s="7">
        <f t="shared" ca="1" si="116"/>
        <v>-158.94258809073568</v>
      </c>
      <c r="AB194" s="8">
        <f t="shared" ca="1" si="116"/>
        <v>-166.49504970361383</v>
      </c>
    </row>
    <row r="195" spans="4:28" x14ac:dyDescent="0.25">
      <c r="D195" s="17"/>
      <c r="E195" s="2">
        <f t="shared" si="78"/>
        <v>0.2</v>
      </c>
      <c r="H195" s="8">
        <f t="shared" ref="H195:AB195" ca="1" si="117" xml:space="preserve"> -(D*(H96+nu*G95+H94+nu*I95+((-2*nu)-2)*H95))/delta^2</f>
        <v>83.457687547980498</v>
      </c>
      <c r="I195" s="7">
        <f t="shared" ca="1" si="117"/>
        <v>72.270269042903692</v>
      </c>
      <c r="J195" s="7">
        <f t="shared" ca="1" si="117"/>
        <v>60.873356891741736</v>
      </c>
      <c r="K195" s="7">
        <f t="shared" ca="1" si="117"/>
        <v>49.288200330864377</v>
      </c>
      <c r="L195" s="7">
        <f t="shared" ca="1" si="117"/>
        <v>37.618993069416774</v>
      </c>
      <c r="M195" s="7">
        <f t="shared" ca="1" si="117"/>
        <v>26.010988031152582</v>
      </c>
      <c r="N195" s="7">
        <f t="shared" ca="1" si="117"/>
        <v>14.614128626850507</v>
      </c>
      <c r="O195" s="7">
        <f t="shared" ca="1" si="117"/>
        <v>3.5510289994726332</v>
      </c>
      <c r="P195" s="7">
        <f t="shared" ca="1" si="117"/>
        <v>-7.1093233932118247</v>
      </c>
      <c r="Q195" s="7">
        <f t="shared" ca="1" si="117"/>
        <v>-17.367160501849966</v>
      </c>
      <c r="R195" s="7">
        <f t="shared" ca="1" si="117"/>
        <v>-27.289132686457148</v>
      </c>
      <c r="S195" s="7">
        <f t="shared" ca="1" si="117"/>
        <v>-36.981351690180496</v>
      </c>
      <c r="T195" s="7">
        <f t="shared" ca="1" si="117"/>
        <v>-46.54235409118796</v>
      </c>
      <c r="U195" s="7">
        <f t="shared" ca="1" si="117"/>
        <v>-56.013724321500426</v>
      </c>
      <c r="V195" s="7">
        <f t="shared" ca="1" si="117"/>
        <v>-65.34904850803872</v>
      </c>
      <c r="W195" s="7">
        <f t="shared" ca="1" si="117"/>
        <v>-74.412435094605286</v>
      </c>
      <c r="X195" s="7">
        <f t="shared" ca="1" si="117"/>
        <v>-83.006909522431371</v>
      </c>
      <c r="Y195" s="7">
        <f t="shared" ca="1" si="117"/>
        <v>-90.92200674859231</v>
      </c>
      <c r="Z195" s="7">
        <f t="shared" ca="1" si="117"/>
        <v>-97.980238963840748</v>
      </c>
      <c r="AA195" s="7">
        <f t="shared" ca="1" si="117"/>
        <v>-104.06454517254649</v>
      </c>
      <c r="AB195" s="8">
        <f t="shared" ca="1" si="117"/>
        <v>-109.12150955361328</v>
      </c>
    </row>
    <row r="196" spans="4:28" x14ac:dyDescent="0.25">
      <c r="D196" s="17"/>
      <c r="E196" s="2">
        <f t="shared" si="78"/>
        <v>0.1</v>
      </c>
      <c r="H196" s="8">
        <f t="shared" ref="H196:AB196" ca="1" si="118" xml:space="preserve"> -(D*(H97+nu*G96+H95+nu*I96+((-2*nu)-2)*H96))/delta^2</f>
        <v>41.740867562011978</v>
      </c>
      <c r="I196" s="7">
        <f t="shared" ca="1" si="118"/>
        <v>36.196186667637249</v>
      </c>
      <c r="J196" s="7">
        <f t="shared" ca="1" si="118"/>
        <v>30.5589004363455</v>
      </c>
      <c r="K196" s="7">
        <f t="shared" ca="1" si="118"/>
        <v>24.835328607001735</v>
      </c>
      <c r="L196" s="7">
        <f t="shared" ca="1" si="118"/>
        <v>19.073857831518705</v>
      </c>
      <c r="M196" s="7">
        <f t="shared" ca="1" si="118"/>
        <v>13.343484920593751</v>
      </c>
      <c r="N196" s="7">
        <f t="shared" ca="1" si="118"/>
        <v>7.7152010787255101</v>
      </c>
      <c r="O196" s="7">
        <f t="shared" ca="1" si="118"/>
        <v>2.2459954759664393</v>
      </c>
      <c r="P196" s="7">
        <f t="shared" ca="1" si="118"/>
        <v>-3.0336005752162691</v>
      </c>
      <c r="Q196" s="7">
        <f t="shared" ca="1" si="118"/>
        <v>-8.1260318633093984</v>
      </c>
      <c r="R196" s="7">
        <f t="shared" ca="1" si="118"/>
        <v>-13.064122806188703</v>
      </c>
      <c r="S196" s="7">
        <f t="shared" ca="1" si="118"/>
        <v>-17.897580694403878</v>
      </c>
      <c r="T196" s="7">
        <f t="shared" ca="1" si="118"/>
        <v>-22.671142997245806</v>
      </c>
      <c r="U196" s="7">
        <f t="shared" ca="1" si="118"/>
        <v>-27.402069312267535</v>
      </c>
      <c r="V196" s="7">
        <f t="shared" ca="1" si="118"/>
        <v>-32.065881000056592</v>
      </c>
      <c r="W196" s="7">
        <f t="shared" ca="1" si="118"/>
        <v>-36.595664829700205</v>
      </c>
      <c r="X196" s="7">
        <f t="shared" ca="1" si="118"/>
        <v>-40.895091687162761</v>
      </c>
      <c r="Y196" s="7">
        <f t="shared" ca="1" si="118"/>
        <v>-44.86010051198015</v>
      </c>
      <c r="Z196" s="7">
        <f t="shared" ca="1" si="118"/>
        <v>-48.400482385729646</v>
      </c>
      <c r="AA196" s="7">
        <f t="shared" ca="1" si="118"/>
        <v>-51.453522616917766</v>
      </c>
      <c r="AB196" s="8">
        <f t="shared" ca="1" si="118"/>
        <v>-53.98652239877071</v>
      </c>
    </row>
    <row r="197" spans="4:28" x14ac:dyDescent="0.25">
      <c r="D197" s="17"/>
      <c r="E197" s="2">
        <v>0</v>
      </c>
      <c r="H197" s="8">
        <f t="shared" ref="H197:AB197" si="119" xml:space="preserve"> -(D*(H98+nu*G97+H96+nu*I97+((-2*nu)-2)*H97))/delta^2</f>
        <v>0</v>
      </c>
      <c r="I197" s="8">
        <f t="shared" ca="1" si="119"/>
        <v>0</v>
      </c>
      <c r="J197" s="8">
        <f t="shared" ca="1" si="119"/>
        <v>0</v>
      </c>
      <c r="K197" s="8">
        <f t="shared" ca="1" si="119"/>
        <v>0</v>
      </c>
      <c r="L197" s="8">
        <f t="shared" ca="1" si="119"/>
        <v>0</v>
      </c>
      <c r="M197" s="8">
        <f t="shared" ca="1" si="119"/>
        <v>0</v>
      </c>
      <c r="N197" s="8">
        <f t="shared" ca="1" si="119"/>
        <v>0</v>
      </c>
      <c r="O197" s="8">
        <f t="shared" ca="1" si="119"/>
        <v>0</v>
      </c>
      <c r="P197" s="8">
        <f t="shared" ca="1" si="119"/>
        <v>0</v>
      </c>
      <c r="Q197" s="8">
        <f t="shared" ca="1" si="119"/>
        <v>0</v>
      </c>
      <c r="R197" s="8">
        <f t="shared" ca="1" si="119"/>
        <v>0</v>
      </c>
      <c r="S197" s="8">
        <f t="shared" ca="1" si="119"/>
        <v>0</v>
      </c>
      <c r="T197" s="8">
        <f t="shared" ca="1" si="119"/>
        <v>0</v>
      </c>
      <c r="U197" s="8">
        <f t="shared" ca="1" si="119"/>
        <v>0</v>
      </c>
      <c r="V197" s="8">
        <f t="shared" ca="1" si="119"/>
        <v>0</v>
      </c>
      <c r="W197" s="8">
        <f t="shared" ca="1" si="119"/>
        <v>0</v>
      </c>
      <c r="X197" s="8">
        <f t="shared" ca="1" si="119"/>
        <v>0</v>
      </c>
      <c r="Y197" s="8">
        <f t="shared" ca="1" si="119"/>
        <v>0</v>
      </c>
      <c r="Z197" s="8">
        <f t="shared" ca="1" si="119"/>
        <v>0</v>
      </c>
      <c r="AA197" s="8">
        <f t="shared" ca="1" si="119"/>
        <v>0</v>
      </c>
      <c r="AB197" s="8">
        <f t="shared" ca="1" si="119"/>
        <v>0</v>
      </c>
    </row>
    <row r="202" spans="4:28" ht="18.75" x14ac:dyDescent="0.3">
      <c r="E202" s="1" t="s">
        <v>20</v>
      </c>
    </row>
    <row r="203" spans="4:28" x14ac:dyDescent="0.25">
      <c r="H203" s="16" t="s">
        <v>17</v>
      </c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</row>
    <row r="204" spans="4:28" x14ac:dyDescent="0.25">
      <c r="H204" s="2">
        <v>0</v>
      </c>
      <c r="I204" s="2">
        <f t="shared" ref="I204:AB204" si="120">+H204+delta</f>
        <v>0.1</v>
      </c>
      <c r="J204" s="2">
        <f t="shared" si="120"/>
        <v>0.2</v>
      </c>
      <c r="K204" s="2">
        <f t="shared" si="120"/>
        <v>0.30000000000000004</v>
      </c>
      <c r="L204" s="2">
        <f t="shared" si="120"/>
        <v>0.4</v>
      </c>
      <c r="M204" s="2">
        <f t="shared" si="120"/>
        <v>0.5</v>
      </c>
      <c r="N204" s="2">
        <f t="shared" si="120"/>
        <v>0.6</v>
      </c>
      <c r="O204" s="2">
        <f t="shared" si="120"/>
        <v>0.7</v>
      </c>
      <c r="P204" s="2">
        <f t="shared" si="120"/>
        <v>0.79999999999999993</v>
      </c>
      <c r="Q204" s="2">
        <f t="shared" si="120"/>
        <v>0.89999999999999991</v>
      </c>
      <c r="R204" s="2">
        <f t="shared" si="120"/>
        <v>0.99999999999999989</v>
      </c>
      <c r="S204" s="2">
        <f t="shared" si="120"/>
        <v>1.0999999999999999</v>
      </c>
      <c r="T204" s="2">
        <f t="shared" si="120"/>
        <v>1.2</v>
      </c>
      <c r="U204" s="2">
        <f t="shared" si="120"/>
        <v>1.3</v>
      </c>
      <c r="V204" s="2">
        <f t="shared" si="120"/>
        <v>1.4000000000000001</v>
      </c>
      <c r="W204" s="2">
        <f t="shared" si="120"/>
        <v>1.5000000000000002</v>
      </c>
      <c r="X204" s="2">
        <f t="shared" si="120"/>
        <v>1.6000000000000003</v>
      </c>
      <c r="Y204" s="2">
        <f t="shared" si="120"/>
        <v>1.7000000000000004</v>
      </c>
      <c r="Z204" s="2">
        <f t="shared" si="120"/>
        <v>1.8000000000000005</v>
      </c>
      <c r="AA204" s="2">
        <f t="shared" si="120"/>
        <v>1.9000000000000006</v>
      </c>
      <c r="AB204" s="2">
        <f t="shared" si="120"/>
        <v>2.0000000000000004</v>
      </c>
    </row>
    <row r="207" spans="4:28" x14ac:dyDescent="0.25">
      <c r="D207" s="17" t="s">
        <v>16</v>
      </c>
      <c r="E207" s="2">
        <f t="shared" ref="E207:E246" si="121">E208+delta</f>
        <v>4.0000000000000018</v>
      </c>
      <c r="H207" s="13"/>
      <c r="I207" s="8">
        <f t="shared" ref="I207:AA207" ca="1" si="122" xml:space="preserve"> (D*(1-nu)*(H56-J56+J58-H58))/(4*delta^2)</f>
        <v>-41.181447663060283</v>
      </c>
      <c r="J207" s="8">
        <f t="shared" ca="1" si="122"/>
        <v>-79.099501934059901</v>
      </c>
      <c r="K207" s="8">
        <f t="shared" ca="1" si="122"/>
        <v>-113.43883065741467</v>
      </c>
      <c r="L207" s="8">
        <f t="shared" ca="1" si="122"/>
        <v>-144.00511595626637</v>
      </c>
      <c r="M207" s="8">
        <f t="shared" ca="1" si="122"/>
        <v>-170.7152417955387</v>
      </c>
      <c r="N207" s="8">
        <f t="shared" ca="1" si="122"/>
        <v>-193.58655143360059</v>
      </c>
      <c r="O207" s="8">
        <f t="shared" ca="1" si="122"/>
        <v>-212.72564277801962</v>
      </c>
      <c r="P207" s="8">
        <f t="shared" ca="1" si="122"/>
        <v>-228.31693076193383</v>
      </c>
      <c r="Q207" s="8">
        <f t="shared" ca="1" si="122"/>
        <v>-240.61103615997229</v>
      </c>
      <c r="R207" s="8">
        <f t="shared" ca="1" si="122"/>
        <v>-249.91297514525104</v>
      </c>
      <c r="S207" s="8">
        <f t="shared" ca="1" si="122"/>
        <v>-256.57012205046533</v>
      </c>
      <c r="T207" s="8">
        <f t="shared" ca="1" si="122"/>
        <v>-260.95998266477585</v>
      </c>
      <c r="U207" s="8">
        <f t="shared" ca="1" si="122"/>
        <v>-263.47791780578149</v>
      </c>
      <c r="V207" s="8">
        <f t="shared" ca="1" si="122"/>
        <v>-264.52506054825886</v>
      </c>
      <c r="W207" s="8">
        <f t="shared" ca="1" si="122"/>
        <v>-264.49673992023281</v>
      </c>
      <c r="X207" s="8">
        <f t="shared" ca="1" si="122"/>
        <v>-263.7717333175857</v>
      </c>
      <c r="Y207" s="8">
        <f t="shared" ca="1" si="122"/>
        <v>-262.70261025500747</v>
      </c>
      <c r="Z207" s="8">
        <f t="shared" ca="1" si="122"/>
        <v>-261.60731180923023</v>
      </c>
      <c r="AA207" s="8">
        <f t="shared" ca="1" si="122"/>
        <v>-260.76196100868617</v>
      </c>
      <c r="AB207" s="13"/>
    </row>
    <row r="208" spans="4:28" x14ac:dyDescent="0.25">
      <c r="D208" s="17"/>
      <c r="E208" s="2">
        <f t="shared" si="121"/>
        <v>3.9000000000000021</v>
      </c>
      <c r="H208" s="8">
        <f t="shared" ref="H208:AB208" ca="1" si="123" xml:space="preserve"> (D*(1-nu)*(G57-I57+I59-G59))/(4*delta^2)</f>
        <v>6.7812210973293693E-7</v>
      </c>
      <c r="I208" s="7">
        <f t="shared" ca="1" si="123"/>
        <v>-41.292648432489067</v>
      </c>
      <c r="J208" s="7">
        <f t="shared" ca="1" si="123"/>
        <v>-79.290069920225505</v>
      </c>
      <c r="K208" s="7">
        <f t="shared" ca="1" si="123"/>
        <v>-113.67958866879097</v>
      </c>
      <c r="L208" s="7">
        <f t="shared" ca="1" si="123"/>
        <v>-144.27001487992726</v>
      </c>
      <c r="M208" s="7">
        <f t="shared" ca="1" si="123"/>
        <v>-170.98156255702699</v>
      </c>
      <c r="N208" s="7">
        <f t="shared" ca="1" si="123"/>
        <v>-193.83494748138139</v>
      </c>
      <c r="O208" s="7">
        <f t="shared" ca="1" si="123"/>
        <v>-212.94011789811202</v>
      </c>
      <c r="P208" s="7">
        <f t="shared" ca="1" si="123"/>
        <v>-228.48481933374299</v>
      </c>
      <c r="Q208" s="7">
        <f t="shared" ca="1" si="123"/>
        <v>-240.72301923455751</v>
      </c>
      <c r="R208" s="7">
        <f t="shared" ca="1" si="123"/>
        <v>-249.96313225374811</v>
      </c>
      <c r="S208" s="7">
        <f t="shared" ca="1" si="123"/>
        <v>-256.55599151501713</v>
      </c>
      <c r="T208" s="7">
        <f t="shared" ca="1" si="123"/>
        <v>-260.88258750316891</v>
      </c>
      <c r="U208" s="7">
        <f t="shared" ca="1" si="123"/>
        <v>-263.34171309114384</v>
      </c>
      <c r="V208" s="7">
        <f t="shared" ca="1" si="123"/>
        <v>-264.33777110087578</v>
      </c>
      <c r="W208" s="7">
        <f t="shared" ca="1" si="123"/>
        <v>-264.26908067211815</v>
      </c>
      <c r="X208" s="7">
        <f t="shared" ca="1" si="123"/>
        <v>-263.51703192442852</v>
      </c>
      <c r="Y208" s="7">
        <f t="shared" ca="1" si="123"/>
        <v>-262.4363746936375</v>
      </c>
      <c r="Z208" s="7">
        <f t="shared" ca="1" si="123"/>
        <v>-261.34679788265976</v>
      </c>
      <c r="AA208" s="7">
        <f t="shared" ca="1" si="123"/>
        <v>-260.52579131617421</v>
      </c>
      <c r="AB208" s="8">
        <f t="shared" ca="1" si="123"/>
        <v>-260.20262258842627</v>
      </c>
    </row>
    <row r="209" spans="4:28" x14ac:dyDescent="0.25">
      <c r="D209" s="17"/>
      <c r="E209" s="2">
        <f t="shared" si="121"/>
        <v>3.800000000000002</v>
      </c>
      <c r="H209" s="8">
        <f t="shared" ref="H209:AB209" ca="1" si="124" xml:space="preserve"> (D*(1-nu)*(G58-I58+I60-G60))/(4*delta^2)</f>
        <v>6.7153495364137335E-7</v>
      </c>
      <c r="I209" s="7">
        <f t="shared" ca="1" si="124"/>
        <v>-41.625372623689877</v>
      </c>
      <c r="J209" s="7">
        <f t="shared" ca="1" si="124"/>
        <v>-79.859666453843772</v>
      </c>
      <c r="K209" s="7">
        <f t="shared" ca="1" si="124"/>
        <v>-114.39841950123639</v>
      </c>
      <c r="L209" s="7">
        <f t="shared" ca="1" si="124"/>
        <v>-145.0599920580751</v>
      </c>
      <c r="M209" s="7">
        <f t="shared" ca="1" si="124"/>
        <v>-171.77467303091092</v>
      </c>
      <c r="N209" s="7">
        <f t="shared" ca="1" si="124"/>
        <v>-194.57331072401155</v>
      </c>
      <c r="O209" s="7">
        <f t="shared" ca="1" si="124"/>
        <v>-213.57586996788518</v>
      </c>
      <c r="P209" s="7">
        <f t="shared" ca="1" si="124"/>
        <v>-228.9800294333204</v>
      </c>
      <c r="Q209" s="7">
        <f t="shared" ca="1" si="124"/>
        <v>-241.04973904766541</v>
      </c>
      <c r="R209" s="7">
        <f t="shared" ca="1" si="124"/>
        <v>-250.10357339237444</v>
      </c>
      <c r="S209" s="7">
        <f t="shared" ca="1" si="124"/>
        <v>-256.50274106960495</v>
      </c>
      <c r="T209" s="7">
        <f t="shared" ca="1" si="124"/>
        <v>-260.63872221875653</v>
      </c>
      <c r="U209" s="7">
        <f t="shared" ca="1" si="124"/>
        <v>-262.92066898650717</v>
      </c>
      <c r="V209" s="7">
        <f t="shared" ca="1" si="124"/>
        <v>-263.76286715345611</v>
      </c>
      <c r="W209" s="7">
        <f t="shared" ca="1" si="124"/>
        <v>-263.57267059295134</v>
      </c>
      <c r="X209" s="7">
        <f t="shared" ca="1" si="124"/>
        <v>-262.73934566515578</v>
      </c>
      <c r="Y209" s="7">
        <f t="shared" ca="1" si="124"/>
        <v>-261.6241859653768</v>
      </c>
      <c r="Z209" s="7">
        <f t="shared" ca="1" si="124"/>
        <v>-260.55209372198129</v>
      </c>
      <c r="AA209" s="7">
        <f t="shared" ca="1" si="124"/>
        <v>-259.80461176300844</v>
      </c>
      <c r="AB209" s="8">
        <f t="shared" ca="1" si="124"/>
        <v>-259.6141807640908</v>
      </c>
    </row>
    <row r="210" spans="4:28" x14ac:dyDescent="0.25">
      <c r="D210" s="17"/>
      <c r="E210" s="2">
        <f t="shared" si="121"/>
        <v>3.700000000000002</v>
      </c>
      <c r="H210" s="8">
        <f t="shared" ref="H210:AB210" ca="1" si="125" xml:space="preserve"> (D*(1-nu)*(G59-I59+I61-G61))/(4*delta^2)</f>
        <v>6.6066077717908362E-7</v>
      </c>
      <c r="I210" s="7">
        <f t="shared" ca="1" si="125"/>
        <v>-42.176819531745245</v>
      </c>
      <c r="J210" s="7">
        <f t="shared" ca="1" si="125"/>
        <v>-80.801675633836993</v>
      </c>
      <c r="K210" s="7">
        <f t="shared" ca="1" si="125"/>
        <v>-115.5846245238894</v>
      </c>
      <c r="L210" s="7">
        <f t="shared" ca="1" si="125"/>
        <v>-146.36049803712112</v>
      </c>
      <c r="M210" s="7">
        <f t="shared" ca="1" si="125"/>
        <v>-173.07665205653223</v>
      </c>
      <c r="N210" s="7">
        <f t="shared" ca="1" si="125"/>
        <v>-195.78085890763444</v>
      </c>
      <c r="O210" s="7">
        <f t="shared" ca="1" si="125"/>
        <v>-214.60964620990214</v>
      </c>
      <c r="P210" s="7">
        <f t="shared" ca="1" si="125"/>
        <v>-229.77703513266775</v>
      </c>
      <c r="Q210" s="7">
        <f t="shared" ca="1" si="125"/>
        <v>-241.56340644884889</v>
      </c>
      <c r="R210" s="7">
        <f t="shared" ca="1" si="125"/>
        <v>-250.30413993195904</v>
      </c>
      <c r="S210" s="7">
        <f t="shared" ca="1" si="125"/>
        <v>-256.37773106553459</v>
      </c>
      <c r="T210" s="7">
        <f t="shared" ca="1" si="125"/>
        <v>-260.19326598855673</v>
      </c>
      <c r="U210" s="7">
        <f t="shared" ca="1" si="125"/>
        <v>-262.17738290813224</v>
      </c>
      <c r="V210" s="7">
        <f t="shared" ca="1" si="125"/>
        <v>-262.76109738790075</v>
      </c>
      <c r="W210" s="7">
        <f t="shared" ca="1" si="125"/>
        <v>-262.36704653592085</v>
      </c>
      <c r="X210" s="7">
        <f t="shared" ca="1" si="125"/>
        <v>-261.39775619805141</v>
      </c>
      <c r="Y210" s="7">
        <f t="shared" ca="1" si="125"/>
        <v>-260.22543406913729</v>
      </c>
      <c r="Z210" s="7">
        <f t="shared" ca="1" si="125"/>
        <v>-259.18356156777935</v>
      </c>
      <c r="AA210" s="7">
        <f t="shared" ca="1" si="125"/>
        <v>-258.56025658272512</v>
      </c>
      <c r="AB210" s="8">
        <f t="shared" ca="1" si="125"/>
        <v>-258.593085062407</v>
      </c>
    </row>
    <row r="211" spans="4:28" x14ac:dyDescent="0.25">
      <c r="D211" s="17"/>
      <c r="E211" s="2">
        <f t="shared" si="121"/>
        <v>3.6000000000000019</v>
      </c>
      <c r="H211" s="8">
        <f t="shared" ref="H211:AB211" ca="1" si="126" xml:space="preserve"> (D*(1-nu)*(G60-I60+I62-G62))/(4*delta^2)</f>
        <v>6.4560553327443695E-7</v>
      </c>
      <c r="I211" s="7">
        <f t="shared" ca="1" si="126"/>
        <v>-42.941809777623121</v>
      </c>
      <c r="J211" s="7">
        <f t="shared" ca="1" si="126"/>
        <v>-82.104175975116277</v>
      </c>
      <c r="K211" s="7">
        <f t="shared" ca="1" si="126"/>
        <v>-117.21926689580593</v>
      </c>
      <c r="L211" s="7">
        <f t="shared" ca="1" si="126"/>
        <v>-148.1461449843533</v>
      </c>
      <c r="M211" s="7">
        <f t="shared" ca="1" si="126"/>
        <v>-174.85661243163827</v>
      </c>
      <c r="N211" s="7">
        <f t="shared" ca="1" si="126"/>
        <v>-197.42216439043713</v>
      </c>
      <c r="O211" s="7">
        <f t="shared" ca="1" si="126"/>
        <v>-216.00218082247281</v>
      </c>
      <c r="P211" s="7">
        <f t="shared" ca="1" si="126"/>
        <v>-230.83305415149286</v>
      </c>
      <c r="Q211" s="7">
        <f t="shared" ca="1" si="126"/>
        <v>-242.21768134449837</v>
      </c>
      <c r="R211" s="7">
        <f t="shared" ca="1" si="126"/>
        <v>-250.51466598269769</v>
      </c>
      <c r="S211" s="7">
        <f t="shared" ca="1" si="126"/>
        <v>-256.12668434190022</v>
      </c>
      <c r="T211" s="7">
        <f t="shared" ca="1" si="126"/>
        <v>-259.48774729938253</v>
      </c>
      <c r="U211" s="7">
        <f t="shared" ca="1" si="126"/>
        <v>-261.04947483147794</v>
      </c>
      <c r="V211" s="7">
        <f t="shared" ca="1" si="126"/>
        <v>-261.26689257672064</v>
      </c>
      <c r="W211" s="7">
        <f t="shared" ca="1" si="126"/>
        <v>-260.58454695804232</v>
      </c>
      <c r="X211" s="7">
        <f t="shared" ca="1" si="126"/>
        <v>-259.42382555730939</v>
      </c>
      <c r="Y211" s="7">
        <f t="shared" ca="1" si="126"/>
        <v>-258.17222693128861</v>
      </c>
      <c r="Z211" s="7">
        <f t="shared" ca="1" si="126"/>
        <v>-257.17498219910328</v>
      </c>
      <c r="AA211" s="7">
        <f t="shared" ca="1" si="126"/>
        <v>-256.72898123008599</v>
      </c>
      <c r="AB211" s="8">
        <f t="shared" ca="1" si="126"/>
        <v>-257.07851893408935</v>
      </c>
    </row>
    <row r="212" spans="4:28" x14ac:dyDescent="0.25">
      <c r="D212" s="17"/>
      <c r="E212" s="2">
        <f t="shared" si="121"/>
        <v>3.5000000000000018</v>
      </c>
      <c r="H212" s="8">
        <f t="shared" ref="H212:AB212" ca="1" si="127" xml:space="preserve"> (D*(1-nu)*(G61-I61+I63-G63))/(4*delta^2)</f>
        <v>6.2649500205693907E-7</v>
      </c>
      <c r="I212" s="7">
        <f t="shared" ca="1" si="127"/>
        <v>-43.911973919944714</v>
      </c>
      <c r="J212" s="7">
        <f t="shared" ca="1" si="127"/>
        <v>-83.748532543858488</v>
      </c>
      <c r="K212" s="7">
        <f t="shared" ca="1" si="127"/>
        <v>-119.27344608765303</v>
      </c>
      <c r="L212" s="7">
        <f t="shared" ca="1" si="127"/>
        <v>-150.378944826854</v>
      </c>
      <c r="M212" s="7">
        <f t="shared" ca="1" si="127"/>
        <v>-177.06914249784396</v>
      </c>
      <c r="N212" s="7">
        <f t="shared" ca="1" si="127"/>
        <v>-199.44596790815763</v>
      </c>
      <c r="O212" s="7">
        <f t="shared" ca="1" si="127"/>
        <v>-217.69746115855139</v>
      </c>
      <c r="P212" s="7">
        <f t="shared" ca="1" si="127"/>
        <v>-232.08775395195542</v>
      </c>
      <c r="Q212" s="7">
        <f t="shared" ca="1" si="127"/>
        <v>-242.94772465531668</v>
      </c>
      <c r="R212" s="7">
        <f t="shared" ca="1" si="127"/>
        <v>-250.66522783859924</v>
      </c>
      <c r="S212" s="7">
        <f t="shared" ca="1" si="127"/>
        <v>-255.67396989068166</v>
      </c>
      <c r="T212" s="7">
        <f t="shared" ca="1" si="127"/>
        <v>-258.44052607308117</v>
      </c>
      <c r="U212" s="7">
        <f t="shared" ca="1" si="127"/>
        <v>-259.44959273010602</v>
      </c>
      <c r="V212" s="7">
        <f t="shared" ca="1" si="127"/>
        <v>-259.1881930494576</v>
      </c>
      <c r="W212" s="7">
        <f t="shared" ca="1" si="127"/>
        <v>-258.13002300108099</v>
      </c>
      <c r="X212" s="7">
        <f t="shared" ca="1" si="127"/>
        <v>-256.72128389786064</v>
      </c>
      <c r="Y212" s="7">
        <f t="shared" ca="1" si="127"/>
        <v>-255.36913805682997</v>
      </c>
      <c r="Z212" s="7">
        <f t="shared" ca="1" si="127"/>
        <v>-254.43339847976617</v>
      </c>
      <c r="AA212" s="7">
        <f t="shared" ca="1" si="127"/>
        <v>-254.22137213610313</v>
      </c>
      <c r="AB212" s="8">
        <f t="shared" ca="1" si="127"/>
        <v>-254.98510986459877</v>
      </c>
    </row>
    <row r="213" spans="4:28" x14ac:dyDescent="0.25">
      <c r="D213" s="17"/>
      <c r="E213" s="2">
        <f t="shared" si="121"/>
        <v>3.4000000000000017</v>
      </c>
      <c r="H213" s="8">
        <f t="shared" ref="H213:AB213" ca="1" si="128" xml:space="preserve"> (D*(1-nu)*(G62-I62+I64-G64))/(4*delta^2)</f>
        <v>6.0347456370070999E-7</v>
      </c>
      <c r="I213" s="7">
        <f t="shared" ca="1" si="128"/>
        <v>-45.074515730598513</v>
      </c>
      <c r="J213" s="7">
        <f t="shared" ca="1" si="128"/>
        <v>-85.707277240294559</v>
      </c>
      <c r="K213" s="7">
        <f t="shared" ca="1" si="128"/>
        <v>-121.70572428883717</v>
      </c>
      <c r="L213" s="7">
        <f t="shared" ca="1" si="128"/>
        <v>-153.0057026793211</v>
      </c>
      <c r="M213" s="7">
        <f t="shared" ca="1" si="128"/>
        <v>-179.65202223837773</v>
      </c>
      <c r="N213" s="7">
        <f t="shared" ca="1" si="128"/>
        <v>-201.78346854538233</v>
      </c>
      <c r="O213" s="7">
        <f t="shared" ca="1" si="128"/>
        <v>-219.6217129338815</v>
      </c>
      <c r="P213" s="7">
        <f t="shared" ca="1" si="128"/>
        <v>-233.4629144000572</v>
      </c>
      <c r="Q213" s="7">
        <f t="shared" ca="1" si="128"/>
        <v>-243.67039435298125</v>
      </c>
      <c r="R213" s="7">
        <f t="shared" ca="1" si="128"/>
        <v>-250.66664214036129</v>
      </c>
      <c r="S213" s="7">
        <f t="shared" ca="1" si="128"/>
        <v>-254.92314605351405</v>
      </c>
      <c r="T213" s="7">
        <f t="shared" ca="1" si="128"/>
        <v>-256.94716776271713</v>
      </c>
      <c r="U213" s="7">
        <f t="shared" ca="1" si="128"/>
        <v>-257.26550134226022</v>
      </c>
      <c r="V213" s="7">
        <f t="shared" ca="1" si="128"/>
        <v>-256.40625595370096</v>
      </c>
      <c r="W213" s="7">
        <f t="shared" ca="1" si="128"/>
        <v>-254.88046954142538</v>
      </c>
      <c r="X213" s="7">
        <f t="shared" ca="1" si="128"/>
        <v>-253.16563854059618</v>
      </c>
      <c r="Y213" s="7">
        <f t="shared" ca="1" si="128"/>
        <v>-251.69292875856368</v>
      </c>
      <c r="Z213" s="7">
        <f t="shared" ca="1" si="128"/>
        <v>-250.83900643660473</v>
      </c>
      <c r="AA213" s="7">
        <f t="shared" ca="1" si="128"/>
        <v>-250.92234827473155</v>
      </c>
      <c r="AB213" s="8">
        <f t="shared" ca="1" si="128"/>
        <v>-252.20286552619115</v>
      </c>
    </row>
    <row r="214" spans="4:28" x14ac:dyDescent="0.25">
      <c r="D214" s="17"/>
      <c r="E214" s="2">
        <f t="shared" si="121"/>
        <v>3.3000000000000016</v>
      </c>
      <c r="H214" s="8">
        <f t="shared" ref="H214:AB214" ca="1" si="129" xml:space="preserve"> (D*(1-nu)*(G63-I63+I65-G65))/(4*delta^2)</f>
        <v>5.7670912938671765E-7</v>
      </c>
      <c r="I214" s="7">
        <f t="shared" ca="1" si="129"/>
        <v>-46.410452764779791</v>
      </c>
      <c r="J214" s="7">
        <f t="shared" ca="1" si="129"/>
        <v>-87.941136798512048</v>
      </c>
      <c r="K214" s="7">
        <f t="shared" ca="1" si="129"/>
        <v>-124.45855516974096</v>
      </c>
      <c r="L214" s="7">
        <f t="shared" ca="1" si="129"/>
        <v>-155.95442816306581</v>
      </c>
      <c r="M214" s="7">
        <f t="shared" ca="1" si="129"/>
        <v>-182.52310527683053</v>
      </c>
      <c r="N214" s="7">
        <f t="shared" ca="1" si="129"/>
        <v>-204.34602618030459</v>
      </c>
      <c r="O214" s="7">
        <f t="shared" ca="1" si="129"/>
        <v>-221.68209946417227</v>
      </c>
      <c r="P214" s="7">
        <f t="shared" ca="1" si="129"/>
        <v>-234.86210646363918</v>
      </c>
      <c r="Q214" s="7">
        <f t="shared" ca="1" si="129"/>
        <v>-244.28470125234773</v>
      </c>
      <c r="R214" s="7">
        <f t="shared" ca="1" si="129"/>
        <v>-250.41136146745822</v>
      </c>
      <c r="S214" s="7">
        <f t="shared" ca="1" si="129"/>
        <v>-253.75791356025229</v>
      </c>
      <c r="T214" s="7">
        <f t="shared" ca="1" si="129"/>
        <v>-254.88113360933306</v>
      </c>
      <c r="U214" s="7">
        <f t="shared" ca="1" si="129"/>
        <v>-254.36033967176459</v>
      </c>
      <c r="V214" s="7">
        <f t="shared" ca="1" si="129"/>
        <v>-252.77549615318176</v>
      </c>
      <c r="W214" s="7">
        <f t="shared" ca="1" si="129"/>
        <v>-250.6846214290639</v>
      </c>
      <c r="X214" s="7">
        <f t="shared" ca="1" si="129"/>
        <v>-248.60376842956614</v>
      </c>
      <c r="Y214" s="7">
        <f t="shared" ca="1" si="129"/>
        <v>-246.99234713114552</v>
      </c>
      <c r="Z214" s="7">
        <f t="shared" ca="1" si="129"/>
        <v>-246.24523553774767</v>
      </c>
      <c r="AA214" s="7">
        <f t="shared" ca="1" si="129"/>
        <v>-246.69141860399506</v>
      </c>
      <c r="AB214" s="8">
        <f t="shared" ca="1" si="129"/>
        <v>-248.59732376652329</v>
      </c>
    </row>
    <row r="215" spans="4:28" x14ac:dyDescent="0.25">
      <c r="D215" s="17"/>
      <c r="E215" s="2">
        <f t="shared" si="121"/>
        <v>3.2000000000000015</v>
      </c>
      <c r="H215" s="8">
        <f t="shared" ref="H215:AB215" ca="1" si="130" xml:space="preserve"> (D*(1-nu)*(G64-I64+I66-G66))/(4*delta^2)</f>
        <v>5.4638302104344305E-7</v>
      </c>
      <c r="I215" s="7">
        <f t="shared" ca="1" si="130"/>
        <v>-47.892220947776856</v>
      </c>
      <c r="J215" s="7">
        <f t="shared" ca="1" si="130"/>
        <v>-90.395049179861473</v>
      </c>
      <c r="K215" s="7">
        <f t="shared" ca="1" si="130"/>
        <v>-127.45354259480635</v>
      </c>
      <c r="L215" s="7">
        <f t="shared" ca="1" si="130"/>
        <v>-159.12959540688837</v>
      </c>
      <c r="M215" s="7">
        <f t="shared" ca="1" si="130"/>
        <v>-185.57621625864141</v>
      </c>
      <c r="N215" s="7">
        <f t="shared" ca="1" si="130"/>
        <v>-207.02216704144769</v>
      </c>
      <c r="O215" s="7">
        <f t="shared" ca="1" si="130"/>
        <v>-223.76509317266488</v>
      </c>
      <c r="P215" s="7">
        <f t="shared" ca="1" si="130"/>
        <v>-236.17043153510062</v>
      </c>
      <c r="Q215" s="7">
        <f t="shared" ca="1" si="130"/>
        <v>-244.67265331478239</v>
      </c>
      <c r="R215" s="7">
        <f t="shared" ca="1" si="130"/>
        <v>-249.77495218449567</v>
      </c>
      <c r="S215" s="7">
        <f t="shared" ca="1" si="130"/>
        <v>-252.04367450980047</v>
      </c>
      <c r="T215" s="7">
        <f t="shared" ca="1" si="130"/>
        <v>-252.09495284922454</v>
      </c>
      <c r="U215" s="7">
        <f t="shared" ca="1" si="130"/>
        <v>-250.57316370142993</v>
      </c>
      <c r="V215" s="7">
        <f t="shared" ca="1" si="130"/>
        <v>-248.12343970404592</v>
      </c>
      <c r="W215" s="7">
        <f t="shared" ca="1" si="130"/>
        <v>-245.36259175495977</v>
      </c>
      <c r="X215" s="7">
        <f t="shared" ca="1" si="130"/>
        <v>-242.85361909045787</v>
      </c>
      <c r="Y215" s="7">
        <f t="shared" ca="1" si="130"/>
        <v>-241.08818188927063</v>
      </c>
      <c r="Z215" s="7">
        <f t="shared" ca="1" si="130"/>
        <v>-240.47925647738376</v>
      </c>
      <c r="AA215" s="7">
        <f t="shared" ca="1" si="130"/>
        <v>-241.36346289982922</v>
      </c>
      <c r="AB215" s="8">
        <f t="shared" ca="1" si="130"/>
        <v>-244.01015698387675</v>
      </c>
    </row>
    <row r="216" spans="4:28" x14ac:dyDescent="0.25">
      <c r="D216" s="17"/>
      <c r="E216" s="2">
        <f t="shared" si="121"/>
        <v>3.1000000000000014</v>
      </c>
      <c r="H216" s="8">
        <f t="shared" ref="H216:AB216" ca="1" si="131" xml:space="preserve"> (D*(1-nu)*(G65-I65+I67-G67))/(4*delta^2)</f>
        <v>5.1269946803929127E-7</v>
      </c>
      <c r="I216" s="7">
        <f t="shared" ca="1" si="131"/>
        <v>-49.480534178197715</v>
      </c>
      <c r="J216" s="7">
        <f t="shared" ca="1" si="131"/>
        <v>-92.993022225091451</v>
      </c>
      <c r="K216" s="7">
        <f t="shared" ca="1" si="131"/>
        <v>-130.58536358947927</v>
      </c>
      <c r="L216" s="7">
        <f t="shared" ca="1" si="131"/>
        <v>-162.40606440217371</v>
      </c>
      <c r="M216" s="7">
        <f t="shared" ca="1" si="131"/>
        <v>-188.67586132151288</v>
      </c>
      <c r="N216" s="7">
        <f t="shared" ca="1" si="131"/>
        <v>-209.6737047514533</v>
      </c>
      <c r="O216" s="7">
        <f t="shared" ca="1" si="131"/>
        <v>-225.73439472033172</v>
      </c>
      <c r="P216" s="7">
        <f t="shared" ca="1" si="131"/>
        <v>-237.25430533628807</v>
      </c>
      <c r="Q216" s="7">
        <f t="shared" ca="1" si="131"/>
        <v>-244.70059662438337</v>
      </c>
      <c r="R216" s="7">
        <f t="shared" ca="1" si="131"/>
        <v>-248.61835788480127</v>
      </c>
      <c r="S216" s="7">
        <f t="shared" ca="1" si="131"/>
        <v>-249.6299342270207</v>
      </c>
      <c r="T216" s="7">
        <f t="shared" ca="1" si="131"/>
        <v>-248.42208639143891</v>
      </c>
      <c r="U216" s="7">
        <f t="shared" ca="1" si="131"/>
        <v>-245.71992865576178</v>
      </c>
      <c r="V216" s="7">
        <f t="shared" ca="1" si="131"/>
        <v>-242.25090793483344</v>
      </c>
      <c r="W216" s="7">
        <f t="shared" ca="1" si="131"/>
        <v>-238.70568741401371</v>
      </c>
      <c r="X216" s="7">
        <f t="shared" ca="1" si="131"/>
        <v>-235.70420753026386</v>
      </c>
      <c r="Y216" s="7">
        <f t="shared" ca="1" si="131"/>
        <v>-233.77388224411644</v>
      </c>
      <c r="Z216" s="7">
        <f t="shared" ca="1" si="131"/>
        <v>-233.3433129080816</v>
      </c>
      <c r="AA216" s="7">
        <f t="shared" ca="1" si="131"/>
        <v>-234.75046316232522</v>
      </c>
      <c r="AB216" s="8">
        <f t="shared" ca="1" si="131"/>
        <v>-238.26060653906623</v>
      </c>
    </row>
    <row r="217" spans="4:28" x14ac:dyDescent="0.25">
      <c r="D217" s="17"/>
      <c r="E217" s="2">
        <f t="shared" si="121"/>
        <v>3.0000000000000013</v>
      </c>
      <c r="H217" s="8">
        <f t="shared" ref="H217:AB217" ca="1" si="132" xml:space="preserve"> (D*(1-nu)*(G66-I66+I68-G68))/(4*delta^2)</f>
        <v>4.7587980990774059E-7</v>
      </c>
      <c r="I217" s="7">
        <f t="shared" ca="1" si="132"/>
        <v>-51.120433614829707</v>
      </c>
      <c r="J217" s="7">
        <f t="shared" ca="1" si="132"/>
        <v>-95.631761312031315</v>
      </c>
      <c r="K217" s="7">
        <f t="shared" ca="1" si="132"/>
        <v>-133.71425203868026</v>
      </c>
      <c r="L217" s="7">
        <f t="shared" ca="1" si="132"/>
        <v>-165.62148735979594</v>
      </c>
      <c r="M217" s="7">
        <f t="shared" ca="1" si="132"/>
        <v>-191.65048603601926</v>
      </c>
      <c r="N217" s="7">
        <f t="shared" ca="1" si="132"/>
        <v>-212.13065724538515</v>
      </c>
      <c r="O217" s="7">
        <f t="shared" ca="1" si="132"/>
        <v>-227.42810975288336</v>
      </c>
      <c r="P217" s="7">
        <f t="shared" ca="1" si="132"/>
        <v>-237.96112243825687</v>
      </c>
      <c r="Q217" s="7">
        <f t="shared" ca="1" si="132"/>
        <v>-244.22107101895932</v>
      </c>
      <c r="R217" s="7">
        <f t="shared" ca="1" si="132"/>
        <v>-246.79112800148494</v>
      </c>
      <c r="S217" s="7">
        <f t="shared" ca="1" si="132"/>
        <v>-246.3538050852184</v>
      </c>
      <c r="T217" s="7">
        <f t="shared" ca="1" si="132"/>
        <v>-243.67973296303541</v>
      </c>
      <c r="U217" s="7">
        <f t="shared" ca="1" si="132"/>
        <v>-239.59511447074405</v>
      </c>
      <c r="V217" s="7">
        <f t="shared" ca="1" si="132"/>
        <v>-234.93261803396956</v>
      </c>
      <c r="W217" s="7">
        <f t="shared" ca="1" si="132"/>
        <v>-230.47664937924935</v>
      </c>
      <c r="X217" s="7">
        <f t="shared" ca="1" si="132"/>
        <v>-226.91632315581592</v>
      </c>
      <c r="Y217" s="7">
        <f t="shared" ca="1" si="132"/>
        <v>-224.81728982417377</v>
      </c>
      <c r="Z217" s="7">
        <f t="shared" ca="1" si="132"/>
        <v>-224.61753339825253</v>
      </c>
      <c r="AA217" s="7">
        <f t="shared" ca="1" si="132"/>
        <v>-226.64485745933996</v>
      </c>
      <c r="AB217" s="8">
        <f t="shared" ca="1" si="132"/>
        <v>-231.14832157553545</v>
      </c>
    </row>
    <row r="218" spans="4:28" x14ac:dyDescent="0.25">
      <c r="D218" s="17"/>
      <c r="E218" s="2">
        <f t="shared" si="121"/>
        <v>2.9000000000000012</v>
      </c>
      <c r="H218" s="8">
        <f t="shared" ref="H218:AB218" ca="1" si="133" xml:space="preserve"> (D*(1-nu)*(G67-I67+I69-G69))/(4*delta^2)</f>
        <v>4.3616244519167089E-7</v>
      </c>
      <c r="I218" s="7">
        <f t="shared" ca="1" si="133"/>
        <v>-52.736573698263214</v>
      </c>
      <c r="J218" s="7">
        <f t="shared" ca="1" si="133"/>
        <v>-98.173167357598913</v>
      </c>
      <c r="K218" s="7">
        <f t="shared" ca="1" si="133"/>
        <v>-136.65709904445205</v>
      </c>
      <c r="L218" s="7">
        <f t="shared" ca="1" si="133"/>
        <v>-168.56709348700684</v>
      </c>
      <c r="M218" s="7">
        <f t="shared" ca="1" si="133"/>
        <v>-194.28394600346786</v>
      </c>
      <c r="N218" s="7">
        <f t="shared" ca="1" si="133"/>
        <v>-214.18442764172593</v>
      </c>
      <c r="O218" s="7">
        <f t="shared" ca="1" si="133"/>
        <v>-228.65458860378268</v>
      </c>
      <c r="P218" s="7">
        <f t="shared" ca="1" si="133"/>
        <v>-238.11833019119658</v>
      </c>
      <c r="Q218" s="7">
        <f t="shared" ca="1" si="133"/>
        <v>-243.07497144894558</v>
      </c>
      <c r="R218" s="7">
        <f t="shared" ca="1" si="133"/>
        <v>-244.13567460983114</v>
      </c>
      <c r="S218" s="7">
        <f t="shared" ca="1" si="133"/>
        <v>-242.04484286557505</v>
      </c>
      <c r="T218" s="7">
        <f t="shared" ca="1" si="133"/>
        <v>-237.67285558292735</v>
      </c>
      <c r="U218" s="7">
        <f t="shared" ca="1" si="133"/>
        <v>-231.97426831120404</v>
      </c>
      <c r="V218" s="7">
        <f t="shared" ca="1" si="133"/>
        <v>-225.91851364064715</v>
      </c>
      <c r="W218" s="7">
        <f t="shared" ca="1" si="133"/>
        <v>-220.4107833528397</v>
      </c>
      <c r="X218" s="7">
        <f t="shared" ca="1" si="133"/>
        <v>-216.2246414404934</v>
      </c>
      <c r="Y218" s="7">
        <f t="shared" ca="1" si="133"/>
        <v>-213.96444309247212</v>
      </c>
      <c r="Z218" s="7">
        <f t="shared" ca="1" si="133"/>
        <v>-214.06530452280964</v>
      </c>
      <c r="AA218" s="7">
        <f t="shared" ca="1" si="133"/>
        <v>-216.82555419537027</v>
      </c>
      <c r="AB218" s="8">
        <f t="shared" ca="1" si="133"/>
        <v>-222.45845679614885</v>
      </c>
    </row>
    <row r="219" spans="4:28" x14ac:dyDescent="0.25">
      <c r="D219" s="17"/>
      <c r="E219" s="2">
        <f t="shared" si="121"/>
        <v>2.8000000000000012</v>
      </c>
      <c r="H219" s="8">
        <f t="shared" ref="H219:AB219" ca="1" si="134" xml:space="preserve"> (D*(1-nu)*(G68-I68+I70-G70))/(4*delta^2)</f>
        <v>3.9380201189826503E-7</v>
      </c>
      <c r="I219" s="7">
        <f t="shared" ca="1" si="134"/>
        <v>-54.228012400213366</v>
      </c>
      <c r="J219" s="7">
        <f t="shared" ca="1" si="134"/>
        <v>-100.43614013061018</v>
      </c>
      <c r="K219" s="7">
        <f t="shared" ca="1" si="134"/>
        <v>-139.17754615706571</v>
      </c>
      <c r="L219" s="7">
        <f t="shared" ca="1" si="134"/>
        <v>-170.97693065512181</v>
      </c>
      <c r="M219" s="7">
        <f t="shared" ca="1" si="134"/>
        <v>-196.30480887082945</v>
      </c>
      <c r="N219" s="7">
        <f t="shared" ca="1" si="134"/>
        <v>-215.57840245899311</v>
      </c>
      <c r="O219" s="7">
        <f t="shared" ca="1" si="134"/>
        <v>-229.18580894595627</v>
      </c>
      <c r="P219" s="7">
        <f t="shared" ca="1" si="134"/>
        <v>-237.53085284268164</v>
      </c>
      <c r="Q219" s="7">
        <f t="shared" ca="1" si="134"/>
        <v>-241.09331805038877</v>
      </c>
      <c r="R219" s="7">
        <f t="shared" ca="1" si="134"/>
        <v>-240.49230818728194</v>
      </c>
      <c r="S219" s="7">
        <f t="shared" ca="1" si="134"/>
        <v>-236.53129321236997</v>
      </c>
      <c r="T219" s="7">
        <f t="shared" ca="1" si="134"/>
        <v>-230.19968680645098</v>
      </c>
      <c r="U219" s="7">
        <f t="shared" ca="1" si="134"/>
        <v>-222.61785082292153</v>
      </c>
      <c r="V219" s="7">
        <f t="shared" ca="1" si="134"/>
        <v>-214.93639388528848</v>
      </c>
      <c r="W219" s="7">
        <f t="shared" ca="1" si="134"/>
        <v>-208.21887390954942</v>
      </c>
      <c r="X219" s="7">
        <f t="shared" ca="1" si="134"/>
        <v>-203.34258312596819</v>
      </c>
      <c r="Y219" s="7">
        <f t="shared" ca="1" si="134"/>
        <v>-200.94714155230722</v>
      </c>
      <c r="Z219" s="7">
        <f t="shared" ca="1" si="134"/>
        <v>-201.44296895156933</v>
      </c>
      <c r="AA219" s="7">
        <f t="shared" ca="1" si="134"/>
        <v>-205.06816901920152</v>
      </c>
      <c r="AB219" s="8">
        <f t="shared" ca="1" si="134"/>
        <v>-211.970250502433</v>
      </c>
    </row>
    <row r="220" spans="4:28" x14ac:dyDescent="0.25">
      <c r="D220" s="17"/>
      <c r="E220" s="2">
        <f t="shared" si="121"/>
        <v>2.7000000000000011</v>
      </c>
      <c r="H220" s="8">
        <f t="shared" ref="H220:AB220" ca="1" si="135" xml:space="preserve"> (D*(1-nu)*(G69-I69+I71-G71))/(4*delta^2)</f>
        <v>3.4906775731690896E-7</v>
      </c>
      <c r="I220" s="7">
        <f t="shared" ca="1" si="135"/>
        <v>-55.463144335487833</v>
      </c>
      <c r="J220" s="7">
        <f t="shared" ca="1" si="135"/>
        <v>-102.18868064911086</v>
      </c>
      <c r="K220" s="7">
        <f t="shared" ca="1" si="135"/>
        <v>-140.97601831308251</v>
      </c>
      <c r="L220" s="7">
        <f t="shared" ca="1" si="135"/>
        <v>-172.51604770398578</v>
      </c>
      <c r="M220" s="7">
        <f t="shared" ca="1" si="135"/>
        <v>-197.37317035072496</v>
      </c>
      <c r="N220" s="7">
        <f t="shared" ca="1" si="135"/>
        <v>-215.99471922278718</v>
      </c>
      <c r="O220" s="7">
        <f t="shared" ca="1" si="135"/>
        <v>-228.74633669540461</v>
      </c>
      <c r="P220" s="7">
        <f t="shared" ca="1" si="135"/>
        <v>-235.97473875477436</v>
      </c>
      <c r="Q220" s="7">
        <f t="shared" ca="1" si="135"/>
        <v>-238.09695740016625</v>
      </c>
      <c r="R220" s="7">
        <f t="shared" ca="1" si="135"/>
        <v>-235.70408246965661</v>
      </c>
      <c r="S220" s="7">
        <f t="shared" ca="1" si="135"/>
        <v>-229.64737562066887</v>
      </c>
      <c r="T220" s="7">
        <f t="shared" ca="1" si="135"/>
        <v>-221.05882631139932</v>
      </c>
      <c r="U220" s="7">
        <f t="shared" ca="1" si="135"/>
        <v>-211.2769847695638</v>
      </c>
      <c r="V220" s="7">
        <f t="shared" ca="1" si="135"/>
        <v>-201.69694744276435</v>
      </c>
      <c r="W220" s="7">
        <f t="shared" ca="1" si="135"/>
        <v>-193.59361888310701</v>
      </c>
      <c r="X220" s="7">
        <f t="shared" ca="1" si="135"/>
        <v>-187.97239272651163</v>
      </c>
      <c r="Y220" s="7">
        <f t="shared" ca="1" si="135"/>
        <v>-185.49721534530246</v>
      </c>
      <c r="Z220" s="7">
        <f t="shared" ca="1" si="135"/>
        <v>-186.51667656017639</v>
      </c>
      <c r="AA220" s="7">
        <f t="shared" ca="1" si="135"/>
        <v>-191.16173769694737</v>
      </c>
      <c r="AB220" s="8">
        <f t="shared" ca="1" si="135"/>
        <v>-199.47071783167343</v>
      </c>
    </row>
    <row r="221" spans="4:28" x14ac:dyDescent="0.25">
      <c r="D221" s="17"/>
      <c r="E221" s="2">
        <f t="shared" si="121"/>
        <v>2.600000000000001</v>
      </c>
      <c r="H221" s="8">
        <f t="shared" ref="H221:AB221" ca="1" si="136" xml:space="preserve"> (D*(1-nu)*(G70-I70+I72-G72))/(4*delta^2)</f>
        <v>3.0224212163146614E-7</v>
      </c>
      <c r="I221" s="7">
        <f t="shared" ca="1" si="136"/>
        <v>-56.275962443261598</v>
      </c>
      <c r="J221" s="7">
        <f t="shared" ca="1" si="136"/>
        <v>-103.1421217782418</v>
      </c>
      <c r="K221" s="7">
        <f t="shared" ca="1" si="136"/>
        <v>-141.6815744986136</v>
      </c>
      <c r="L221" s="7">
        <f t="shared" ca="1" si="136"/>
        <v>-172.76891199378528</v>
      </c>
      <c r="M221" s="7">
        <f t="shared" ca="1" si="136"/>
        <v>-197.06506099744857</v>
      </c>
      <c r="N221" s="7">
        <f t="shared" ca="1" si="136"/>
        <v>-215.0356101376091</v>
      </c>
      <c r="O221" s="7">
        <f t="shared" ca="1" si="136"/>
        <v>-226.99466842350921</v>
      </c>
      <c r="P221" s="7">
        <f t="shared" ca="1" si="136"/>
        <v>-233.18304407474207</v>
      </c>
      <c r="Q221" s="7">
        <f t="shared" ca="1" si="136"/>
        <v>-233.89061064576174</v>
      </c>
      <c r="R221" s="7">
        <f t="shared" ca="1" si="136"/>
        <v>-229.6189008491952</v>
      </c>
      <c r="S221" s="7">
        <f t="shared" ca="1" si="136"/>
        <v>-221.24007356028383</v>
      </c>
      <c r="T221" s="7">
        <f t="shared" ca="1" si="136"/>
        <v>-210.05757619553785</v>
      </c>
      <c r="U221" s="7">
        <f t="shared" ca="1" si="136"/>
        <v>-197.7021700281673</v>
      </c>
      <c r="V221" s="7">
        <f t="shared" ca="1" si="136"/>
        <v>-185.90349462269862</v>
      </c>
      <c r="W221" s="7">
        <f t="shared" ca="1" si="136"/>
        <v>-176.22300837268159</v>
      </c>
      <c r="X221" s="7">
        <f t="shared" ca="1" si="136"/>
        <v>-169.82501250234822</v>
      </c>
      <c r="Y221" s="7">
        <f t="shared" ca="1" si="136"/>
        <v>-167.37257586262135</v>
      </c>
      <c r="Z221" s="7">
        <f t="shared" ca="1" si="136"/>
        <v>-169.09077366843158</v>
      </c>
      <c r="AA221" s="7">
        <f t="shared" ca="1" si="136"/>
        <v>-174.93491585367997</v>
      </c>
      <c r="AB221" s="8">
        <f t="shared" ca="1" si="136"/>
        <v>-184.77539680398809</v>
      </c>
    </row>
    <row r="222" spans="4:28" x14ac:dyDescent="0.25">
      <c r="D222" s="17"/>
      <c r="E222" s="2">
        <f t="shared" si="121"/>
        <v>2.5000000000000009</v>
      </c>
      <c r="H222" s="8">
        <f t="shared" ref="H222:AB222" ca="1" si="137" xml:space="preserve"> (D*(1-nu)*(G71-I71+I73-G73))/(4*delta^2)</f>
        <v>2.536192769920571E-7</v>
      </c>
      <c r="I222" s="7">
        <f t="shared" ca="1" si="137"/>
        <v>-56.465520304189766</v>
      </c>
      <c r="J222" s="7">
        <f t="shared" ca="1" si="137"/>
        <v>-102.95040801269708</v>
      </c>
      <c r="K222" s="7">
        <f t="shared" ca="1" si="137"/>
        <v>-140.84884200733589</v>
      </c>
      <c r="L222" s="7">
        <f t="shared" ca="1" si="137"/>
        <v>-171.23086858392662</v>
      </c>
      <c r="M222" s="7">
        <f t="shared" ca="1" si="137"/>
        <v>-194.85572877145762</v>
      </c>
      <c r="N222" s="7">
        <f t="shared" ca="1" si="137"/>
        <v>-212.1979223393362</v>
      </c>
      <c r="O222" s="7">
        <f t="shared" ca="1" si="137"/>
        <v>-223.49227605705107</v>
      </c>
      <c r="P222" s="7">
        <f t="shared" ca="1" si="137"/>
        <v>-228.8168750481598</v>
      </c>
      <c r="Q222" s="7">
        <f t="shared" ca="1" si="137"/>
        <v>-228.24402446483575</v>
      </c>
      <c r="R222" s="7">
        <f t="shared" ca="1" si="137"/>
        <v>-222.08292728830054</v>
      </c>
      <c r="S222" s="7">
        <f t="shared" ca="1" si="137"/>
        <v>-211.17103524137465</v>
      </c>
      <c r="T222" s="7">
        <f t="shared" ca="1" si="137"/>
        <v>-197.01987355211898</v>
      </c>
      <c r="U222" s="7">
        <f t="shared" ca="1" si="137"/>
        <v>-181.6571697077969</v>
      </c>
      <c r="V222" s="7">
        <f t="shared" ca="1" si="137"/>
        <v>-167.27152406138251</v>
      </c>
      <c r="W222" s="7">
        <f t="shared" ca="1" si="137"/>
        <v>-155.81752517611966</v>
      </c>
      <c r="X222" s="7">
        <f t="shared" ca="1" si="137"/>
        <v>-148.65819488486088</v>
      </c>
      <c r="Y222" s="7">
        <f t="shared" ca="1" si="137"/>
        <v>-146.40358656105823</v>
      </c>
      <c r="Z222" s="7">
        <f t="shared" ca="1" si="137"/>
        <v>-149.05409143988658</v>
      </c>
      <c r="AA222" s="7">
        <f t="shared" ca="1" si="137"/>
        <v>-156.29508313707075</v>
      </c>
      <c r="AB222" s="8">
        <f t="shared" ca="1" si="137"/>
        <v>-167.75785162385279</v>
      </c>
    </row>
    <row r="223" spans="4:28" x14ac:dyDescent="0.25">
      <c r="D223" s="17"/>
      <c r="E223" s="2">
        <f t="shared" si="121"/>
        <v>2.4000000000000008</v>
      </c>
      <c r="H223" s="8">
        <f t="shared" ref="H223:AB223" ca="1" si="138" xml:space="preserve"> (D*(1-nu)*(G72-I72+I74-G74))/(4*delta^2)</f>
        <v>2.0350361313824585E-7</v>
      </c>
      <c r="I223" s="7">
        <f t="shared" ca="1" si="138"/>
        <v>-55.801120193458765</v>
      </c>
      <c r="J223" s="7">
        <f t="shared" ca="1" si="138"/>
        <v>-101.21849359895046</v>
      </c>
      <c r="K223" s="7">
        <f t="shared" ca="1" si="138"/>
        <v>-137.96511692638276</v>
      </c>
      <c r="L223" s="7">
        <f t="shared" ca="1" si="138"/>
        <v>-167.30803307919911</v>
      </c>
      <c r="M223" s="7">
        <f t="shared" ca="1" si="138"/>
        <v>-190.10602820728369</v>
      </c>
      <c r="N223" s="7">
        <f t="shared" ca="1" si="138"/>
        <v>-206.84143302604863</v>
      </c>
      <c r="O223" s="7">
        <f t="shared" ca="1" si="138"/>
        <v>-217.65482986393837</v>
      </c>
      <c r="P223" s="7">
        <f t="shared" ca="1" si="138"/>
        <v>-222.40976535772887</v>
      </c>
      <c r="Q223" s="7">
        <f t="shared" ca="1" si="138"/>
        <v>-220.84595352831627</v>
      </c>
      <c r="R223" s="7">
        <f t="shared" ca="1" si="138"/>
        <v>-212.91188188309872</v>
      </c>
      <c r="S223" s="7">
        <f t="shared" ca="1" si="138"/>
        <v>-199.30220128246856</v>
      </c>
      <c r="T223" s="7">
        <f t="shared" ca="1" si="138"/>
        <v>-181.78887401698137</v>
      </c>
      <c r="U223" s="7">
        <f t="shared" ca="1" si="138"/>
        <v>-162.94319019097799</v>
      </c>
      <c r="V223" s="7">
        <f t="shared" ca="1" si="138"/>
        <v>-145.56979143011225</v>
      </c>
      <c r="W223" s="7">
        <f t="shared" ca="1" si="138"/>
        <v>-132.16536862681579</v>
      </c>
      <c r="X223" s="7">
        <f t="shared" ca="1" si="138"/>
        <v>-124.34844638881064</v>
      </c>
      <c r="Y223" s="7">
        <f t="shared" ca="1" si="138"/>
        <v>-122.5734759106698</v>
      </c>
      <c r="Z223" s="7">
        <f t="shared" ca="1" si="138"/>
        <v>-126.45204701145414</v>
      </c>
      <c r="AA223" s="7">
        <f t="shared" ca="1" si="138"/>
        <v>-135.28261254770544</v>
      </c>
      <c r="AB223" s="8">
        <f t="shared" ca="1" si="138"/>
        <v>-148.387921714762</v>
      </c>
    </row>
    <row r="224" spans="4:28" x14ac:dyDescent="0.25">
      <c r="D224" s="17"/>
      <c r="E224" s="2">
        <f t="shared" si="121"/>
        <v>2.3000000000000007</v>
      </c>
      <c r="H224" s="8">
        <f t="shared" ref="H224:AB224" ca="1" si="139" xml:space="preserve"> (D*(1-nu)*(G73-I73+I75-G75))/(4*delta^2)</f>
        <v>1.5220759054720372E-7</v>
      </c>
      <c r="I224" s="7">
        <f t="shared" ca="1" si="139"/>
        <v>-54.035975600276728</v>
      </c>
      <c r="J224" s="7">
        <f t="shared" ca="1" si="139"/>
        <v>-97.524585904547266</v>
      </c>
      <c r="K224" s="7">
        <f t="shared" ca="1" si="139"/>
        <v>-132.47454380395735</v>
      </c>
      <c r="L224" s="7">
        <f t="shared" ca="1" si="139"/>
        <v>-160.33484929028791</v>
      </c>
      <c r="M224" s="7">
        <f t="shared" ca="1" si="139"/>
        <v>-182.06223874638852</v>
      </c>
      <c r="N224" s="7">
        <f t="shared" ca="1" si="139"/>
        <v>-198.15834116239938</v>
      </c>
      <c r="O224" s="7">
        <f t="shared" ca="1" si="139"/>
        <v>-208.68309410963045</v>
      </c>
      <c r="P224" s="7">
        <f t="shared" ca="1" si="139"/>
        <v>-213.26771284873328</v>
      </c>
      <c r="Q224" s="7">
        <f t="shared" ca="1" si="139"/>
        <v>-211.20303920326157</v>
      </c>
      <c r="R224" s="7">
        <f t="shared" ca="1" si="139"/>
        <v>-201.80973556835426</v>
      </c>
      <c r="S224" s="7">
        <f t="shared" ca="1" si="139"/>
        <v>-185.43691696903974</v>
      </c>
      <c r="T224" s="7">
        <f t="shared" ca="1" si="139"/>
        <v>-164.21127523874534</v>
      </c>
      <c r="U224" s="7">
        <f t="shared" ca="1" si="139"/>
        <v>-141.44570407267017</v>
      </c>
      <c r="V224" s="7">
        <f t="shared" ca="1" si="139"/>
        <v>-120.71092958633369</v>
      </c>
      <c r="W224" s="7">
        <f t="shared" ca="1" si="139"/>
        <v>-105.24645292332721</v>
      </c>
      <c r="X224" s="7">
        <f t="shared" ca="1" si="139"/>
        <v>-97.025855787012318</v>
      </c>
      <c r="Y224" s="7">
        <f t="shared" ca="1" si="139"/>
        <v>-96.152645439653639</v>
      </c>
      <c r="Z224" s="7">
        <f t="shared" ca="1" si="139"/>
        <v>-101.59026618278529</v>
      </c>
      <c r="AA224" s="7">
        <f t="shared" ca="1" si="139"/>
        <v>-112.13689673557923</v>
      </c>
      <c r="AB224" s="8">
        <f t="shared" ca="1" si="139"/>
        <v>-126.77375483760056</v>
      </c>
    </row>
    <row r="225" spans="4:28" x14ac:dyDescent="0.25">
      <c r="D225" s="17"/>
      <c r="E225" s="2">
        <f t="shared" si="121"/>
        <v>2.2000000000000006</v>
      </c>
      <c r="H225" s="8">
        <f t="shared" ref="H225:AB225" ca="1" si="140" xml:space="preserve"> (D*(1-nu)*(G74-I74+I76-G76))/(4*delta^2)</f>
        <v>1.0004999444632415E-7</v>
      </c>
      <c r="I225" s="7">
        <f t="shared" ca="1" si="140"/>
        <v>-50.931245150742569</v>
      </c>
      <c r="J225" s="7">
        <f t="shared" ca="1" si="140"/>
        <v>-91.460075530440037</v>
      </c>
      <c r="K225" s="7">
        <f t="shared" ca="1" si="140"/>
        <v>-123.82683721714515</v>
      </c>
      <c r="L225" s="7">
        <f t="shared" ca="1" si="140"/>
        <v>-149.62272380483813</v>
      </c>
      <c r="M225" s="7">
        <f t="shared" ca="1" si="140"/>
        <v>-169.88996453331649</v>
      </c>
      <c r="N225" s="7">
        <f t="shared" ca="1" si="140"/>
        <v>-185.16826138252446</v>
      </c>
      <c r="O225" s="7">
        <f t="shared" ca="1" si="140"/>
        <v>-195.4876339165929</v>
      </c>
      <c r="P225" s="7">
        <f t="shared" ca="1" si="140"/>
        <v>-200.30647424862363</v>
      </c>
      <c r="Q225" s="7">
        <f t="shared" ca="1" si="140"/>
        <v>-198.42851271106016</v>
      </c>
      <c r="R225" s="7">
        <f t="shared" ca="1" si="140"/>
        <v>-188.1613721863047</v>
      </c>
      <c r="S225" s="7">
        <f t="shared" ca="1" si="140"/>
        <v>-169.14884001478765</v>
      </c>
      <c r="T225" s="7">
        <f t="shared" ca="1" si="140"/>
        <v>-144.07398224516865</v>
      </c>
      <c r="U225" s="7">
        <f t="shared" ca="1" si="140"/>
        <v>-117.23160755762794</v>
      </c>
      <c r="V225" s="7">
        <f t="shared" ca="1" si="140"/>
        <v>-92.957794987011766</v>
      </c>
      <c r="W225" s="7">
        <f t="shared" ca="1" si="140"/>
        <v>-75.477714576732794</v>
      </c>
      <c r="X225" s="7">
        <f t="shared" ca="1" si="140"/>
        <v>-67.327005881647906</v>
      </c>
      <c r="Y225" s="7">
        <f t="shared" ca="1" si="140"/>
        <v>-67.906954848669344</v>
      </c>
      <c r="Z225" s="7">
        <f t="shared" ca="1" si="140"/>
        <v>-75.159106931561794</v>
      </c>
      <c r="AA225" s="7">
        <f t="shared" ca="1" si="140"/>
        <v>-87.354635138414778</v>
      </c>
      <c r="AB225" s="8">
        <f t="shared" ca="1" si="140"/>
        <v>-103.19219119553406</v>
      </c>
    </row>
    <row r="226" spans="4:28" x14ac:dyDescent="0.25">
      <c r="D226" s="17"/>
      <c r="E226" s="2">
        <f t="shared" si="121"/>
        <v>2.1000000000000005</v>
      </c>
      <c r="H226" s="8">
        <f t="shared" ref="H226:AB226" ca="1" si="141" xml:space="preserve"> (D*(1-nu)*(G75-I75+I77-G77))/(4*delta^2)</f>
        <v>4.7354313539222179E-8</v>
      </c>
      <c r="I226" s="7">
        <f t="shared" ca="1" si="141"/>
        <v>-46.289717481917741</v>
      </c>
      <c r="J226" s="7">
        <f t="shared" ca="1" si="141"/>
        <v>-82.687106796137627</v>
      </c>
      <c r="K226" s="7">
        <f t="shared" ca="1" si="141"/>
        <v>-111.55454667327871</v>
      </c>
      <c r="L226" s="7">
        <f t="shared" ca="1" si="141"/>
        <v>-134.55365983061617</v>
      </c>
      <c r="M226" s="7">
        <f t="shared" ca="1" si="141"/>
        <v>-152.77444359946284</v>
      </c>
      <c r="N226" s="7">
        <f t="shared" ca="1" si="141"/>
        <v>-166.79602182930375</v>
      </c>
      <c r="O226" s="7">
        <f t="shared" ca="1" si="141"/>
        <v>-176.67686441562802</v>
      </c>
      <c r="P226" s="7">
        <f t="shared" ca="1" si="141"/>
        <v>-181.84594234335526</v>
      </c>
      <c r="Q226" s="7">
        <f t="shared" ca="1" si="141"/>
        <v>-180.81153922706787</v>
      </c>
      <c r="R226" s="7">
        <f t="shared" ca="1" si="141"/>
        <v>-170.49806992858382</v>
      </c>
      <c r="S226" s="7">
        <f t="shared" ca="1" si="141"/>
        <v>-149.34610872546932</v>
      </c>
      <c r="T226" s="7">
        <f t="shared" ca="1" si="141"/>
        <v>-120.94612775922559</v>
      </c>
      <c r="U226" s="7">
        <f t="shared" ca="1" si="141"/>
        <v>-90.740545384639248</v>
      </c>
      <c r="V226" s="7">
        <f t="shared" ca="1" si="141"/>
        <v>-63.394970004792469</v>
      </c>
      <c r="W226" s="7">
        <f t="shared" ca="1" si="141"/>
        <v>-44.287969671250018</v>
      </c>
      <c r="X226" s="7">
        <f t="shared" ca="1" si="141"/>
        <v>-36.87290251625155</v>
      </c>
      <c r="Y226" s="7">
        <f t="shared" ca="1" si="141"/>
        <v>-39.359396420086043</v>
      </c>
      <c r="Z226" s="7">
        <f t="shared" ca="1" si="141"/>
        <v>-48.311218762433363</v>
      </c>
      <c r="AA226" s="7">
        <f t="shared" ca="1" si="141"/>
        <v>-61.68680228012601</v>
      </c>
      <c r="AB226" s="8">
        <f t="shared" ca="1" si="141"/>
        <v>-78.076181727334003</v>
      </c>
    </row>
    <row r="227" spans="4:28" x14ac:dyDescent="0.25">
      <c r="D227" s="17"/>
      <c r="E227" s="2">
        <f t="shared" si="121"/>
        <v>2.0000000000000004</v>
      </c>
      <c r="H227" s="8">
        <f t="shared" ref="H227:AB227" ca="1" si="142" xml:space="preserve"> (D*(1-nu)*(G76-I76+I78-G78))/(4*delta^2)</f>
        <v>-5.5537542619589164E-9</v>
      </c>
      <c r="I227" s="7">
        <f t="shared" ca="1" si="142"/>
        <v>-39.993972971006826</v>
      </c>
      <c r="J227" s="7">
        <f t="shared" ca="1" si="142"/>
        <v>-71.005913635414075</v>
      </c>
      <c r="K227" s="7">
        <f t="shared" ca="1" si="142"/>
        <v>-95.371654351492978</v>
      </c>
      <c r="L227" s="7">
        <f t="shared" ca="1" si="142"/>
        <v>-114.72010768241702</v>
      </c>
      <c r="M227" s="7">
        <f t="shared" ca="1" si="142"/>
        <v>-130.11582017465977</v>
      </c>
      <c r="N227" s="7">
        <f t="shared" ca="1" si="142"/>
        <v>-142.12656661951442</v>
      </c>
      <c r="O227" s="7">
        <f t="shared" ca="1" si="142"/>
        <v>-150.81554816759009</v>
      </c>
      <c r="P227" s="7">
        <f t="shared" ca="1" si="142"/>
        <v>-155.62047441019774</v>
      </c>
      <c r="Q227" s="7">
        <f t="shared" ca="1" si="142"/>
        <v>-154.96381426250599</v>
      </c>
      <c r="R227" s="9">
        <f t="shared" ca="1" si="142"/>
        <v>-144.96629439027285</v>
      </c>
      <c r="S227" s="9">
        <f t="shared" ca="1" si="142"/>
        <v>-123.27752154400129</v>
      </c>
      <c r="T227" s="9">
        <f t="shared" ca="1" si="142"/>
        <v>-93.976587829582897</v>
      </c>
      <c r="U227" s="9">
        <f t="shared" ca="1" si="142"/>
        <v>-63.015732265343658</v>
      </c>
      <c r="V227" s="9">
        <f t="shared" ca="1" si="142"/>
        <v>-34.953770403201219</v>
      </c>
      <c r="W227" s="9">
        <f t="shared" ca="1" si="142"/>
        <v>-15.686269458898622</v>
      </c>
      <c r="X227" s="7">
        <f t="shared" ca="1" si="142"/>
        <v>-9.1690472064308199</v>
      </c>
      <c r="Y227" s="7">
        <f t="shared" ca="1" si="142"/>
        <v>-12.839848675390989</v>
      </c>
      <c r="Z227" s="7">
        <f t="shared" ca="1" si="142"/>
        <v>-22.479755624497891</v>
      </c>
      <c r="AA227" s="7">
        <f t="shared" ca="1" si="142"/>
        <v>-35.976581751327615</v>
      </c>
      <c r="AB227" s="8">
        <f t="shared" ca="1" si="142"/>
        <v>-51.919596682134397</v>
      </c>
    </row>
    <row r="228" spans="4:28" x14ac:dyDescent="0.25">
      <c r="D228" s="17"/>
      <c r="E228" s="2">
        <f t="shared" si="121"/>
        <v>1.9000000000000006</v>
      </c>
      <c r="H228" s="8">
        <f t="shared" ref="H228:AB228" ca="1" si="143" xml:space="preserve"> (D*(1-nu)*(G77-I77+I79-G79))/(4*delta^2)</f>
        <v>-5.8347780580965668E-8</v>
      </c>
      <c r="I228" s="7">
        <f t="shared" ca="1" si="143"/>
        <v>-32.039181462552889</v>
      </c>
      <c r="J228" s="7">
        <f t="shared" ca="1" si="143"/>
        <v>-56.41422902569311</v>
      </c>
      <c r="K228" s="7">
        <f t="shared" ca="1" si="143"/>
        <v>-75.26679031924948</v>
      </c>
      <c r="L228" s="7">
        <f t="shared" ca="1" si="143"/>
        <v>-90.07485224419473</v>
      </c>
      <c r="M228" s="7">
        <f t="shared" ca="1" si="143"/>
        <v>-101.78589609515814</v>
      </c>
      <c r="N228" s="7">
        <f t="shared" ca="1" si="143"/>
        <v>-110.87278118207938</v>
      </c>
      <c r="O228" s="7">
        <f t="shared" ca="1" si="143"/>
        <v>-117.31125852957949</v>
      </c>
      <c r="P228" s="7">
        <f t="shared" ca="1" si="143"/>
        <v>-120.45115626822059</v>
      </c>
      <c r="Q228" s="7">
        <f t="shared" ca="1" si="143"/>
        <v>-118.69969436946859</v>
      </c>
      <c r="R228" s="9">
        <f t="shared" ca="1" si="143"/>
        <v>-108.83194293112504</v>
      </c>
      <c r="S228" s="9">
        <f t="shared" ca="1" si="143"/>
        <v>-89.07183276671212</v>
      </c>
      <c r="T228" s="9">
        <f t="shared" ca="1" si="143"/>
        <v>-62.723528675513592</v>
      </c>
      <c r="U228" s="9">
        <f t="shared" ca="1" si="143"/>
        <v>-34.892548011300669</v>
      </c>
      <c r="V228" s="9">
        <f t="shared" ca="1" si="143"/>
        <v>-9.8936443651755024</v>
      </c>
      <c r="W228" s="9">
        <f t="shared" ca="1" si="143"/>
        <v>7.2161641353067187</v>
      </c>
      <c r="X228" s="7">
        <f t="shared" ca="1" si="143"/>
        <v>13.239307992499795</v>
      </c>
      <c r="Y228" s="7">
        <f t="shared" ca="1" si="143"/>
        <v>10.137770023321126</v>
      </c>
      <c r="Z228" s="7">
        <f t="shared" ca="1" si="143"/>
        <v>1.4392677210960154</v>
      </c>
      <c r="AA228" s="7">
        <f t="shared" ca="1" si="143"/>
        <v>-10.780768468071431</v>
      </c>
      <c r="AB228" s="8">
        <f t="shared" ca="1" si="143"/>
        <v>-25.103768590949116</v>
      </c>
    </row>
    <row r="229" spans="4:28" x14ac:dyDescent="0.25">
      <c r="D229" s="17"/>
      <c r="E229" s="2">
        <f t="shared" si="121"/>
        <v>1.8000000000000005</v>
      </c>
      <c r="H229" s="8">
        <f t="shared" ref="H229:AB229" ca="1" si="144" xml:space="preserve"> (D*(1-nu)*(G78-I78+I80-G80))/(4*delta^2)</f>
        <v>-1.1070237038101752E-7</v>
      </c>
      <c r="I229" s="7">
        <f t="shared" ca="1" si="144"/>
        <v>-22.549538739351952</v>
      </c>
      <c r="J229" s="7">
        <f t="shared" ca="1" si="144"/>
        <v>-39.136776118325344</v>
      </c>
      <c r="K229" s="7">
        <f t="shared" ca="1" si="144"/>
        <v>-51.54945165663257</v>
      </c>
      <c r="L229" s="7">
        <f t="shared" ca="1" si="144"/>
        <v>-61.007179747015208</v>
      </c>
      <c r="M229" s="7">
        <f t="shared" ca="1" si="144"/>
        <v>-68.267908997107341</v>
      </c>
      <c r="N229" s="7">
        <f t="shared" ca="1" si="144"/>
        <v>-73.66426719979583</v>
      </c>
      <c r="O229" s="7">
        <f t="shared" ca="1" si="144"/>
        <v>-77.071274182827736</v>
      </c>
      <c r="P229" s="7">
        <f t="shared" ca="1" si="144"/>
        <v>-77.804148982004207</v>
      </c>
      <c r="Q229" s="7">
        <f t="shared" ca="1" si="144"/>
        <v>-74.481925649729021</v>
      </c>
      <c r="R229" s="9">
        <f t="shared" ca="1" si="144"/>
        <v>-65.128113934190537</v>
      </c>
      <c r="S229" s="9">
        <f t="shared" ca="1" si="144"/>
        <v>-48.958430647280153</v>
      </c>
      <c r="T229" s="9">
        <f t="shared" ca="1" si="144"/>
        <v>-28.075405477029879</v>
      </c>
      <c r="U229" s="9">
        <f t="shared" ca="1" si="144"/>
        <v>-6.0810244657873804</v>
      </c>
      <c r="V229" s="9">
        <f t="shared" ca="1" si="144"/>
        <v>13.413710295075102</v>
      </c>
      <c r="W229" s="9">
        <f t="shared" ca="1" si="144"/>
        <v>26.846120426196457</v>
      </c>
      <c r="X229" s="7">
        <f t="shared" ca="1" si="144"/>
        <v>32.200641763975575</v>
      </c>
      <c r="Y229" s="7">
        <f t="shared" ca="1" si="144"/>
        <v>30.414440032712282</v>
      </c>
      <c r="Z229" s="7">
        <f t="shared" ca="1" si="144"/>
        <v>23.714209070479757</v>
      </c>
      <c r="AA229" s="7">
        <f t="shared" ca="1" si="144"/>
        <v>13.877867474713829</v>
      </c>
      <c r="AB229" s="8">
        <f t="shared" ca="1" si="144"/>
        <v>2.2065974006180906</v>
      </c>
    </row>
    <row r="230" spans="4:28" x14ac:dyDescent="0.25">
      <c r="D230" s="17"/>
      <c r="E230" s="2">
        <f t="shared" si="121"/>
        <v>1.7000000000000004</v>
      </c>
      <c r="H230" s="8">
        <f t="shared" ref="H230:AB230" ca="1" si="145" xml:space="preserve"> (D*(1-nu)*(G79-I79+I81-G81))/(4*delta^2)</f>
        <v>-1.6229620853463211E-7</v>
      </c>
      <c r="I230" s="7">
        <f t="shared" ca="1" si="145"/>
        <v>-11.772878308232986</v>
      </c>
      <c r="J230" s="7">
        <f t="shared" ca="1" si="145"/>
        <v>-19.613511329211253</v>
      </c>
      <c r="K230" s="7">
        <f t="shared" ca="1" si="145"/>
        <v>-24.82610556639586</v>
      </c>
      <c r="L230" s="7">
        <f t="shared" ca="1" si="145"/>
        <v>-28.292396288456249</v>
      </c>
      <c r="M230" s="7">
        <f t="shared" ca="1" si="145"/>
        <v>-30.544233490265238</v>
      </c>
      <c r="N230" s="7">
        <f t="shared" ca="1" si="145"/>
        <v>-31.785139031254435</v>
      </c>
      <c r="O230" s="7">
        <f t="shared" ca="1" si="145"/>
        <v>-31.867526163847842</v>
      </c>
      <c r="P230" s="7">
        <f t="shared" ca="1" si="145"/>
        <v>-30.24568095687113</v>
      </c>
      <c r="Q230" s="7">
        <f t="shared" ca="1" si="145"/>
        <v>-25.979117993045836</v>
      </c>
      <c r="R230" s="9">
        <f t="shared" ca="1" si="145"/>
        <v>-18.002472035624571</v>
      </c>
      <c r="S230" s="9">
        <f t="shared" ca="1" si="145"/>
        <v>-6.0385664502926364</v>
      </c>
      <c r="T230" s="9">
        <f t="shared" ca="1" si="145"/>
        <v>8.6767281573419819</v>
      </c>
      <c r="U230" s="9">
        <f t="shared" ca="1" si="145"/>
        <v>23.919857447549514</v>
      </c>
      <c r="V230" s="9">
        <f t="shared" ca="1" si="145"/>
        <v>37.269352281637474</v>
      </c>
      <c r="W230" s="9">
        <f t="shared" ca="1" si="145"/>
        <v>46.530527516763172</v>
      </c>
      <c r="X230" s="7">
        <f t="shared" ca="1" si="145"/>
        <v>50.53147917964872</v>
      </c>
      <c r="Y230" s="7">
        <f t="shared" ca="1" si="145"/>
        <v>49.661855765121281</v>
      </c>
      <c r="Z230" s="7">
        <f t="shared" ca="1" si="145"/>
        <v>45.17022591593669</v>
      </c>
      <c r="AA230" s="7">
        <f t="shared" ca="1" si="145"/>
        <v>38.283275049977902</v>
      </c>
      <c r="AB230" s="8">
        <f t="shared" ca="1" si="145"/>
        <v>29.975279067816025</v>
      </c>
    </row>
    <row r="231" spans="4:28" x14ac:dyDescent="0.25">
      <c r="D231" s="17"/>
      <c r="E231" s="2">
        <f t="shared" si="121"/>
        <v>1.6000000000000003</v>
      </c>
      <c r="H231" s="8">
        <f t="shared" ref="H231:AB231" ca="1" si="146" xml:space="preserve"> (D*(1-nu)*(G80-I80+I82-G82))/(4*delta^2)</f>
        <v>-2.1281352075184574E-7</v>
      </c>
      <c r="I231" s="7">
        <f t="shared" ca="1" si="146"/>
        <v>-5.7206423138403212E-2</v>
      </c>
      <c r="J231" s="7">
        <f t="shared" ca="1" si="146"/>
        <v>1.544691697972802</v>
      </c>
      <c r="K231" s="7">
        <f t="shared" ca="1" si="146"/>
        <v>4.0733126427446553</v>
      </c>
      <c r="L231" s="7">
        <f t="shared" ca="1" si="146"/>
        <v>7.033939707770771</v>
      </c>
      <c r="M231" s="7">
        <f t="shared" ca="1" si="146"/>
        <v>10.132469748313103</v>
      </c>
      <c r="N231" s="7">
        <f t="shared" ca="1" si="146"/>
        <v>13.264261176601808</v>
      </c>
      <c r="O231" s="7">
        <f t="shared" ca="1" si="146"/>
        <v>16.522796287075113</v>
      </c>
      <c r="P231" s="7">
        <f t="shared" ca="1" si="146"/>
        <v>20.21075599065518</v>
      </c>
      <c r="Q231" s="7">
        <f t="shared" ca="1" si="146"/>
        <v>24.805958341366367</v>
      </c>
      <c r="R231" s="9">
        <f t="shared" ca="1" si="146"/>
        <v>30.78840539256376</v>
      </c>
      <c r="S231" s="9">
        <f t="shared" ca="1" si="146"/>
        <v>38.260191872612836</v>
      </c>
      <c r="T231" s="9">
        <f t="shared" ca="1" si="146"/>
        <v>46.675261198082318</v>
      </c>
      <c r="U231" s="9">
        <f t="shared" ca="1" si="146"/>
        <v>55.015656951964012</v>
      </c>
      <c r="V231" s="9">
        <f t="shared" ca="1" si="146"/>
        <v>62.132783124099653</v>
      </c>
      <c r="W231" s="9">
        <f t="shared" ca="1" si="146"/>
        <v>67.025831080048064</v>
      </c>
      <c r="X231" s="7">
        <f t="shared" ca="1" si="146"/>
        <v>69.186465078761685</v>
      </c>
      <c r="Y231" s="7">
        <f t="shared" ca="1" si="146"/>
        <v>68.782338060263058</v>
      </c>
      <c r="Z231" s="7">
        <f t="shared" ca="1" si="146"/>
        <v>66.39850640128401</v>
      </c>
      <c r="AA231" s="7">
        <f t="shared" ca="1" si="146"/>
        <v>62.673131618158436</v>
      </c>
      <c r="AB231" s="8">
        <f t="shared" ca="1" si="146"/>
        <v>58.140604821278274</v>
      </c>
    </row>
    <row r="232" spans="4:28" x14ac:dyDescent="0.25">
      <c r="D232" s="17"/>
      <c r="E232" s="2">
        <f t="shared" si="121"/>
        <v>1.5000000000000002</v>
      </c>
      <c r="H232" s="8">
        <f t="shared" ref="H232:AB232" ca="1" si="147" xml:space="preserve"> (D*(1-nu)*(G81-I81+I83-G83))/(4*delta^2)</f>
        <v>-2.6194546324364219E-7</v>
      </c>
      <c r="I232" s="7">
        <f t="shared" ca="1" si="147"/>
        <v>12.181865674906742</v>
      </c>
      <c r="J232" s="7">
        <f t="shared" ca="1" si="147"/>
        <v>23.614089141781612</v>
      </c>
      <c r="K232" s="7">
        <f t="shared" ca="1" si="147"/>
        <v>34.180308854550603</v>
      </c>
      <c r="L232" s="7">
        <f t="shared" ca="1" si="147"/>
        <v>43.795975473610227</v>
      </c>
      <c r="M232" s="7">
        <f t="shared" ca="1" si="147"/>
        <v>52.406919753678274</v>
      </c>
      <c r="N232" s="7">
        <f t="shared" ca="1" si="147"/>
        <v>59.987377133862459</v>
      </c>
      <c r="O232" s="7">
        <f t="shared" ca="1" si="147"/>
        <v>66.5375796361689</v>
      </c>
      <c r="P232" s="7">
        <f t="shared" ca="1" si="147"/>
        <v>72.081012824728759</v>
      </c>
      <c r="Q232" s="7">
        <f t="shared" ca="1" si="147"/>
        <v>76.661421989868288</v>
      </c>
      <c r="R232" s="9">
        <f t="shared" ca="1" si="147"/>
        <v>80.339640237751809</v>
      </c>
      <c r="S232" s="9">
        <f t="shared" ca="1" si="147"/>
        <v>83.190302983916453</v>
      </c>
      <c r="T232" s="9">
        <f t="shared" ca="1" si="147"/>
        <v>85.298508366529276</v>
      </c>
      <c r="U232" s="9">
        <f t="shared" ca="1" si="147"/>
        <v>86.756480216573621</v>
      </c>
      <c r="V232" s="9">
        <f t="shared" ca="1" si="147"/>
        <v>87.660287812415405</v>
      </c>
      <c r="W232" s="9">
        <f t="shared" ca="1" si="147"/>
        <v>88.106673054880119</v>
      </c>
      <c r="X232" s="7">
        <f t="shared" ca="1" si="147"/>
        <v>88.190029751994118</v>
      </c>
      <c r="Y232" s="7">
        <f t="shared" ca="1" si="147"/>
        <v>87.999571042882678</v>
      </c>
      <c r="Z232" s="7">
        <f t="shared" ca="1" si="147"/>
        <v>87.616710200717719</v>
      </c>
      <c r="AA232" s="7">
        <f t="shared" ca="1" si="147"/>
        <v>87.112668529164225</v>
      </c>
      <c r="AB232" s="8">
        <f t="shared" ca="1" si="147"/>
        <v>86.546313660414469</v>
      </c>
    </row>
    <row r="233" spans="4:28" x14ac:dyDescent="0.25">
      <c r="D233" s="17"/>
      <c r="E233" s="2">
        <f t="shared" si="121"/>
        <v>1.4000000000000001</v>
      </c>
      <c r="H233" s="8">
        <f t="shared" ref="H233:AB233" ca="1" si="148" xml:space="preserve"> (D*(1-nu)*(G82-I82+I84-G84))/(4*delta^2)</f>
        <v>-3.0939293768120677E-7</v>
      </c>
      <c r="I233" s="7">
        <f t="shared" ca="1" si="148"/>
        <v>24.495393670360929</v>
      </c>
      <c r="J233" s="7">
        <f t="shared" ca="1" si="148"/>
        <v>45.816113156219451</v>
      </c>
      <c r="K233" s="7">
        <f t="shared" ca="1" si="148"/>
        <v>64.46232433338534</v>
      </c>
      <c r="L233" s="7">
        <f t="shared" ca="1" si="148"/>
        <v>80.760576438114697</v>
      </c>
      <c r="M233" s="7">
        <f t="shared" ca="1" si="148"/>
        <v>94.897902068409152</v>
      </c>
      <c r="N233" s="7">
        <f t="shared" ca="1" si="148"/>
        <v>106.92893941198523</v>
      </c>
      <c r="O233" s="7">
        <f t="shared" ca="1" si="148"/>
        <v>116.76238615826561</v>
      </c>
      <c r="P233" s="7">
        <f t="shared" ca="1" si="148"/>
        <v>124.14438252043807</v>
      </c>
      <c r="Q233" s="7">
        <f t="shared" ca="1" si="148"/>
        <v>128.68653821130553</v>
      </c>
      <c r="R233" s="9">
        <f t="shared" ca="1" si="148"/>
        <v>130.03250113775709</v>
      </c>
      <c r="S233" s="9">
        <f t="shared" ca="1" si="148"/>
        <v>128.23144038191967</v>
      </c>
      <c r="T233" s="9">
        <f t="shared" ca="1" si="148"/>
        <v>124.00157499632674</v>
      </c>
      <c r="U233" s="9">
        <f t="shared" ca="1" si="148"/>
        <v>118.54721318022723</v>
      </c>
      <c r="V233" s="9">
        <f t="shared" ca="1" si="148"/>
        <v>113.21089783832774</v>
      </c>
      <c r="W233" s="9">
        <f t="shared" ca="1" si="148"/>
        <v>109.18860370579378</v>
      </c>
      <c r="X233" s="7">
        <f t="shared" ca="1" si="148"/>
        <v>107.17898583088019</v>
      </c>
      <c r="Y233" s="7">
        <f t="shared" ca="1" si="148"/>
        <v>107.19418156192609</v>
      </c>
      <c r="Z233" s="7">
        <f t="shared" ca="1" si="148"/>
        <v>108.81314853399262</v>
      </c>
      <c r="AA233" s="7">
        <f t="shared" ca="1" si="148"/>
        <v>111.54117734031996</v>
      </c>
      <c r="AB233" s="8">
        <f t="shared" ca="1" si="148"/>
        <v>114.96244747135407</v>
      </c>
    </row>
    <row r="234" spans="4:28" x14ac:dyDescent="0.25">
      <c r="D234" s="17"/>
      <c r="E234" s="2">
        <f t="shared" si="121"/>
        <v>1.3</v>
      </c>
      <c r="H234" s="8">
        <f t="shared" ref="H234:AB234" ca="1" si="149" xml:space="preserve"> (D*(1-nu)*(G83-I83+I85-G85))/(4*delta^2)</f>
        <v>-3.5486799867555308E-7</v>
      </c>
      <c r="I234" s="7">
        <f t="shared" ca="1" si="149"/>
        <v>36.434438907769525</v>
      </c>
      <c r="J234" s="7">
        <f t="shared" ca="1" si="149"/>
        <v>67.371963778836147</v>
      </c>
      <c r="K234" s="7">
        <f t="shared" ca="1" si="149"/>
        <v>93.886144675441528</v>
      </c>
      <c r="L234" s="7">
        <f t="shared" ca="1" si="149"/>
        <v>116.69339788035093</v>
      </c>
      <c r="M234" s="7">
        <f t="shared" ca="1" si="149"/>
        <v>136.22235380440682</v>
      </c>
      <c r="N234" s="7">
        <f t="shared" ca="1" si="149"/>
        <v>152.63114552550735</v>
      </c>
      <c r="O234" s="7">
        <f t="shared" ca="1" si="149"/>
        <v>165.77954234162567</v>
      </c>
      <c r="P234" s="7">
        <f t="shared" ca="1" si="149"/>
        <v>175.17622256370754</v>
      </c>
      <c r="Q234" s="7">
        <f t="shared" ca="1" si="149"/>
        <v>179.97595693809183</v>
      </c>
      <c r="R234" s="9">
        <f t="shared" ca="1" si="149"/>
        <v>179.24299665650295</v>
      </c>
      <c r="S234" s="9">
        <f t="shared" ca="1" si="149"/>
        <v>172.85742331416247</v>
      </c>
      <c r="T234" s="9">
        <f t="shared" ca="1" si="149"/>
        <v>162.23318499400224</v>
      </c>
      <c r="U234" s="9">
        <f t="shared" ca="1" si="149"/>
        <v>149.78591705222186</v>
      </c>
      <c r="V234" s="9">
        <f t="shared" ca="1" si="149"/>
        <v>138.1364764544424</v>
      </c>
      <c r="W234" s="9">
        <f t="shared" ca="1" si="149"/>
        <v>129.67977455325885</v>
      </c>
      <c r="X234" s="7">
        <f t="shared" ca="1" si="149"/>
        <v>125.7826387199481</v>
      </c>
      <c r="Y234" s="7">
        <f t="shared" ca="1" si="149"/>
        <v>126.23930691253851</v>
      </c>
      <c r="Z234" s="7">
        <f t="shared" ca="1" si="149"/>
        <v>129.96878655814538</v>
      </c>
      <c r="AA234" s="7">
        <f t="shared" ca="1" si="149"/>
        <v>135.89086954110084</v>
      </c>
      <c r="AB234" s="8">
        <f t="shared" ca="1" si="149"/>
        <v>143.15235253705919</v>
      </c>
    </row>
    <row r="235" spans="4:28" x14ac:dyDescent="0.25">
      <c r="D235" s="17"/>
      <c r="E235" s="2">
        <f t="shared" si="121"/>
        <v>1.2</v>
      </c>
      <c r="H235" s="8">
        <f t="shared" ref="H235:AB235" ca="1" si="150" xml:space="preserve"> (D*(1-nu)*(G84-I84+I86-G86))/(4*delta^2)</f>
        <v>-3.9809606298605139E-7</v>
      </c>
      <c r="I235" s="7">
        <f t="shared" ca="1" si="150"/>
        <v>47.583381272741185</v>
      </c>
      <c r="J235" s="7">
        <f t="shared" ca="1" si="150"/>
        <v>87.557148270058576</v>
      </c>
      <c r="K235" s="7">
        <f t="shared" ca="1" si="150"/>
        <v>121.48123369094819</v>
      </c>
      <c r="L235" s="7">
        <f t="shared" ca="1" si="150"/>
        <v>150.41486616672051</v>
      </c>
      <c r="M235" s="7">
        <f t="shared" ca="1" si="150"/>
        <v>175.01935091033636</v>
      </c>
      <c r="N235" s="7">
        <f t="shared" ca="1" si="150"/>
        <v>195.58974187054798</v>
      </c>
      <c r="O235" s="7">
        <f t="shared" ca="1" si="150"/>
        <v>212.01713373271787</v>
      </c>
      <c r="P235" s="7">
        <f t="shared" ca="1" si="150"/>
        <v>223.68049082613447</v>
      </c>
      <c r="Q235" s="7">
        <f t="shared" ca="1" si="150"/>
        <v>229.30387106998879</v>
      </c>
      <c r="R235" s="9">
        <f t="shared" ca="1" si="150"/>
        <v>227.05039374873851</v>
      </c>
      <c r="S235" s="9">
        <f t="shared" ca="1" si="150"/>
        <v>216.30307539899016</v>
      </c>
      <c r="T235" s="9">
        <f t="shared" ca="1" si="150"/>
        <v>199.35243646589257</v>
      </c>
      <c r="U235" s="9">
        <f t="shared" ca="1" si="150"/>
        <v>180.00214989430714</v>
      </c>
      <c r="V235" s="9">
        <f t="shared" ca="1" si="150"/>
        <v>162.07172815792433</v>
      </c>
      <c r="W235" s="9">
        <f t="shared" ca="1" si="150"/>
        <v>149.33255456516451</v>
      </c>
      <c r="X235" s="7">
        <f t="shared" ca="1" si="150"/>
        <v>144.00282088328305</v>
      </c>
      <c r="Y235" s="7">
        <f t="shared" ca="1" si="150"/>
        <v>145.33608850403391</v>
      </c>
      <c r="Z235" s="7">
        <f t="shared" ca="1" si="150"/>
        <v>151.27917453089768</v>
      </c>
      <c r="AA235" s="7">
        <f t="shared" ca="1" si="150"/>
        <v>160.20566738247834</v>
      </c>
      <c r="AB235" s="8">
        <f t="shared" ca="1" si="150"/>
        <v>170.93961270437495</v>
      </c>
    </row>
    <row r="236" spans="4:28" x14ac:dyDescent="0.25">
      <c r="D236" s="17"/>
      <c r="E236" s="2">
        <f t="shared" si="121"/>
        <v>1.0999999999999999</v>
      </c>
      <c r="H236" s="8">
        <f t="shared" ref="H236:AB236" ca="1" si="151" xml:space="preserve"> (D*(1-nu)*(G85-I85+I87-G87))/(4*delta^2)</f>
        <v>-4.3881751297823135E-7</v>
      </c>
      <c r="I236" s="7">
        <f t="shared" ca="1" si="151"/>
        <v>57.594110234771364</v>
      </c>
      <c r="J236" s="7">
        <f t="shared" ca="1" si="151"/>
        <v>105.75936394767662</v>
      </c>
      <c r="K236" s="7">
        <f t="shared" ca="1" si="151"/>
        <v>146.41399579312983</v>
      </c>
      <c r="L236" s="7">
        <f t="shared" ca="1" si="151"/>
        <v>180.88291378955716</v>
      </c>
      <c r="M236" s="7">
        <f t="shared" ca="1" si="151"/>
        <v>210.02649673691693</v>
      </c>
      <c r="N236" s="7">
        <f t="shared" ca="1" si="151"/>
        <v>234.29122754942094</v>
      </c>
      <c r="O236" s="7">
        <f t="shared" ca="1" si="151"/>
        <v>253.68132394895278</v>
      </c>
      <c r="P236" s="7">
        <f t="shared" ca="1" si="151"/>
        <v>267.6235866701042</v>
      </c>
      <c r="Q236" s="7">
        <f t="shared" ca="1" si="151"/>
        <v>274.64403831790617</v>
      </c>
      <c r="R236" s="9">
        <f t="shared" ca="1" si="151"/>
        <v>271.67144542659435</v>
      </c>
      <c r="S236" s="9">
        <f t="shared" ca="1" si="151"/>
        <v>257.11120045217842</v>
      </c>
      <c r="T236" s="9">
        <f t="shared" ca="1" si="151"/>
        <v>234.46945362161102</v>
      </c>
      <c r="U236" s="9">
        <f t="shared" ca="1" si="151"/>
        <v>209.06698094146586</v>
      </c>
      <c r="V236" s="9">
        <f t="shared" ca="1" si="151"/>
        <v>185.43993681641666</v>
      </c>
      <c r="W236" s="9">
        <f t="shared" ca="1" si="151"/>
        <v>168.86601377283992</v>
      </c>
      <c r="X236" s="7">
        <f t="shared" ca="1" si="151"/>
        <v>162.75626177501184</v>
      </c>
      <c r="Y236" s="7">
        <f t="shared" ca="1" si="151"/>
        <v>165.34903064753229</v>
      </c>
      <c r="Z236" s="7">
        <f t="shared" ca="1" si="151"/>
        <v>173.29841584838195</v>
      </c>
      <c r="AA236" s="7">
        <f t="shared" ca="1" si="151"/>
        <v>184.68750522590369</v>
      </c>
      <c r="AB236" s="8">
        <f t="shared" ca="1" si="151"/>
        <v>198.22873823701008</v>
      </c>
    </row>
    <row r="237" spans="4:28" x14ac:dyDescent="0.25">
      <c r="D237" s="17"/>
      <c r="E237" s="2">
        <f t="shared" si="121"/>
        <v>0.99999999999999989</v>
      </c>
      <c r="H237" s="8">
        <f t="shared" ref="H237:AB237" ca="1" si="152" xml:space="preserve"> (D*(1-nu)*(G86-I86+I88-G88))/(4*delta^2)</f>
        <v>-4.767896029569476E-7</v>
      </c>
      <c r="I237" s="7">
        <f t="shared" ca="1" si="152"/>
        <v>66.218446440635049</v>
      </c>
      <c r="J237" s="7">
        <f t="shared" ca="1" si="152"/>
        <v>121.53625382089588</v>
      </c>
      <c r="K237" s="7">
        <f t="shared" ca="1" si="152"/>
        <v>168.07227648406948</v>
      </c>
      <c r="L237" s="7">
        <f t="shared" ca="1" si="152"/>
        <v>207.31245359640724</v>
      </c>
      <c r="M237" s="7">
        <f t="shared" ca="1" si="152"/>
        <v>240.24707439399023</v>
      </c>
      <c r="N237" s="7">
        <f t="shared" ca="1" si="152"/>
        <v>267.43236354304304</v>
      </c>
      <c r="O237" s="7">
        <f t="shared" ca="1" si="152"/>
        <v>288.97621894439158</v>
      </c>
      <c r="P237" s="7">
        <f t="shared" ca="1" si="152"/>
        <v>304.41053314312694</v>
      </c>
      <c r="Q237" s="7">
        <f t="shared" ca="1" si="152"/>
        <v>312.29444911664217</v>
      </c>
      <c r="R237" s="9">
        <f t="shared" ca="1" si="152"/>
        <v>308.9206512624894</v>
      </c>
      <c r="S237" s="9">
        <f t="shared" ca="1" si="152"/>
        <v>292.13858719982159</v>
      </c>
      <c r="T237" s="9">
        <f t="shared" ca="1" si="152"/>
        <v>266.24752884495825</v>
      </c>
      <c r="U237" s="9">
        <f t="shared" ca="1" si="152"/>
        <v>237.43264428323224</v>
      </c>
      <c r="V237" s="9">
        <f t="shared" ca="1" si="152"/>
        <v>210.49093957139021</v>
      </c>
      <c r="W237" s="9">
        <f t="shared" ca="1" si="152"/>
        <v>191.55422716996094</v>
      </c>
      <c r="X237" s="7">
        <f t="shared" ca="1" si="152"/>
        <v>184.80588023714924</v>
      </c>
      <c r="Y237" s="7">
        <f t="shared" ca="1" si="152"/>
        <v>187.89637482853811</v>
      </c>
      <c r="Z237" s="7">
        <f t="shared" ca="1" si="152"/>
        <v>196.79926055714773</v>
      </c>
      <c r="AA237" s="7">
        <f t="shared" ca="1" si="152"/>
        <v>209.56982006336227</v>
      </c>
      <c r="AB237" s="8">
        <f t="shared" ca="1" si="152"/>
        <v>224.93569226840049</v>
      </c>
    </row>
    <row r="238" spans="4:28" x14ac:dyDescent="0.25">
      <c r="D238" s="17"/>
      <c r="E238" s="2">
        <f t="shared" si="121"/>
        <v>0.89999999999999991</v>
      </c>
      <c r="H238" s="8">
        <f t="shared" ref="H238:AB238" ca="1" si="153" xml:space="preserve"> (D*(1-nu)*(G87-I87+I89-G89))/(4*delta^2)</f>
        <v>-5.1178800917558912E-7</v>
      </c>
      <c r="I238" s="7">
        <f t="shared" ca="1" si="153"/>
        <v>73.331376909662552</v>
      </c>
      <c r="J238" s="7">
        <f t="shared" ca="1" si="153"/>
        <v>134.65927251048427</v>
      </c>
      <c r="K238" s="7">
        <f t="shared" ca="1" si="153"/>
        <v>186.13824306581174</v>
      </c>
      <c r="L238" s="7">
        <f t="shared" ca="1" si="153"/>
        <v>229.3004230877809</v>
      </c>
      <c r="M238" s="7">
        <f t="shared" ca="1" si="153"/>
        <v>265.17814372804173</v>
      </c>
      <c r="N238" s="7">
        <f t="shared" ca="1" si="153"/>
        <v>294.35773203511098</v>
      </c>
      <c r="O238" s="7">
        <f t="shared" ca="1" si="153"/>
        <v>316.96260190322914</v>
      </c>
      <c r="P238" s="7">
        <f t="shared" ca="1" si="153"/>
        <v>332.53720165652396</v>
      </c>
      <c r="Q238" s="7">
        <f t="shared" ca="1" si="153"/>
        <v>339.74852261031879</v>
      </c>
      <c r="R238" s="7">
        <f t="shared" ca="1" si="153"/>
        <v>335.71545189711026</v>
      </c>
      <c r="S238" s="7">
        <f t="shared" ca="1" si="153"/>
        <v>319.10111557301605</v>
      </c>
      <c r="T238" s="7">
        <f t="shared" ca="1" si="153"/>
        <v>293.73871643741603</v>
      </c>
      <c r="U238" s="7">
        <f t="shared" ca="1" si="153"/>
        <v>265.32555767815336</v>
      </c>
      <c r="V238" s="7">
        <f t="shared" ca="1" si="153"/>
        <v>238.78631711076744</v>
      </c>
      <c r="W238" s="7">
        <f t="shared" ca="1" si="153"/>
        <v>219.7551413834681</v>
      </c>
      <c r="X238" s="7">
        <f t="shared" ca="1" si="153"/>
        <v>211.93034593732571</v>
      </c>
      <c r="Y238" s="7">
        <f t="shared" ca="1" si="153"/>
        <v>213.74951581902187</v>
      </c>
      <c r="Z238" s="7">
        <f t="shared" ca="1" si="153"/>
        <v>221.98186334024373</v>
      </c>
      <c r="AA238" s="7">
        <f t="shared" ca="1" si="153"/>
        <v>234.76410625286613</v>
      </c>
      <c r="AB238" s="8">
        <f t="shared" ca="1" si="153"/>
        <v>250.83350443346814</v>
      </c>
    </row>
    <row r="239" spans="4:28" x14ac:dyDescent="0.25">
      <c r="D239" s="17"/>
      <c r="E239" s="2">
        <f t="shared" si="121"/>
        <v>0.79999999999999993</v>
      </c>
      <c r="H239" s="8">
        <f t="shared" ref="H239:AB239" ca="1" si="154" xml:space="preserve"> (D*(1-nu)*(G88-I88+I90-G90))/(4*delta^2)</f>
        <v>-5.4360841547768413E-7</v>
      </c>
      <c r="I239" s="7">
        <f t="shared" ca="1" si="154"/>
        <v>78.93610172358224</v>
      </c>
      <c r="J239" s="7">
        <f t="shared" ca="1" si="154"/>
        <v>145.12478799398721</v>
      </c>
      <c r="K239" s="7">
        <f t="shared" ca="1" si="154"/>
        <v>200.61139461580134</v>
      </c>
      <c r="L239" s="7">
        <f t="shared" ca="1" si="154"/>
        <v>246.87525393671982</v>
      </c>
      <c r="M239" s="7">
        <f t="shared" ca="1" si="154"/>
        <v>284.92180874768604</v>
      </c>
      <c r="N239" s="7">
        <f t="shared" ca="1" si="154"/>
        <v>315.32097387670109</v>
      </c>
      <c r="O239" s="7">
        <f t="shared" ca="1" si="154"/>
        <v>338.19213712975773</v>
      </c>
      <c r="P239" s="7">
        <f t="shared" ca="1" si="154"/>
        <v>353.13460277571153</v>
      </c>
      <c r="Q239" s="7">
        <f t="shared" ca="1" si="154"/>
        <v>359.13702942090021</v>
      </c>
      <c r="R239" s="7">
        <f t="shared" ca="1" si="154"/>
        <v>354.72833475153851</v>
      </c>
      <c r="S239" s="7">
        <f t="shared" ca="1" si="154"/>
        <v>339.80202415265734</v>
      </c>
      <c r="T239" s="7">
        <f t="shared" ca="1" si="154"/>
        <v>317.31100298339777</v>
      </c>
      <c r="U239" s="7">
        <f t="shared" ca="1" si="154"/>
        <v>291.8314635188994</v>
      </c>
      <c r="V239" s="7">
        <f t="shared" ca="1" si="154"/>
        <v>267.98379263610957</v>
      </c>
      <c r="W239" s="7">
        <f t="shared" ca="1" si="154"/>
        <v>250.27206572253274</v>
      </c>
      <c r="X239" s="7">
        <f t="shared" ca="1" si="154"/>
        <v>241.49775565421518</v>
      </c>
      <c r="Y239" s="7">
        <f t="shared" ca="1" si="154"/>
        <v>241.30819983117684</v>
      </c>
      <c r="Z239" s="7">
        <f t="shared" ca="1" si="154"/>
        <v>247.86562782672416</v>
      </c>
      <c r="AA239" s="7">
        <f t="shared" ca="1" si="154"/>
        <v>259.63205329274223</v>
      </c>
      <c r="AB239" s="8">
        <f t="shared" ca="1" si="154"/>
        <v>275.46356749464314</v>
      </c>
    </row>
    <row r="240" spans="4:28" x14ac:dyDescent="0.25">
      <c r="D240" s="17"/>
      <c r="E240" s="2">
        <f t="shared" si="121"/>
        <v>0.7</v>
      </c>
      <c r="H240" s="8">
        <f t="shared" ref="H240:AB240" ca="1" si="155" xml:space="preserve"> (D*(1-nu)*(G89-I89+I91-G91))/(4*delta^2)</f>
        <v>-5.7206855325154947E-7</v>
      </c>
      <c r="I240" s="7">
        <f t="shared" ca="1" si="155"/>
        <v>83.147103926045077</v>
      </c>
      <c r="J240" s="7">
        <f t="shared" ca="1" si="155"/>
        <v>153.12366486688012</v>
      </c>
      <c r="K240" s="7">
        <f t="shared" ca="1" si="155"/>
        <v>211.76111638053592</v>
      </c>
      <c r="L240" s="7">
        <f t="shared" ca="1" si="155"/>
        <v>260.41933676289506</v>
      </c>
      <c r="M240" s="7">
        <f t="shared" ca="1" si="155"/>
        <v>300.04408036798912</v>
      </c>
      <c r="N240" s="7">
        <f t="shared" ca="1" si="155"/>
        <v>331.19478148963458</v>
      </c>
      <c r="O240" s="7">
        <f t="shared" ca="1" si="155"/>
        <v>354.04943822827551</v>
      </c>
      <c r="P240" s="7">
        <f t="shared" ca="1" si="155"/>
        <v>368.40971094384258</v>
      </c>
      <c r="Q240" s="7">
        <f t="shared" ca="1" si="155"/>
        <v>373.78170945205466</v>
      </c>
      <c r="R240" s="7">
        <f t="shared" ca="1" si="155"/>
        <v>369.73852006292276</v>
      </c>
      <c r="S240" s="7">
        <f t="shared" ca="1" si="155"/>
        <v>356.9107196208663</v>
      </c>
      <c r="T240" s="7">
        <f t="shared" ca="1" si="155"/>
        <v>337.72676255140448</v>
      </c>
      <c r="U240" s="7">
        <f t="shared" ca="1" si="155"/>
        <v>315.81232394249611</v>
      </c>
      <c r="V240" s="7">
        <f t="shared" ca="1" si="155"/>
        <v>295.05242076079963</v>
      </c>
      <c r="W240" s="7">
        <f t="shared" ca="1" si="155"/>
        <v>278.99311037746781</v>
      </c>
      <c r="X240" s="7">
        <f t="shared" ca="1" si="155"/>
        <v>269.8983633161871</v>
      </c>
      <c r="Y240" s="7">
        <f t="shared" ca="1" si="155"/>
        <v>268.13874387372084</v>
      </c>
      <c r="Z240" s="7">
        <f t="shared" ca="1" si="155"/>
        <v>272.91577167534052</v>
      </c>
      <c r="AA240" s="7">
        <f t="shared" ca="1" si="155"/>
        <v>283.23255150462143</v>
      </c>
      <c r="AB240" s="8">
        <f t="shared" ca="1" si="155"/>
        <v>298.23908849688047</v>
      </c>
    </row>
    <row r="241" spans="4:28" x14ac:dyDescent="0.25">
      <c r="D241" s="17"/>
      <c r="E241" s="2">
        <f t="shared" si="121"/>
        <v>0.6</v>
      </c>
      <c r="H241" s="8">
        <f t="shared" ref="H241:AB241" ca="1" si="156" xml:space="preserve"> (D*(1-nu)*(G90-I90+I92-G92))/(4*delta^2)</f>
        <v>-5.9700935948314783E-7</v>
      </c>
      <c r="I241" s="7">
        <f t="shared" ca="1" si="156"/>
        <v>86.156650574603844</v>
      </c>
      <c r="J241" s="7">
        <f t="shared" ca="1" si="156"/>
        <v>158.98057065829653</v>
      </c>
      <c r="K241" s="7">
        <f t="shared" ca="1" si="156"/>
        <v>220.03180011584337</v>
      </c>
      <c r="L241" s="7">
        <f t="shared" ca="1" si="156"/>
        <v>270.51731943149247</v>
      </c>
      <c r="M241" s="7">
        <f t="shared" ca="1" si="156"/>
        <v>311.31637272765562</v>
      </c>
      <c r="N241" s="7">
        <f t="shared" ca="1" si="156"/>
        <v>343.00154284566668</v>
      </c>
      <c r="O241" s="7">
        <f t="shared" ca="1" si="156"/>
        <v>365.86438321098393</v>
      </c>
      <c r="P241" s="7">
        <f t="shared" ca="1" si="156"/>
        <v>379.97229806681929</v>
      </c>
      <c r="Q241" s="7">
        <f t="shared" ca="1" si="156"/>
        <v>385.31449971302192</v>
      </c>
      <c r="R241" s="7">
        <f t="shared" ca="1" si="156"/>
        <v>382.12723196850965</v>
      </c>
      <c r="S241" s="7">
        <f t="shared" ca="1" si="156"/>
        <v>371.42303502947425</v>
      </c>
      <c r="T241" s="7">
        <f t="shared" ca="1" si="156"/>
        <v>355.31270213336518</v>
      </c>
      <c r="U241" s="7">
        <f t="shared" ca="1" si="156"/>
        <v>336.71709918146462</v>
      </c>
      <c r="V241" s="7">
        <f t="shared" ca="1" si="156"/>
        <v>318.79043950383084</v>
      </c>
      <c r="W241" s="7">
        <f t="shared" ca="1" si="156"/>
        <v>304.36842210603936</v>
      </c>
      <c r="X241" s="7">
        <f t="shared" ca="1" si="156"/>
        <v>295.38848337472132</v>
      </c>
      <c r="Y241" s="7">
        <f t="shared" ca="1" si="156"/>
        <v>292.59608899606019</v>
      </c>
      <c r="Z241" s="7">
        <f t="shared" ca="1" si="156"/>
        <v>295.8602541686231</v>
      </c>
      <c r="AA241" s="7">
        <f t="shared" ca="1" si="156"/>
        <v>304.69962912566183</v>
      </c>
      <c r="AB241" s="8">
        <f t="shared" ca="1" si="156"/>
        <v>318.61786761141815</v>
      </c>
    </row>
    <row r="242" spans="4:28" x14ac:dyDescent="0.25">
      <c r="D242" s="17"/>
      <c r="E242" s="2">
        <f t="shared" si="121"/>
        <v>0.5</v>
      </c>
      <c r="H242" s="8">
        <f t="shared" ref="H242:AB242" ca="1" si="157" xml:space="preserve"> (D*(1-nu)*(G91-I91+I93-G93))/(4*delta^2)</f>
        <v>-6.1829640205191247E-7</v>
      </c>
      <c r="I242" s="7">
        <f t="shared" ca="1" si="157"/>
        <v>88.195648711279816</v>
      </c>
      <c r="J242" s="7">
        <f t="shared" ca="1" si="157"/>
        <v>163.0848826317312</v>
      </c>
      <c r="K242" s="7">
        <f t="shared" ca="1" si="157"/>
        <v>225.94201790796998</v>
      </c>
      <c r="L242" s="7">
        <f t="shared" ca="1" si="157"/>
        <v>277.81388264385851</v>
      </c>
      <c r="M242" s="7">
        <f t="shared" ca="1" si="157"/>
        <v>319.51800158833947</v>
      </c>
      <c r="N242" s="7">
        <f t="shared" ca="1" si="157"/>
        <v>351.65656804075672</v>
      </c>
      <c r="O242" s="7">
        <f t="shared" ca="1" si="157"/>
        <v>374.65221681892166</v>
      </c>
      <c r="P242" s="7">
        <f t="shared" ca="1" si="157"/>
        <v>388.82367911485551</v>
      </c>
      <c r="Q242" s="7">
        <f t="shared" ca="1" si="157"/>
        <v>394.53039309573256</v>
      </c>
      <c r="R242" s="7">
        <f t="shared" ca="1" si="157"/>
        <v>392.40858315975328</v>
      </c>
      <c r="S242" s="7">
        <f t="shared" ca="1" si="157"/>
        <v>383.65477196283882</v>
      </c>
      <c r="T242" s="7">
        <f t="shared" ca="1" si="157"/>
        <v>370.16196181567102</v>
      </c>
      <c r="U242" s="7">
        <f t="shared" ca="1" si="157"/>
        <v>354.35035268707406</v>
      </c>
      <c r="V242" s="7">
        <f t="shared" ca="1" si="157"/>
        <v>338.79949887126156</v>
      </c>
      <c r="W242" s="7">
        <f t="shared" ca="1" si="157"/>
        <v>325.84094325702813</v>
      </c>
      <c r="X242" s="7">
        <f t="shared" ca="1" si="157"/>
        <v>317.18951605813584</v>
      </c>
      <c r="Y242" s="7">
        <f t="shared" ca="1" si="157"/>
        <v>313.77322220487343</v>
      </c>
      <c r="Z242" s="7">
        <f t="shared" ca="1" si="157"/>
        <v>315.87085837481493</v>
      </c>
      <c r="AA242" s="7">
        <f t="shared" ca="1" si="157"/>
        <v>323.40389639679279</v>
      </c>
      <c r="AB242" s="8">
        <f t="shared" ca="1" si="157"/>
        <v>336.19683475512272</v>
      </c>
    </row>
    <row r="243" spans="4:28" x14ac:dyDescent="0.25">
      <c r="D243" s="17"/>
      <c r="E243" s="2">
        <f t="shared" si="121"/>
        <v>0.4</v>
      </c>
      <c r="H243" s="8">
        <f t="shared" ref="H243:AB243" ca="1" si="158" xml:space="preserve"> (D*(1-nu)*(G92-I92+I94-G94))/(4*delta^2)</f>
        <v>-6.3582152772904514E-7</v>
      </c>
      <c r="I243" s="7">
        <f t="shared" ca="1" si="158"/>
        <v>89.498603756052319</v>
      </c>
      <c r="J243" s="7">
        <f t="shared" ca="1" si="158"/>
        <v>165.83074488972775</v>
      </c>
      <c r="K243" s="7">
        <f t="shared" ca="1" si="158"/>
        <v>230.00430980520409</v>
      </c>
      <c r="L243" s="7">
        <f t="shared" ca="1" si="158"/>
        <v>282.91703160619909</v>
      </c>
      <c r="M243" s="7">
        <f t="shared" ca="1" si="158"/>
        <v>325.33306280641011</v>
      </c>
      <c r="N243" s="7">
        <f t="shared" ca="1" si="158"/>
        <v>357.88802429583205</v>
      </c>
      <c r="O243" s="7">
        <f t="shared" ca="1" si="158"/>
        <v>381.12392524812401</v>
      </c>
      <c r="P243" s="7">
        <f t="shared" ca="1" si="158"/>
        <v>395.56144646082259</v>
      </c>
      <c r="Q243" s="7">
        <f t="shared" ca="1" si="158"/>
        <v>401.81775372283698</v>
      </c>
      <c r="R243" s="7">
        <f t="shared" ca="1" si="158"/>
        <v>400.76406633265788</v>
      </c>
      <c r="S243" s="7">
        <f t="shared" ca="1" si="158"/>
        <v>393.67755452577597</v>
      </c>
      <c r="T243" s="7">
        <f t="shared" ca="1" si="158"/>
        <v>382.29194478834563</v>
      </c>
      <c r="U243" s="7">
        <f t="shared" ca="1" si="158"/>
        <v>368.68048481611078</v>
      </c>
      <c r="V243" s="7">
        <f t="shared" ca="1" si="158"/>
        <v>355.01243042553875</v>
      </c>
      <c r="W243" s="7">
        <f t="shared" ca="1" si="158"/>
        <v>343.27065057246489</v>
      </c>
      <c r="X243" s="7">
        <f t="shared" ca="1" si="158"/>
        <v>335.00910082277517</v>
      </c>
      <c r="Y243" s="7">
        <f t="shared" ca="1" si="158"/>
        <v>331.23871349660124</v>
      </c>
      <c r="Z243" s="7">
        <f t="shared" ca="1" si="158"/>
        <v>332.4850313076725</v>
      </c>
      <c r="AA243" s="7">
        <f t="shared" ca="1" si="158"/>
        <v>338.95510288437771</v>
      </c>
      <c r="AB243" s="8">
        <f t="shared" ca="1" si="158"/>
        <v>350.72409934598733</v>
      </c>
    </row>
    <row r="244" spans="4:28" x14ac:dyDescent="0.25">
      <c r="D244" s="17"/>
      <c r="E244" s="2">
        <f t="shared" si="121"/>
        <v>0.30000000000000004</v>
      </c>
      <c r="H244" s="8">
        <f t="shared" ref="H244:AB244" ca="1" si="159" xml:space="preserve"> (D*(1-nu)*(G93-I93+I95-G95))/(4*delta^2)</f>
        <v>-6.4950434983003213E-7</v>
      </c>
      <c r="I244" s="7">
        <f t="shared" ca="1" si="159"/>
        <v>90.277742266450389</v>
      </c>
      <c r="J244" s="7">
        <f t="shared" ca="1" si="159"/>
        <v>167.57398436997357</v>
      </c>
      <c r="K244" s="7">
        <f t="shared" ca="1" si="159"/>
        <v>232.67261476269388</v>
      </c>
      <c r="L244" s="7">
        <f t="shared" ca="1" si="159"/>
        <v>286.34551805008141</v>
      </c>
      <c r="M244" s="7">
        <f t="shared" ca="1" si="159"/>
        <v>329.31300319627121</v>
      </c>
      <c r="N244" s="7">
        <f t="shared" ca="1" si="159"/>
        <v>362.23919873137152</v>
      </c>
      <c r="O244" s="7">
        <f t="shared" ca="1" si="159"/>
        <v>385.75976664724493</v>
      </c>
      <c r="P244" s="7">
        <f t="shared" ca="1" si="159"/>
        <v>400.54138805700461</v>
      </c>
      <c r="Q244" s="7">
        <f t="shared" ca="1" si="159"/>
        <v>407.36960562328869</v>
      </c>
      <c r="R244" s="7">
        <f t="shared" ca="1" si="159"/>
        <v>407.25032623460555</v>
      </c>
      <c r="S244" s="7">
        <f t="shared" ca="1" si="159"/>
        <v>401.49041342159046</v>
      </c>
      <c r="T244" s="7">
        <f t="shared" ca="1" si="159"/>
        <v>391.70787877649298</v>
      </c>
      <c r="U244" s="7">
        <f t="shared" ca="1" si="159"/>
        <v>379.74236637001582</v>
      </c>
      <c r="V244" s="7">
        <f t="shared" ca="1" si="159"/>
        <v>367.48627396064308</v>
      </c>
      <c r="W244" s="7">
        <f t="shared" ca="1" si="159"/>
        <v>356.68837929238566</v>
      </c>
      <c r="X244" s="7">
        <f t="shared" ca="1" si="159"/>
        <v>348.78734308365802</v>
      </c>
      <c r="Y244" s="7">
        <f t="shared" ca="1" si="159"/>
        <v>344.82778743934261</v>
      </c>
      <c r="Z244" s="7">
        <f t="shared" ca="1" si="159"/>
        <v>345.48101441916339</v>
      </c>
      <c r="AA244" s="7">
        <f t="shared" ca="1" si="159"/>
        <v>351.14369593453546</v>
      </c>
      <c r="AB244" s="8">
        <f t="shared" ca="1" si="159"/>
        <v>362.06831365700975</v>
      </c>
    </row>
    <row r="245" spans="4:28" x14ac:dyDescent="0.25">
      <c r="D245" s="17"/>
      <c r="E245" s="2">
        <f t="shared" si="121"/>
        <v>0.2</v>
      </c>
      <c r="H245" s="8">
        <f t="shared" ref="H245:AB245" ca="1" si="160" xml:space="preserve"> (D*(1-nu)*(G94-I94+I96-G96))/(4*delta^2)</f>
        <v>-6.5929330382436533E-7</v>
      </c>
      <c r="I245" s="7">
        <f t="shared" ca="1" si="160"/>
        <v>90.70689588673747</v>
      </c>
      <c r="J245" s="7">
        <f t="shared" ca="1" si="160"/>
        <v>168.60575435032987</v>
      </c>
      <c r="K245" s="7">
        <f t="shared" ca="1" si="160"/>
        <v>234.31314830298584</v>
      </c>
      <c r="L245" s="7">
        <f t="shared" ca="1" si="160"/>
        <v>288.50627811333948</v>
      </c>
      <c r="M245" s="7">
        <f t="shared" ca="1" si="160"/>
        <v>331.87238595708277</v>
      </c>
      <c r="N245" s="7">
        <f t="shared" ca="1" si="160"/>
        <v>365.09566457815095</v>
      </c>
      <c r="O245" s="7">
        <f t="shared" ca="1" si="160"/>
        <v>388.87637867362764</v>
      </c>
      <c r="P245" s="7">
        <f t="shared" ca="1" si="160"/>
        <v>403.97681090944735</v>
      </c>
      <c r="Q245" s="7">
        <f t="shared" ca="1" si="160"/>
        <v>411.2852142063457</v>
      </c>
      <c r="R245" s="7">
        <f t="shared" ca="1" si="160"/>
        <v>411.88155613499634</v>
      </c>
      <c r="S245" s="7">
        <f t="shared" ca="1" si="160"/>
        <v>407.07984388719183</v>
      </c>
      <c r="T245" s="7">
        <f t="shared" ca="1" si="160"/>
        <v>398.41927380833499</v>
      </c>
      <c r="U245" s="7">
        <f t="shared" ca="1" si="160"/>
        <v>387.59066592695359</v>
      </c>
      <c r="V245" s="7">
        <f t="shared" ca="1" si="160"/>
        <v>376.31122904458545</v>
      </c>
      <c r="W245" s="7">
        <f t="shared" ca="1" si="160"/>
        <v>366.18107541388787</v>
      </c>
      <c r="X245" s="7">
        <f t="shared" ca="1" si="160"/>
        <v>358.56130138766144</v>
      </c>
      <c r="Y245" s="7">
        <f t="shared" ca="1" si="160"/>
        <v>354.50770075259135</v>
      </c>
      <c r="Z245" s="7">
        <f t="shared" ca="1" si="160"/>
        <v>354.77437359218169</v>
      </c>
      <c r="AA245" s="7">
        <f t="shared" ca="1" si="160"/>
        <v>359.87523311881216</v>
      </c>
      <c r="AB245" s="8">
        <f t="shared" ca="1" si="160"/>
        <v>370.17691155407618</v>
      </c>
    </row>
    <row r="246" spans="4:28" x14ac:dyDescent="0.25">
      <c r="D246" s="17"/>
      <c r="E246" s="2">
        <f t="shared" si="121"/>
        <v>0.1</v>
      </c>
      <c r="H246" s="8">
        <f t="shared" ref="H246:AB246" ca="1" si="161" xml:space="preserve"> (D*(1-nu)*(G95-I95+I97-G97))/(4*delta^2)</f>
        <v>-6.6516558943289896E-7</v>
      </c>
      <c r="I246" s="7">
        <f t="shared" ca="1" si="161"/>
        <v>90.913133387192232</v>
      </c>
      <c r="J246" s="7">
        <f t="shared" ca="1" si="161"/>
        <v>169.13890494915711</v>
      </c>
      <c r="K246" s="7">
        <f t="shared" ca="1" si="161"/>
        <v>235.19108232717204</v>
      </c>
      <c r="L246" s="7">
        <f t="shared" ca="1" si="161"/>
        <v>289.68827004948207</v>
      </c>
      <c r="M246" s="7">
        <f t="shared" ca="1" si="161"/>
        <v>333.29698159102827</v>
      </c>
      <c r="N246" s="7">
        <f t="shared" ca="1" si="161"/>
        <v>366.71282713215351</v>
      </c>
      <c r="O246" s="7">
        <f t="shared" ca="1" si="161"/>
        <v>390.67319450157527</v>
      </c>
      <c r="P246" s="7">
        <f t="shared" ca="1" si="161"/>
        <v>405.99365479883761</v>
      </c>
      <c r="Q246" s="7">
        <f t="shared" ca="1" si="161"/>
        <v>413.6171442949846</v>
      </c>
      <c r="R246" s="7">
        <f t="shared" ca="1" si="161"/>
        <v>414.66016053280049</v>
      </c>
      <c r="S246" s="7">
        <f t="shared" ca="1" si="161"/>
        <v>410.4362715690695</v>
      </c>
      <c r="T246" s="7">
        <f t="shared" ca="1" si="161"/>
        <v>402.43889196503977</v>
      </c>
      <c r="U246" s="7">
        <f t="shared" ca="1" si="161"/>
        <v>392.2763409785336</v>
      </c>
      <c r="V246" s="7">
        <f t="shared" ca="1" si="161"/>
        <v>381.5694306589607</v>
      </c>
      <c r="W246" s="7">
        <f t="shared" ca="1" si="161"/>
        <v>371.83608171544392</v>
      </c>
      <c r="X246" s="7">
        <f t="shared" ca="1" si="161"/>
        <v>364.39274952089124</v>
      </c>
      <c r="Y246" s="7">
        <f t="shared" ca="1" si="161"/>
        <v>360.29765932508525</v>
      </c>
      <c r="Z246" s="7">
        <f t="shared" ca="1" si="161"/>
        <v>360.34694979028598</v>
      </c>
      <c r="AA246" s="7">
        <f t="shared" ca="1" si="161"/>
        <v>365.11757587952536</v>
      </c>
      <c r="AB246" s="8">
        <f t="shared" ca="1" si="161"/>
        <v>375.03905438380002</v>
      </c>
    </row>
    <row r="247" spans="4:28" x14ac:dyDescent="0.25">
      <c r="D247" s="17"/>
      <c r="E247" s="2">
        <v>0</v>
      </c>
      <c r="H247" s="13"/>
      <c r="I247" s="8">
        <f t="shared" ref="I247:AA247" ca="1" si="162" xml:space="preserve"> (D*(1-nu)*(H96-J96+J98-H98))/(4*delta^2)</f>
        <v>90.973321769923075</v>
      </c>
      <c r="J247" s="8">
        <f t="shared" ca="1" si="162"/>
        <v>169.3022717785625</v>
      </c>
      <c r="K247" s="8">
        <f t="shared" ca="1" si="162"/>
        <v>235.46599957916291</v>
      </c>
      <c r="L247" s="8">
        <f t="shared" ca="1" si="162"/>
        <v>290.06329268740433</v>
      </c>
      <c r="M247" s="8">
        <f t="shared" ca="1" si="162"/>
        <v>333.75358574765085</v>
      </c>
      <c r="N247" s="8">
        <f t="shared" ca="1" si="162"/>
        <v>367.23614030712309</v>
      </c>
      <c r="O247" s="8">
        <f t="shared" ca="1" si="162"/>
        <v>391.26037834765998</v>
      </c>
      <c r="P247" s="8">
        <f t="shared" ca="1" si="162"/>
        <v>406.65890676583103</v>
      </c>
      <c r="Q247" s="8">
        <f t="shared" ca="1" si="162"/>
        <v>414.39174973480499</v>
      </c>
      <c r="R247" s="8">
        <f t="shared" ca="1" si="162"/>
        <v>415.5863530331111</v>
      </c>
      <c r="S247" s="8">
        <f t="shared" ca="1" si="162"/>
        <v>411.55543269720943</v>
      </c>
      <c r="T247" s="8">
        <f t="shared" ca="1" si="162"/>
        <v>403.77739632600725</v>
      </c>
      <c r="U247" s="8">
        <f t="shared" ca="1" si="162"/>
        <v>393.83415230708493</v>
      </c>
      <c r="V247" s="8">
        <f t="shared" ca="1" si="162"/>
        <v>383.3157894752253</v>
      </c>
      <c r="W247" s="8">
        <f t="shared" ca="1" si="162"/>
        <v>373.7139573147914</v>
      </c>
      <c r="X247" s="8">
        <f t="shared" ca="1" si="162"/>
        <v>366.33055001504835</v>
      </c>
      <c r="Y247" s="8">
        <f t="shared" ca="1" si="162"/>
        <v>362.22397104703043</v>
      </c>
      <c r="Z247" s="8">
        <f t="shared" ca="1" si="162"/>
        <v>362.20318107698654</v>
      </c>
      <c r="AA247" s="8">
        <f t="shared" ca="1" si="162"/>
        <v>366.86494056251667</v>
      </c>
      <c r="AB247" s="13"/>
    </row>
    <row r="253" spans="4:28" ht="18.75" x14ac:dyDescent="0.3">
      <c r="E253" s="1" t="s">
        <v>31</v>
      </c>
    </row>
    <row r="254" spans="4:28" x14ac:dyDescent="0.25">
      <c r="H254" s="16" t="s">
        <v>17</v>
      </c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</row>
    <row r="255" spans="4:28" x14ac:dyDescent="0.25">
      <c r="H255" s="2">
        <v>0</v>
      </c>
      <c r="I255" s="2">
        <f t="shared" ref="I255" si="163">+H255+delta</f>
        <v>0.1</v>
      </c>
      <c r="J255" s="2">
        <f t="shared" ref="J255" si="164">+I255+delta</f>
        <v>0.2</v>
      </c>
      <c r="K255" s="2">
        <f t="shared" ref="K255" si="165">+J255+delta</f>
        <v>0.30000000000000004</v>
      </c>
      <c r="L255" s="2">
        <f t="shared" ref="L255" si="166">+K255+delta</f>
        <v>0.4</v>
      </c>
      <c r="M255" s="2">
        <f t="shared" ref="M255" si="167">+L255+delta</f>
        <v>0.5</v>
      </c>
      <c r="N255" s="2">
        <f t="shared" ref="N255" si="168">+M255+delta</f>
        <v>0.6</v>
      </c>
      <c r="O255" s="2">
        <f t="shared" ref="O255" si="169">+N255+delta</f>
        <v>0.7</v>
      </c>
      <c r="P255" s="2">
        <f t="shared" ref="P255" si="170">+O255+delta</f>
        <v>0.79999999999999993</v>
      </c>
      <c r="Q255" s="2">
        <f t="shared" ref="Q255" si="171">+P255+delta</f>
        <v>0.89999999999999991</v>
      </c>
      <c r="R255" s="2">
        <f t="shared" ref="R255" si="172">+Q255+delta</f>
        <v>0.99999999999999989</v>
      </c>
      <c r="S255" s="2">
        <f t="shared" ref="S255" si="173">+R255+delta</f>
        <v>1.0999999999999999</v>
      </c>
      <c r="T255" s="2">
        <f t="shared" ref="T255" si="174">+S255+delta</f>
        <v>1.2</v>
      </c>
      <c r="U255" s="2">
        <f t="shared" ref="U255" si="175">+T255+delta</f>
        <v>1.3</v>
      </c>
      <c r="V255" s="2">
        <f t="shared" ref="V255" si="176">+U255+delta</f>
        <v>1.4000000000000001</v>
      </c>
      <c r="W255" s="2">
        <f t="shared" ref="W255" si="177">+V255+delta</f>
        <v>1.5000000000000002</v>
      </c>
      <c r="X255" s="2">
        <f t="shared" ref="X255" si="178">+W255+delta</f>
        <v>1.6000000000000003</v>
      </c>
      <c r="Y255" s="2">
        <f t="shared" ref="Y255" si="179">+X255+delta</f>
        <v>1.7000000000000004</v>
      </c>
      <c r="Z255" s="2">
        <f t="shared" ref="Z255" si="180">+Y255+delta</f>
        <v>1.8000000000000005</v>
      </c>
      <c r="AA255" s="2">
        <f t="shared" ref="AA255" si="181">+Z255+delta</f>
        <v>1.9000000000000006</v>
      </c>
      <c r="AB255" s="2">
        <f t="shared" ref="AB255" si="182">+AA255+delta</f>
        <v>2.0000000000000004</v>
      </c>
    </row>
    <row r="258" spans="5:28" x14ac:dyDescent="0.25">
      <c r="E258" s="2">
        <f t="shared" ref="E258:E297" si="183">E259+delta</f>
        <v>4.0000000000000018</v>
      </c>
      <c r="H258" s="8">
        <f t="shared" ref="H258:AA258" si="184" xml:space="preserve"> (H58+G57+H56+I57-4*H57)/delta^2</f>
        <v>0</v>
      </c>
      <c r="I258" s="8">
        <f t="shared" ca="1" si="184"/>
        <v>8.0862311329542082E-13</v>
      </c>
      <c r="J258" s="8">
        <f t="shared" ca="1" si="184"/>
        <v>3.0310810802006774E-12</v>
      </c>
      <c r="K258" s="8">
        <f t="shared" ca="1" si="184"/>
        <v>6.4823387407658332E-12</v>
      </c>
      <c r="L258" s="8">
        <f t="shared" ca="1" si="184"/>
        <v>1.0993759439960239E-11</v>
      </c>
      <c r="M258" s="8">
        <f t="shared" ca="1" si="184"/>
        <v>1.6411556511155111E-11</v>
      </c>
      <c r="N258" s="8">
        <f t="shared" ca="1" si="184"/>
        <v>2.2595611498402512E-11</v>
      </c>
      <c r="O258" s="8">
        <f t="shared" ca="1" si="184"/>
        <v>2.9418612999213688E-11</v>
      </c>
      <c r="P258" s="8">
        <f t="shared" ca="1" si="184"/>
        <v>3.6765468633111278E-11</v>
      </c>
      <c r="Q258" s="8">
        <f t="shared" ca="1" si="184"/>
        <v>4.4532970993010721E-11</v>
      </c>
      <c r="R258" s="8">
        <f t="shared" ca="1" si="184"/>
        <v>5.2629683041662497E-11</v>
      </c>
      <c r="S258" s="8">
        <f t="shared" ca="1" si="184"/>
        <v>6.097603501222132E-11</v>
      </c>
      <c r="T258" s="8">
        <f t="shared" ca="1" si="184"/>
        <v>6.9504611552415213E-11</v>
      </c>
      <c r="U258" s="8">
        <f t="shared" ca="1" si="184"/>
        <v>7.8160629959347556E-11</v>
      </c>
      <c r="V258" s="8">
        <f t="shared" ca="1" si="184"/>
        <v>8.6902603236888192E-11</v>
      </c>
      <c r="W258" s="8">
        <f t="shared" ca="1" si="184"/>
        <v>9.5703184418115248E-11</v>
      </c>
      <c r="X258" s="8">
        <f t="shared" ca="1" si="184"/>
        <v>1.0455022162955422E-10</v>
      </c>
      <c r="Y258" s="8">
        <f t="shared" ca="1" si="184"/>
        <v>1.1344801203875315E-10</v>
      </c>
      <c r="Z258" s="8">
        <f t="shared" ca="1" si="184"/>
        <v>1.224188021190387E-10</v>
      </c>
      <c r="AA258" s="8">
        <f t="shared" ca="1" si="184"/>
        <v>1.3150459149088072E-10</v>
      </c>
      <c r="AB258" s="8">
        <f ca="1" xml:space="preserve"> (AB58+AA57+AB56+AC57-4*AB57)/delta^2</f>
        <v>1.4076930437555577E-10</v>
      </c>
    </row>
    <row r="259" spans="5:28" x14ac:dyDescent="0.25">
      <c r="E259" s="2">
        <f t="shared" si="183"/>
        <v>3.9000000000000021</v>
      </c>
      <c r="H259" s="8">
        <f t="shared" ref="H259:AB259" ca="1" si="185" xml:space="preserve"> (H59+G58+H57+I58-4*H58)/delta^2</f>
        <v>-2.5387059494585483E-5</v>
      </c>
      <c r="I259" s="7">
        <f t="shared" ca="1" si="185"/>
        <v>-2.3635924305128719E-5</v>
      </c>
      <c r="J259" s="7">
        <f t="shared" ca="1" si="185"/>
        <v>-2.1772625880031037E-5</v>
      </c>
      <c r="K259" s="7">
        <f t="shared" ca="1" si="185"/>
        <v>-1.9835366546164608E-5</v>
      </c>
      <c r="L259" s="7">
        <f t="shared" ca="1" si="185"/>
        <v>-1.78604185778406E-5</v>
      </c>
      <c r="M259" s="7">
        <f t="shared" ca="1" si="185"/>
        <v>-1.5881758248908834E-5</v>
      </c>
      <c r="N259" s="7">
        <f t="shared" ca="1" si="185"/>
        <v>-1.3930805552992388E-5</v>
      </c>
      <c r="O259" s="7">
        <f t="shared" ca="1" si="185"/>
        <v>-1.2036236238876459E-5</v>
      </c>
      <c r="P259" s="7">
        <f t="shared" ca="1" si="185"/>
        <v>-1.0223840123276243E-5</v>
      </c>
      <c r="Q259" s="7">
        <f t="shared" ca="1" si="185"/>
        <v>-8.5164095534730541E-6</v>
      </c>
      <c r="R259" s="7">
        <f t="shared" ca="1" si="185"/>
        <v>-6.9336523311281148E-6</v>
      </c>
      <c r="S259" s="7">
        <f t="shared" ca="1" si="185"/>
        <v>-5.492132381352225E-6</v>
      </c>
      <c r="T259" s="7">
        <f t="shared" ca="1" si="185"/>
        <v>-4.2052472599870793E-6</v>
      </c>
      <c r="U259" s="7">
        <f t="shared" ca="1" si="185"/>
        <v>-3.0832531245051857E-6</v>
      </c>
      <c r="V259" s="7">
        <f t="shared" ca="1" si="185"/>
        <v>-2.1333448056349187E-6</v>
      </c>
      <c r="W259" s="7">
        <f t="shared" ca="1" si="185"/>
        <v>-1.3597918800898059E-6</v>
      </c>
      <c r="X259" s="7">
        <f t="shared" ca="1" si="185"/>
        <v>-7.6412285754205972E-7</v>
      </c>
      <c r="Y259" s="7">
        <f t="shared" ca="1" si="185"/>
        <v>-3.4534102182179506E-7</v>
      </c>
      <c r="Z259" s="7">
        <f t="shared" ca="1" si="185"/>
        <v>-1.0014941836852244E-7</v>
      </c>
      <c r="AA259" s="7">
        <f t="shared" ca="1" si="185"/>
        <v>-2.3160835468732322E-8</v>
      </c>
      <c r="AB259" s="8">
        <f t="shared" ca="1" si="185"/>
        <v>-1.0707275301173556E-7</v>
      </c>
    </row>
    <row r="260" spans="5:28" x14ac:dyDescent="0.25">
      <c r="E260" s="2">
        <f t="shared" si="183"/>
        <v>3.800000000000002</v>
      </c>
      <c r="H260" s="8">
        <f t="shared" ref="H260:AB260" ca="1" si="186" xml:space="preserve"> (H60+G59+H58+I59-4*H59)/delta^2</f>
        <v>-5.0925903838135003E-5</v>
      </c>
      <c r="I260" s="7">
        <f t="shared" ca="1" si="186"/>
        <v>-4.7384028826673977E-5</v>
      </c>
      <c r="J260" s="7">
        <f t="shared" ca="1" si="186"/>
        <v>-4.3619266820432567E-5</v>
      </c>
      <c r="K260" s="7">
        <f t="shared" ca="1" si="186"/>
        <v>-3.9708527931502381E-5</v>
      </c>
      <c r="L260" s="7">
        <f t="shared" ca="1" si="186"/>
        <v>-3.5724720560578326E-5</v>
      </c>
      <c r="M260" s="7">
        <f t="shared" ca="1" si="186"/>
        <v>-3.1736055623469347E-5</v>
      </c>
      <c r="N260" s="7">
        <f t="shared" ca="1" si="186"/>
        <v>-2.7805559331380625E-5</v>
      </c>
      <c r="O260" s="7">
        <f t="shared" ca="1" si="186"/>
        <v>-2.3990723290046714E-5</v>
      </c>
      <c r="P260" s="7">
        <f t="shared" ca="1" si="186"/>
        <v>-2.0343237246836571E-5</v>
      </c>
      <c r="Q260" s="7">
        <f t="shared" ca="1" si="186"/>
        <v>-1.6908771701791219E-5</v>
      </c>
      <c r="R260" s="7">
        <f t="shared" ca="1" si="186"/>
        <v>-1.372680047102099E-5</v>
      </c>
      <c r="S260" s="7">
        <f t="shared" ca="1" si="186"/>
        <v>-1.0830472934373441E-5</v>
      </c>
      <c r="T260" s="7">
        <f t="shared" ca="1" si="186"/>
        <v>-8.2465584294537206E-6</v>
      </c>
      <c r="U260" s="7">
        <f t="shared" ca="1" si="186"/>
        <v>-5.9954885637202539E-6</v>
      </c>
      <c r="V260" s="7">
        <f t="shared" ca="1" si="186"/>
        <v>-4.0915164669529831E-6</v>
      </c>
      <c r="W260" s="7">
        <f t="shared" ca="1" si="186"/>
        <v>-2.5429968358674482E-6</v>
      </c>
      <c r="X260" s="7">
        <f t="shared" ca="1" si="186"/>
        <v>-1.3527707828025297E-6</v>
      </c>
      <c r="Y260" s="7">
        <f t="shared" ca="1" si="186"/>
        <v>-5.1862004375800668E-7</v>
      </c>
      <c r="Z260" s="7">
        <f t="shared" ca="1" si="186"/>
        <v>-3.3741126881955783E-8</v>
      </c>
      <c r="AA260" s="7">
        <f t="shared" ca="1" si="186"/>
        <v>1.1281467385162826E-7</v>
      </c>
      <c r="AB260" s="8">
        <f t="shared" ca="1" si="186"/>
        <v>-6.4216712855483583E-8</v>
      </c>
    </row>
    <row r="261" spans="5:28" x14ac:dyDescent="0.25">
      <c r="E261" s="2">
        <f t="shared" si="183"/>
        <v>3.700000000000002</v>
      </c>
      <c r="H261" s="8">
        <f t="shared" ref="H261:AB261" ca="1" si="187" xml:space="preserve"> (H61+G60+H59+I60-4*H60)/delta^2</f>
        <v>-7.6767561729305559E-5</v>
      </c>
      <c r="I261" s="7">
        <f t="shared" ca="1" si="187"/>
        <v>-7.135505378742388E-5</v>
      </c>
      <c r="J261" s="7">
        <f t="shared" ca="1" si="187"/>
        <v>-6.5611982930419667E-5</v>
      </c>
      <c r="K261" s="7">
        <f t="shared" ca="1" si="187"/>
        <v>-5.9654945715678595E-5</v>
      </c>
      <c r="L261" s="7">
        <f t="shared" ca="1" si="187"/>
        <v>-5.3594178937120115E-5</v>
      </c>
      <c r="M261" s="7">
        <f t="shared" ca="1" si="187"/>
        <v>-4.7532612174013872E-5</v>
      </c>
      <c r="N261" s="7">
        <f t="shared" ca="1" si="187"/>
        <v>-4.1565224844574646E-5</v>
      </c>
      <c r="O261" s="7">
        <f t="shared" ca="1" si="187"/>
        <v>-3.5778589024407295E-5</v>
      </c>
      <c r="P261" s="7">
        <f t="shared" ca="1" si="187"/>
        <v>-3.0250509402418031E-5</v>
      </c>
      <c r="Q261" s="7">
        <f t="shared" ca="1" si="187"/>
        <v>-2.5049709947295959E-5</v>
      </c>
      <c r="R261" s="7">
        <f t="shared" ca="1" si="187"/>
        <v>-2.0235556378675616E-5</v>
      </c>
      <c r="S261" s="7">
        <f t="shared" ca="1" si="187"/>
        <v>-1.5857837535899335E-5</v>
      </c>
      <c r="T261" s="7">
        <f t="shared" ca="1" si="187"/>
        <v>-1.1956650895633972E-5</v>
      </c>
      <c r="U261" s="7">
        <f t="shared" ca="1" si="187"/>
        <v>-8.5624432155678053E-6</v>
      </c>
      <c r="V261" s="7">
        <f t="shared" ca="1" si="187"/>
        <v>-5.6962451326603931E-6</v>
      </c>
      <c r="W261" s="7">
        <f t="shared" ca="1" si="187"/>
        <v>-3.3701111884943272E-6</v>
      </c>
      <c r="X261" s="7">
        <f t="shared" ca="1" si="187"/>
        <v>-1.5877408097991891E-6</v>
      </c>
      <c r="Y261" s="7">
        <f t="shared" ca="1" si="187"/>
        <v>-3.4522033249629111E-7</v>
      </c>
      <c r="Z261" s="7">
        <f t="shared" ca="1" si="187"/>
        <v>3.6819957807514287E-7</v>
      </c>
      <c r="AA261" s="7">
        <f t="shared" ca="1" si="187"/>
        <v>5.6938595092612631E-7</v>
      </c>
      <c r="AB261" s="8">
        <f t="shared" ca="1" si="187"/>
        <v>2.8074973771013799E-7</v>
      </c>
    </row>
    <row r="262" spans="5:28" x14ac:dyDescent="0.25">
      <c r="E262" s="2">
        <f t="shared" si="183"/>
        <v>3.6000000000000019</v>
      </c>
      <c r="H262" s="8">
        <f t="shared" ref="H262:AB262" ca="1" si="188" xml:space="preserve"> (H62+G61+H60+I61-4*H61)/delta^2</f>
        <v>-1.0306135028398232E-4</v>
      </c>
      <c r="I262" s="7">
        <f t="shared" ca="1" si="188"/>
        <v>-9.5656692164309016E-5</v>
      </c>
      <c r="J262" s="7">
        <f t="shared" ca="1" si="188"/>
        <v>-8.7818810220356618E-5</v>
      </c>
      <c r="K262" s="7">
        <f t="shared" ca="1" si="188"/>
        <v>-7.9705367971346817E-5</v>
      </c>
      <c r="L262" s="7">
        <f t="shared" ca="1" si="188"/>
        <v>-7.1464872992137854E-5</v>
      </c>
      <c r="M262" s="7">
        <f t="shared" ca="1" si="188"/>
        <v>-6.3235611853806349E-5</v>
      </c>
      <c r="N262" s="7">
        <f t="shared" ca="1" si="188"/>
        <v>-5.5144970159334825E-5</v>
      </c>
      <c r="O262" s="7">
        <f t="shared" ca="1" si="188"/>
        <v>-4.7308956686918726E-5</v>
      </c>
      <c r="P262" s="7">
        <f t="shared" ca="1" si="188"/>
        <v>-3.9831800967804437E-5</v>
      </c>
      <c r="Q262" s="7">
        <f t="shared" ca="1" si="188"/>
        <v>-3.2805554907598714E-5</v>
      </c>
      <c r="R262" s="7">
        <f t="shared" ca="1" si="188"/>
        <v>-2.6309692072789337E-5</v>
      </c>
      <c r="S262" s="7">
        <f t="shared" ca="1" si="188"/>
        <v>-2.0410752935807126E-5</v>
      </c>
      <c r="T262" s="7">
        <f t="shared" ca="1" si="188"/>
        <v>-1.5162120551629969E-5</v>
      </c>
      <c r="U262" s="7">
        <f t="shared" ca="1" si="188"/>
        <v>-1.0604020723049138E-5</v>
      </c>
      <c r="V262" s="7">
        <f t="shared" ca="1" si="188"/>
        <v>-6.7638204963077383E-6</v>
      </c>
      <c r="W262" s="7">
        <f t="shared" ca="1" si="188"/>
        <v>-3.6566526695589073E-6</v>
      </c>
      <c r="X262" s="7">
        <f t="shared" ca="1" si="188"/>
        <v>-1.2863328532821282E-6</v>
      </c>
      <c r="Y262" s="7">
        <f t="shared" ca="1" si="188"/>
        <v>3.5352499859822578E-7</v>
      </c>
      <c r="Z262" s="7">
        <f t="shared" ca="1" si="188"/>
        <v>1.2783330051837139E-6</v>
      </c>
      <c r="AA262" s="7">
        <f t="shared" ca="1" si="188"/>
        <v>1.5114485987116099E-6</v>
      </c>
      <c r="AB262" s="8">
        <f t="shared" ca="1" si="188"/>
        <v>1.0833275356154132E-6</v>
      </c>
    </row>
    <row r="263" spans="5:28" x14ac:dyDescent="0.25">
      <c r="E263" s="2">
        <f t="shared" si="183"/>
        <v>3.5000000000000018</v>
      </c>
      <c r="H263" s="8">
        <f t="shared" ref="H263:AB263" ca="1" si="189" xml:space="preserve"> (H63+G62+H61+I62-4*H62)/delta^2</f>
        <v>-1.2995351822855266E-4</v>
      </c>
      <c r="I263" s="7">
        <f t="shared" ca="1" si="189"/>
        <v>-1.2039162159905633E-4</v>
      </c>
      <c r="J263" s="7">
        <f t="shared" ca="1" si="189"/>
        <v>-1.1030138824689312E-4</v>
      </c>
      <c r="K263" s="7">
        <f t="shared" ca="1" si="189"/>
        <v>-9.9883203101449971E-5</v>
      </c>
      <c r="L263" s="7">
        <f t="shared" ca="1" si="189"/>
        <v>-8.9324902990278458E-5</v>
      </c>
      <c r="M263" s="7">
        <f t="shared" ca="1" si="189"/>
        <v>-7.8800805432164761E-5</v>
      </c>
      <c r="N263" s="7">
        <f t="shared" ca="1" si="189"/>
        <v>-6.8471172602232422E-5</v>
      </c>
      <c r="O263" s="7">
        <f t="shared" ca="1" si="189"/>
        <v>-5.848184744479996E-5</v>
      </c>
      <c r="P263" s="7">
        <f t="shared" ca="1" si="189"/>
        <v>-4.8963878246504877E-5</v>
      </c>
      <c r="Q263" s="7">
        <f t="shared" ca="1" si="189"/>
        <v>-4.0033041582424103E-5</v>
      </c>
      <c r="R263" s="7">
        <f t="shared" ca="1" si="189"/>
        <v>-3.1789270125108639E-5</v>
      </c>
      <c r="S263" s="7">
        <f t="shared" ca="1" si="189"/>
        <v>-2.4316077301800404E-5</v>
      </c>
      <c r="T263" s="7">
        <f t="shared" ca="1" si="189"/>
        <v>-1.7680129088982075E-5</v>
      </c>
      <c r="U263" s="7">
        <f t="shared" ca="1" si="189"/>
        <v>-1.193112988200854E-5</v>
      </c>
      <c r="V263" s="7">
        <f t="shared" ca="1" si="189"/>
        <v>-7.1021572367894921E-6</v>
      </c>
      <c r="W263" s="7">
        <f t="shared" ca="1" si="189"/>
        <v>-3.2105043619001356E-6</v>
      </c>
      <c r="X263" s="7">
        <f t="shared" ca="1" si="189"/>
        <v>-2.5898738802414967E-7</v>
      </c>
      <c r="Y263" s="7">
        <f t="shared" ca="1" si="189"/>
        <v>1.7624271198262566E-6</v>
      </c>
      <c r="Z263" s="7">
        <f t="shared" ca="1" si="189"/>
        <v>2.8748934718177302E-6</v>
      </c>
      <c r="AA263" s="7">
        <f t="shared" ca="1" si="189"/>
        <v>3.1091042855112701E-6</v>
      </c>
      <c r="AB263" s="8">
        <f t="shared" ca="1" si="189"/>
        <v>2.5040764795795745E-6</v>
      </c>
    </row>
    <row r="264" spans="5:28" x14ac:dyDescent="0.25">
      <c r="E264" s="2">
        <f t="shared" si="183"/>
        <v>3.4000000000000017</v>
      </c>
      <c r="H264" s="8">
        <f t="shared" ref="H264:AB264" ca="1" si="190" xml:space="preserve"> (H64+G63+H62+I63-4*H63)/delta^2</f>
        <v>-1.5758522960802703E-4</v>
      </c>
      <c r="I264" s="7">
        <f t="shared" ca="1" si="190"/>
        <v>-1.4565497129312657E-4</v>
      </c>
      <c r="J264" s="7">
        <f t="shared" ca="1" si="190"/>
        <v>-1.331121528944322E-4</v>
      </c>
      <c r="K264" s="7">
        <f t="shared" ca="1" si="190"/>
        <v>-1.2020159628754131E-4</v>
      </c>
      <c r="L264" s="7">
        <f t="shared" ca="1" si="190"/>
        <v>-1.0715143069006057E-4</v>
      </c>
      <c r="M264" s="7">
        <f t="shared" ca="1" si="190"/>
        <v>-9.4172533242974183E-5</v>
      </c>
      <c r="N264" s="7">
        <f t="shared" ca="1" si="190"/>
        <v>-8.1458399880567683E-5</v>
      </c>
      <c r="O264" s="7">
        <f t="shared" ca="1" si="190"/>
        <v>-6.9185077065727629E-5</v>
      </c>
      <c r="P264" s="7">
        <f t="shared" ca="1" si="190"/>
        <v>-5.7510903424013303E-5</v>
      </c>
      <c r="Q264" s="7">
        <f t="shared" ca="1" si="190"/>
        <v>-4.6575947514748818E-5</v>
      </c>
      <c r="R264" s="7">
        <f t="shared" ca="1" si="190"/>
        <v>-3.6501172178004142E-5</v>
      </c>
      <c r="S264" s="7">
        <f t="shared" ca="1" si="190"/>
        <v>-2.7387488325234003E-5</v>
      </c>
      <c r="T264" s="7">
        <f t="shared" ca="1" si="190"/>
        <v>-1.9314955934884942E-5</v>
      </c>
      <c r="U264" s="7">
        <f t="shared" ca="1" si="190"/>
        <v>-1.2342420858035741E-5</v>
      </c>
      <c r="V264" s="7">
        <f t="shared" ca="1" si="190"/>
        <v>-6.5078269673071289E-6</v>
      </c>
      <c r="W264" s="7">
        <f t="shared" ca="1" si="190"/>
        <v>-1.8293196532982547E-6</v>
      </c>
      <c r="X264" s="7">
        <f t="shared" ca="1" si="190"/>
        <v>1.692912103920139E-6</v>
      </c>
      <c r="Y264" s="7">
        <f t="shared" ca="1" si="190"/>
        <v>4.0742771075419513E-6</v>
      </c>
      <c r="Z264" s="7">
        <f t="shared" ca="1" si="190"/>
        <v>5.3432527652116395E-6</v>
      </c>
      <c r="AA264" s="7">
        <f t="shared" ca="1" si="190"/>
        <v>5.5390781797544876E-6</v>
      </c>
      <c r="AB264" s="8">
        <f t="shared" ca="1" si="190"/>
        <v>4.7100226625916382E-6</v>
      </c>
    </row>
    <row r="265" spans="5:28" x14ac:dyDescent="0.25">
      <c r="E265" s="2">
        <f t="shared" si="183"/>
        <v>3.3000000000000016</v>
      </c>
      <c r="H265" s="8">
        <f t="shared" ref="H265:AB265" ca="1" si="191" xml:space="preserve"> (H65+G64+H63+I64-4*H64)/delta^2</f>
        <v>-1.8608956400160878E-4</v>
      </c>
      <c r="I265" s="7">
        <f t="shared" ca="1" si="191"/>
        <v>-1.7153098037912668E-4</v>
      </c>
      <c r="J265" s="7">
        <f t="shared" ca="1" si="191"/>
        <v>-1.5629093348307256E-4</v>
      </c>
      <c r="K265" s="7">
        <f t="shared" ca="1" si="191"/>
        <v>-1.4066012169101319E-4</v>
      </c>
      <c r="L265" s="7">
        <f t="shared" ca="1" si="191"/>
        <v>-1.2490751652937762E-4</v>
      </c>
      <c r="M265" s="7">
        <f t="shared" ca="1" si="191"/>
        <v>-1.0928067522594475E-4</v>
      </c>
      <c r="N265" s="7">
        <f t="shared" ca="1" si="191"/>
        <v>-9.4006387850364327E-5</v>
      </c>
      <c r="O265" s="7">
        <f t="shared" ca="1" si="191"/>
        <v>-7.9291155598258111E-5</v>
      </c>
      <c r="P265" s="7">
        <f t="shared" ca="1" si="191"/>
        <v>-6.532116322250724E-5</v>
      </c>
      <c r="Q265" s="7">
        <f t="shared" ca="1" si="191"/>
        <v>-5.2261601178897516E-5</v>
      </c>
      <c r="R265" s="7">
        <f t="shared" ca="1" si="191"/>
        <v>-4.0255403644203667E-5</v>
      </c>
      <c r="S265" s="7">
        <f t="shared" ca="1" si="191"/>
        <v>-2.9421673691760535E-5</v>
      </c>
      <c r="T265" s="7">
        <f t="shared" ca="1" si="191"/>
        <v>-1.9854224906485064E-5</v>
      </c>
      <c r="U265" s="7">
        <f t="shared" ca="1" si="191"/>
        <v>-1.1620729628342064E-5</v>
      </c>
      <c r="V265" s="7">
        <f t="shared" ca="1" si="191"/>
        <v>-4.7628925496461224E-6</v>
      </c>
      <c r="W265" s="7">
        <f t="shared" ca="1" si="191"/>
        <v>7.0213195488841643E-7</v>
      </c>
      <c r="X265" s="7">
        <f t="shared" ca="1" si="191"/>
        <v>4.7791408669156819E-6</v>
      </c>
      <c r="Y265" s="7">
        <f t="shared" ca="1" si="191"/>
        <v>7.4914466968809667E-6</v>
      </c>
      <c r="Z265" s="7">
        <f t="shared" ca="1" si="191"/>
        <v>8.8771549012480935E-6</v>
      </c>
      <c r="AA265" s="7">
        <f t="shared" ca="1" si="191"/>
        <v>8.9857793675708949E-6</v>
      </c>
      <c r="AB265" s="8">
        <f t="shared" ca="1" si="191"/>
        <v>7.8757541647177226E-6</v>
      </c>
    </row>
    <row r="266" spans="5:28" x14ac:dyDescent="0.25">
      <c r="E266" s="2">
        <f t="shared" si="183"/>
        <v>3.2000000000000015</v>
      </c>
      <c r="H266" s="8">
        <f t="shared" ref="H266:AB266" ca="1" si="192" xml:space="preserve"> (H66+G65+H64+I65-4*H65)/delta^2</f>
        <v>-2.1558712184202358E-4</v>
      </c>
      <c r="I266" s="7">
        <f t="shared" ca="1" si="192"/>
        <v>-1.9808856718853211E-4</v>
      </c>
      <c r="J266" s="7">
        <f t="shared" ca="1" si="192"/>
        <v>-1.7986079784774637E-4</v>
      </c>
      <c r="K266" s="7">
        <f t="shared" ca="1" si="192"/>
        <v>-1.6124104051906977E-4</v>
      </c>
      <c r="L266" s="7">
        <f t="shared" ca="1" si="192"/>
        <v>-1.4253878561573547E-4</v>
      </c>
      <c r="M266" s="7">
        <f t="shared" ca="1" si="192"/>
        <v>-1.2403761339619028E-4</v>
      </c>
      <c r="N266" s="7">
        <f t="shared" ca="1" si="192"/>
        <v>-1.0599712075456239E-4</v>
      </c>
      <c r="O266" s="7">
        <f t="shared" ca="1" si="192"/>
        <v>-8.8654283003809903E-5</v>
      </c>
      <c r="P266" s="7">
        <f t="shared" ca="1" si="192"/>
        <v>-7.2223801508416104E-5</v>
      </c>
      <c r="Q266" s="7">
        <f t="shared" ca="1" si="192"/>
        <v>-5.6897244033420175E-5</v>
      </c>
      <c r="R266" s="7">
        <f t="shared" ca="1" si="192"/>
        <v>-4.2841085149368512E-5</v>
      </c>
      <c r="S266" s="7">
        <f t="shared" ca="1" si="192"/>
        <v>-3.0194073525794485E-5</v>
      </c>
      <c r="T266" s="7">
        <f t="shared" ca="1" si="192"/>
        <v>-1.9064624003539869E-5</v>
      </c>
      <c r="U266" s="7">
        <f t="shared" ca="1" si="192"/>
        <v>-9.5290585909262541E-6</v>
      </c>
      <c r="V266" s="7">
        <f t="shared" ca="1" si="192"/>
        <v>-1.6314231820395255E-6</v>
      </c>
      <c r="W266" s="7">
        <f t="shared" ca="1" si="192"/>
        <v>4.6147191128391605E-6</v>
      </c>
      <c r="X266" s="7">
        <f t="shared" ca="1" si="192"/>
        <v>9.2225872734292402E-6</v>
      </c>
      <c r="Y266" s="7">
        <f t="shared" ca="1" si="192"/>
        <v>1.2227119137856768E-5</v>
      </c>
      <c r="Z266" s="7">
        <f t="shared" ca="1" si="192"/>
        <v>1.3679430485146606E-5</v>
      </c>
      <c r="AA266" s="7">
        <f t="shared" ca="1" si="192"/>
        <v>1.3641794591623832E-5</v>
      </c>
      <c r="AB266" s="8">
        <f t="shared" ca="1" si="192"/>
        <v>1.2184020027410871E-5</v>
      </c>
    </row>
    <row r="267" spans="5:28" x14ac:dyDescent="0.25">
      <c r="E267" s="2">
        <f t="shared" si="183"/>
        <v>3.1000000000000014</v>
      </c>
      <c r="H267" s="8">
        <f t="shared" ref="H267:AB267" ca="1" si="193" xml:space="preserve"> (H67+G66+H65+I66-4*H66)/delta^2</f>
        <v>-2.4617972363192138E-4</v>
      </c>
      <c r="I267" s="7">
        <f t="shared" ca="1" si="193"/>
        <v>-2.2537549755320406E-4</v>
      </c>
      <c r="J267" s="7">
        <f t="shared" ca="1" si="193"/>
        <v>-2.0382300821455656E-4</v>
      </c>
      <c r="K267" s="7">
        <f t="shared" ca="1" si="193"/>
        <v>-1.8190513002077176E-4</v>
      </c>
      <c r="L267" s="7">
        <f t="shared" ca="1" si="193"/>
        <v>-1.5997003397038144E-4</v>
      </c>
      <c r="M267" s="7">
        <f t="shared" ca="1" si="193"/>
        <v>-1.3833538545919731E-4</v>
      </c>
      <c r="N267" s="7">
        <f t="shared" ca="1" si="193"/>
        <v>-1.1729221631445055E-4</v>
      </c>
      <c r="O267" s="7">
        <f t="shared" ca="1" si="193"/>
        <v>-9.7107619169032794E-5</v>
      </c>
      <c r="P267" s="7">
        <f t="shared" ca="1" si="193"/>
        <v>-7.8025663396779566E-5</v>
      </c>
      <c r="Q267" s="7">
        <f t="shared" ca="1" si="193"/>
        <v>-6.026624631047093E-5</v>
      </c>
      <c r="R267" s="7">
        <f t="shared" ca="1" si="193"/>
        <v>-4.4022009122903062E-5</v>
      </c>
      <c r="S267" s="7">
        <f t="shared" ca="1" si="193"/>
        <v>-2.9453948483708699E-5</v>
      </c>
      <c r="T267" s="7">
        <f t="shared" ca="1" si="193"/>
        <v>-1.6686834895042768E-5</v>
      </c>
      <c r="U267" s="7">
        <f t="shared" ca="1" si="193"/>
        <v>-5.8058197064834649E-6</v>
      </c>
      <c r="V267" s="7">
        <f t="shared" ca="1" si="193"/>
        <v>3.1445058776128662E-6</v>
      </c>
      <c r="W267" s="7">
        <f t="shared" ca="1" si="193"/>
        <v>1.0157872145667971E-5</v>
      </c>
      <c r="X267" s="7">
        <f t="shared" ca="1" si="193"/>
        <v>1.5260983540006826E-5</v>
      </c>
      <c r="Y267" s="7">
        <f t="shared" ca="1" si="193"/>
        <v>1.8505943066133252E-5</v>
      </c>
      <c r="Z267" s="7">
        <f t="shared" ca="1" si="193"/>
        <v>1.9961894759574786E-5</v>
      </c>
      <c r="AA267" s="7">
        <f t="shared" ca="1" si="193"/>
        <v>1.9707489409023605E-5</v>
      </c>
      <c r="AB267" s="8">
        <f t="shared" ca="1" si="193"/>
        <v>1.7825542312414983E-5</v>
      </c>
    </row>
    <row r="268" spans="5:28" x14ac:dyDescent="0.25">
      <c r="E268" s="2">
        <f t="shared" si="183"/>
        <v>3.0000000000000013</v>
      </c>
      <c r="H268" s="8">
        <f t="shared" ref="H268:AB268" ca="1" si="194" xml:space="preserve"> (H68+G67+H66+I67-4*H67)/delta^2</f>
        <v>-2.7794159799435941E-4</v>
      </c>
      <c r="I268" s="7">
        <f t="shared" ca="1" si="194"/>
        <v>-2.534108336515004E-4</v>
      </c>
      <c r="J268" s="7">
        <f t="shared" ca="1" si="194"/>
        <v>-2.2815100233081567E-4</v>
      </c>
      <c r="K268" s="7">
        <f t="shared" ca="1" si="194"/>
        <v>-2.0258717928734615E-4</v>
      </c>
      <c r="L268" s="7">
        <f t="shared" ca="1" si="194"/>
        <v>-1.7710200490782764E-4</v>
      </c>
      <c r="M268" s="7">
        <f t="shared" ca="1" si="194"/>
        <v>-1.5204334547130121E-4</v>
      </c>
      <c r="N268" s="7">
        <f t="shared" ca="1" si="194"/>
        <v>-1.2773096223802735E-4</v>
      </c>
      <c r="O268" s="7">
        <f t="shared" ca="1" si="194"/>
        <v>-1.0446113913784276E-4</v>
      </c>
      <c r="P268" s="7">
        <f t="shared" ca="1" si="194"/>
        <v>-8.2508453271289429E-5</v>
      </c>
      <c r="Q268" s="7">
        <f t="shared" ca="1" si="194"/>
        <v>-6.212420744022101E-5</v>
      </c>
      <c r="R268" s="7">
        <f t="shared" ca="1" si="194"/>
        <v>-4.3531590854169486E-5</v>
      </c>
      <c r="S268" s="7">
        <f t="shared" ca="1" si="194"/>
        <v>-2.6918423625424353E-5</v>
      </c>
      <c r="T268" s="7">
        <f t="shared" ca="1" si="194"/>
        <v>-1.2429219860797534E-5</v>
      </c>
      <c r="U268" s="7">
        <f t="shared" ca="1" si="194"/>
        <v>-1.5889727216292224E-7</v>
      </c>
      <c r="V268" s="7">
        <f t="shared" ca="1" si="194"/>
        <v>9.8496490968805525E-6</v>
      </c>
      <c r="W268" s="7">
        <f t="shared" ca="1" si="194"/>
        <v>1.760279185743056E-5</v>
      </c>
      <c r="X268" s="7">
        <f t="shared" ca="1" si="194"/>
        <v>2.3148296761539563E-5</v>
      </c>
      <c r="Y268" s="7">
        <f t="shared" ca="1" si="194"/>
        <v>2.6563788328899395E-5</v>
      </c>
      <c r="Z268" s="7">
        <f t="shared" ca="1" si="194"/>
        <v>2.7943970367923052E-5</v>
      </c>
      <c r="AA268" s="7">
        <f t="shared" ca="1" si="194"/>
        <v>2.7389208935254567E-5</v>
      </c>
      <c r="AB268" s="8">
        <f t="shared" ca="1" si="194"/>
        <v>2.4997582439775786E-5</v>
      </c>
    </row>
    <row r="269" spans="5:28" x14ac:dyDescent="0.25">
      <c r="E269" s="2">
        <f t="shared" si="183"/>
        <v>2.9000000000000012</v>
      </c>
      <c r="H269" s="8">
        <f t="shared" ref="H269:AB269" ca="1" si="195" xml:space="preserve"> (H69+G68+H67+I68-4*H68)/delta^2</f>
        <v>-3.1090740231328243E-4</v>
      </c>
      <c r="I269" s="7">
        <f t="shared" ca="1" si="195"/>
        <v>-2.8217539191114765E-4</v>
      </c>
      <c r="J269" s="7">
        <f t="shared" ca="1" si="195"/>
        <v>-2.5278341746374675E-4</v>
      </c>
      <c r="K269" s="7">
        <f t="shared" ca="1" si="195"/>
        <v>-2.2319138595036742E-4</v>
      </c>
      <c r="L269" s="7">
        <f t="shared" ca="1" si="195"/>
        <v>-1.9380873185289609E-4</v>
      </c>
      <c r="M269" s="7">
        <f t="shared" ca="1" si="195"/>
        <v>-1.6500683998464549E-4</v>
      </c>
      <c r="N269" s="7">
        <f t="shared" ca="1" si="195"/>
        <v>-1.3712956127702488E-4</v>
      </c>
      <c r="O269" s="7">
        <f t="shared" ca="1" si="195"/>
        <v>-1.105005895083382E-4</v>
      </c>
      <c r="P269" s="7">
        <f t="shared" ca="1" si="195"/>
        <v>-8.5426567116090828E-5</v>
      </c>
      <c r="Q269" s="7">
        <f t="shared" ca="1" si="195"/>
        <v>-6.2195032896983433E-5</v>
      </c>
      <c r="R269" s="7">
        <f t="shared" ca="1" si="195"/>
        <v>-4.106697184729575E-5</v>
      </c>
      <c r="S269" s="7">
        <f t="shared" ca="1" si="195"/>
        <v>-2.2264957828127277E-5</v>
      </c>
      <c r="T269" s="7">
        <f t="shared" ca="1" si="195"/>
        <v>-5.9595334477632175E-6</v>
      </c>
      <c r="U269" s="7">
        <f t="shared" ca="1" si="195"/>
        <v>7.7421952569584219E-6</v>
      </c>
      <c r="V269" s="7">
        <f t="shared" ca="1" si="195"/>
        <v>1.8801787475216689E-5</v>
      </c>
      <c r="W269" s="7">
        <f t="shared" ca="1" si="195"/>
        <v>2.7246134374971514E-5</v>
      </c>
      <c r="X269" s="7">
        <f t="shared" ca="1" si="195"/>
        <v>3.3155597669654636E-5</v>
      </c>
      <c r="Y269" s="7">
        <f t="shared" ca="1" si="195"/>
        <v>3.6646101585820899E-5</v>
      </c>
      <c r="Z269" s="7">
        <f t="shared" ca="1" si="195"/>
        <v>3.7849323751581482E-5</v>
      </c>
      <c r="AA269" s="7">
        <f t="shared" ca="1" si="195"/>
        <v>3.6895290520151662E-5</v>
      </c>
      <c r="AB269" s="8">
        <f t="shared" ca="1" si="195"/>
        <v>3.3900536575539105E-5</v>
      </c>
    </row>
    <row r="270" spans="5:28" x14ac:dyDescent="0.25">
      <c r="E270" s="2">
        <f t="shared" si="183"/>
        <v>2.8000000000000012</v>
      </c>
      <c r="H270" s="8">
        <f t="shared" ref="H270:AB270" ca="1" si="196" xml:space="preserve"> (H70+G69+H68+I69-4*H69)/delta^2</f>
        <v>-3.4505647577092211E-4</v>
      </c>
      <c r="I270" s="7">
        <f t="shared" ca="1" si="196"/>
        <v>-3.1160008113590099E-4</v>
      </c>
      <c r="J270" s="7">
        <f t="shared" ca="1" si="196"/>
        <v>-2.7761635066546721E-4</v>
      </c>
      <c r="K270" s="7">
        <f t="shared" ca="1" si="196"/>
        <v>-2.4358708036068273E-4</v>
      </c>
      <c r="L270" s="7">
        <f t="shared" ca="1" si="196"/>
        <v>-2.0993606039001144E-4</v>
      </c>
      <c r="M270" s="7">
        <f t="shared" ca="1" si="196"/>
        <v>-1.7704766409755811E-4</v>
      </c>
      <c r="N270" s="7">
        <f t="shared" ca="1" si="196"/>
        <v>-1.4528244241182053E-4</v>
      </c>
      <c r="O270" s="7">
        <f t="shared" ca="1" si="196"/>
        <v>-1.1498838140870592E-4</v>
      </c>
      <c r="P270" s="7">
        <f t="shared" ca="1" si="196"/>
        <v>-8.6506230590898008E-5</v>
      </c>
      <c r="Q270" s="7">
        <f t="shared" ca="1" si="196"/>
        <v>-6.0167205486247438E-5</v>
      </c>
      <c r="R270" s="7">
        <f t="shared" ca="1" si="196"/>
        <v>-3.6281935939669063E-5</v>
      </c>
      <c r="S270" s="7">
        <f t="shared" ca="1" si="196"/>
        <v>-1.5121362577775844E-5</v>
      </c>
      <c r="T270" s="7">
        <f t="shared" ca="1" si="196"/>
        <v>3.1065440613160795E-6</v>
      </c>
      <c r="U270" s="7">
        <f t="shared" ca="1" si="196"/>
        <v>1.8277265583161499E-5</v>
      </c>
      <c r="V270" s="7">
        <f t="shared" ca="1" si="196"/>
        <v>3.0360151937120539E-5</v>
      </c>
      <c r="W270" s="7">
        <f t="shared" ca="1" si="196"/>
        <v>3.9414476126376368E-5</v>
      </c>
      <c r="X270" s="7">
        <f t="shared" ca="1" si="196"/>
        <v>4.557110415737185E-5</v>
      </c>
      <c r="Y270" s="7">
        <f t="shared" ca="1" si="196"/>
        <v>4.9004067697883812E-5</v>
      </c>
      <c r="Z270" s="7">
        <f t="shared" ca="1" si="196"/>
        <v>4.989941966388952E-5</v>
      </c>
      <c r="AA270" s="7">
        <f t="shared" ca="1" si="196"/>
        <v>4.842868188534212E-5</v>
      </c>
      <c r="AB270" s="8">
        <f t="shared" ca="1" si="196"/>
        <v>4.4731422920514685E-5</v>
      </c>
    </row>
    <row r="271" spans="5:28" x14ac:dyDescent="0.25">
      <c r="E271" s="2">
        <f t="shared" si="183"/>
        <v>2.7000000000000011</v>
      </c>
      <c r="H271" s="8">
        <f t="shared" ref="H271:AB271" ca="1" si="197" xml:space="preserve"> (H71+G70+H69+I70-4*H70)/delta^2</f>
        <v>-3.8029298867302118E-4</v>
      </c>
      <c r="I271" s="7">
        <f t="shared" ca="1" si="197"/>
        <v>-3.4155228380736608E-4</v>
      </c>
      <c r="J271" s="7">
        <f t="shared" ca="1" si="197"/>
        <v>-3.0249531352975821E-4</v>
      </c>
      <c r="K271" s="7">
        <f t="shared" ca="1" si="197"/>
        <v>-2.6360544329392276E-4</v>
      </c>
      <c r="L271" s="7">
        <f t="shared" ca="1" si="197"/>
        <v>-2.2530221341742878E-4</v>
      </c>
      <c r="M271" s="7">
        <f t="shared" ca="1" si="197"/>
        <v>-1.8796737628210748E-4</v>
      </c>
      <c r="N271" s="7">
        <f t="shared" ca="1" si="197"/>
        <v>-1.5196691151444865E-4</v>
      </c>
      <c r="O271" s="7">
        <f t="shared" ca="1" si="197"/>
        <v>-1.1766775675240909E-4</v>
      </c>
      <c r="P271" s="7">
        <f t="shared" ca="1" si="197"/>
        <v>-8.544705474715948E-5</v>
      </c>
      <c r="Q271" s="7">
        <f t="shared" ca="1" si="197"/>
        <v>-5.569073946552087E-5</v>
      </c>
      <c r="R271" s="7">
        <f t="shared" ca="1" si="197"/>
        <v>-2.8778180357496863E-5</v>
      </c>
      <c r="S271" s="7">
        <f t="shared" ca="1" si="197"/>
        <v>-5.0519581494610872E-6</v>
      </c>
      <c r="T271" s="7">
        <f t="shared" ca="1" si="197"/>
        <v>1.5222052886123928E-5</v>
      </c>
      <c r="U271" s="7">
        <f t="shared" ca="1" si="197"/>
        <v>3.1891510702554929E-5</v>
      </c>
      <c r="V271" s="7">
        <f t="shared" ca="1" si="197"/>
        <v>4.4937504780414178E-5</v>
      </c>
      <c r="W271" s="7">
        <f t="shared" ca="1" si="197"/>
        <v>5.4470021967510302E-5</v>
      </c>
      <c r="X271" s="7">
        <f t="shared" ca="1" si="197"/>
        <v>6.0698860224292915E-5</v>
      </c>
      <c r="Y271" s="7">
        <f t="shared" ca="1" si="197"/>
        <v>6.3887301612690857E-5</v>
      </c>
      <c r="Z271" s="7">
        <f t="shared" ca="1" si="197"/>
        <v>6.4302323270009295E-5</v>
      </c>
      <c r="AA271" s="7">
        <f t="shared" ca="1" si="197"/>
        <v>6.2174359159229163E-5</v>
      </c>
      <c r="AB271" s="8">
        <f t="shared" ca="1" si="197"/>
        <v>5.7672510539018965E-5</v>
      </c>
    </row>
    <row r="272" spans="5:28" x14ac:dyDescent="0.25">
      <c r="E272" s="2">
        <f t="shared" si="183"/>
        <v>2.600000000000001</v>
      </c>
      <c r="H272" s="8">
        <f t="shared" ref="H272:AB272" ca="1" si="198" xml:space="preserve"> (H72+G71+H70+I71-4*H71)/delta^2</f>
        <v>-4.1642226067941822E-4</v>
      </c>
      <c r="I272" s="7">
        <f t="shared" ca="1" si="198"/>
        <v>-3.7182093908399722E-4</v>
      </c>
      <c r="J272" s="7">
        <f t="shared" ca="1" si="198"/>
        <v>-3.2720769194797286E-4</v>
      </c>
      <c r="K272" s="7">
        <f t="shared" ca="1" si="198"/>
        <v>-2.8303813268459112E-4</v>
      </c>
      <c r="L272" s="7">
        <f t="shared" ca="1" si="198"/>
        <v>-2.3970149718498338E-4</v>
      </c>
      <c r="M272" s="7">
        <f t="shared" ca="1" si="198"/>
        <v>-1.9755488583093946E-4</v>
      </c>
      <c r="N272" s="7">
        <f t="shared" ca="1" si="198"/>
        <v>-1.5695296173899129E-4</v>
      </c>
      <c r="O272" s="7">
        <f t="shared" ca="1" si="198"/>
        <v>-1.1827235391156278E-4</v>
      </c>
      <c r="P272" s="7">
        <f t="shared" ca="1" si="198"/>
        <v>-8.1928000450704123E-5</v>
      </c>
      <c r="Q272" s="7">
        <f t="shared" ca="1" si="198"/>
        <v>-4.8375898980309699E-5</v>
      </c>
      <c r="R272" s="7">
        <f t="shared" ca="1" si="198"/>
        <v>-1.8094373531376148E-5</v>
      </c>
      <c r="S272" s="7">
        <f t="shared" ca="1" si="198"/>
        <v>8.4624452633937416E-6</v>
      </c>
      <c r="T272" s="7">
        <f t="shared" ca="1" si="198"/>
        <v>3.0933960197890291E-5</v>
      </c>
      <c r="U272" s="7">
        <f t="shared" ca="1" si="198"/>
        <v>4.9120111430070179E-5</v>
      </c>
      <c r="V272" s="7">
        <f t="shared" ca="1" si="198"/>
        <v>6.3018265792367023E-5</v>
      </c>
      <c r="W272" s="7">
        <f t="shared" ca="1" si="198"/>
        <v>7.2818212292868702E-5</v>
      </c>
      <c r="X272" s="7">
        <f t="shared" ca="1" si="198"/>
        <v>7.8855008193577818E-5</v>
      </c>
      <c r="Y272" s="7">
        <f t="shared" ca="1" si="198"/>
        <v>8.1530973444483658E-5</v>
      </c>
      <c r="Z272" s="7">
        <f t="shared" ca="1" si="198"/>
        <v>8.1234244081289362E-5</v>
      </c>
      <c r="AA272" s="7">
        <f t="shared" ca="1" si="198"/>
        <v>7.8278949921270304E-5</v>
      </c>
      <c r="AB272" s="8">
        <f t="shared" ca="1" si="198"/>
        <v>7.2872488215600613E-5</v>
      </c>
    </row>
    <row r="273" spans="5:28" x14ac:dyDescent="0.25">
      <c r="E273" s="2">
        <f t="shared" si="183"/>
        <v>2.5000000000000009</v>
      </c>
      <c r="H273" s="8">
        <f t="shared" ref="H273:AB273" ca="1" si="199" xml:space="preserve"> (H73+G72+H71+I72-4*H72)/delta^2</f>
        <v>-4.5312462139534345E-4</v>
      </c>
      <c r="I273" s="7">
        <f t="shared" ca="1" si="199"/>
        <v>-4.021017155091802E-4</v>
      </c>
      <c r="J273" s="7">
        <f t="shared" ca="1" si="199"/>
        <v>-3.5147692064370508E-4</v>
      </c>
      <c r="K273" s="7">
        <f t="shared" ca="1" si="199"/>
        <v>-3.0163890706509536E-4</v>
      </c>
      <c r="L273" s="7">
        <f t="shared" ca="1" si="199"/>
        <v>-2.5291234611288818E-4</v>
      </c>
      <c r="M273" s="7">
        <f t="shared" ca="1" si="199"/>
        <v>-2.0559997139313679E-4</v>
      </c>
      <c r="N273" s="7">
        <f t="shared" ca="1" si="199"/>
        <v>-1.6002071130553146E-4</v>
      </c>
      <c r="O273" s="7">
        <f t="shared" ca="1" si="199"/>
        <v>-1.1654452934903604E-4</v>
      </c>
      <c r="P273" s="7">
        <f t="shared" ca="1" si="199"/>
        <v>-7.5621396256183776E-5</v>
      </c>
      <c r="Q273" s="7">
        <f t="shared" ca="1" si="199"/>
        <v>-3.7796095459093845E-5</v>
      </c>
      <c r="R273" s="7">
        <f t="shared" ca="1" si="199"/>
        <v>-3.6924157502502162E-6</v>
      </c>
      <c r="S273" s="7">
        <f t="shared" ca="1" si="199"/>
        <v>2.6054630565747798E-5</v>
      </c>
      <c r="T273" s="7">
        <f t="shared" ca="1" si="199"/>
        <v>5.0922726265334877E-5</v>
      </c>
      <c r="U273" s="7">
        <f t="shared" ca="1" si="199"/>
        <v>7.0627209779790937E-5</v>
      </c>
      <c r="V273" s="7">
        <f t="shared" ca="1" si="199"/>
        <v>8.5186733610491034E-5</v>
      </c>
      <c r="W273" s="7">
        <f t="shared" ca="1" si="199"/>
        <v>9.4918044997276116E-5</v>
      </c>
      <c r="X273" s="7">
        <f t="shared" ca="1" si="199"/>
        <v>1.0035946642287379E-4</v>
      </c>
      <c r="Y273" s="7">
        <f t="shared" ca="1" si="199"/>
        <v>1.0213380073208384E-4</v>
      </c>
      <c r="Z273" s="7">
        <f t="shared" ca="1" si="199"/>
        <v>1.0081016144178766E-4</v>
      </c>
      <c r="AA273" s="7">
        <f t="shared" ca="1" si="199"/>
        <v>9.6819094520133618E-5</v>
      </c>
      <c r="AB273" s="8">
        <f t="shared" ca="1" si="199"/>
        <v>9.0416552122468672E-5</v>
      </c>
    </row>
    <row r="274" spans="5:28" x14ac:dyDescent="0.25">
      <c r="E274" s="2">
        <f t="shared" si="183"/>
        <v>2.4000000000000008</v>
      </c>
      <c r="H274" s="8">
        <f t="shared" ref="H274:AB274" ca="1" si="200" xml:space="preserve"> (H74+G73+H72+I73-4*H73)/delta^2</f>
        <v>-4.8992986432094387E-4</v>
      </c>
      <c r="I274" s="7">
        <f t="shared" ca="1" si="200"/>
        <v>-4.3198458371888448E-4</v>
      </c>
      <c r="J274" s="7">
        <f t="shared" ca="1" si="200"/>
        <v>-3.7495992540938639E-4</v>
      </c>
      <c r="K274" s="7">
        <f t="shared" ca="1" si="200"/>
        <v>-3.1912927323592843E-4</v>
      </c>
      <c r="L274" s="7">
        <f t="shared" ca="1" si="200"/>
        <v>-2.6471065405660725E-4</v>
      </c>
      <c r="M274" s="7">
        <f t="shared" ca="1" si="200"/>
        <v>-2.1191428507190711E-4</v>
      </c>
      <c r="N274" s="7">
        <f t="shared" ca="1" si="200"/>
        <v>-1.6098850408227647E-4</v>
      </c>
      <c r="O274" s="7">
        <f t="shared" ca="1" si="200"/>
        <v>-1.1226762282159406E-4</v>
      </c>
      <c r="P274" s="7">
        <f t="shared" ca="1" si="200"/>
        <v>-6.6221826461662753E-5</v>
      </c>
      <c r="Q274" s="7">
        <f t="shared" ca="1" si="200"/>
        <v>-2.3500480238192175E-5</v>
      </c>
      <c r="R274" s="7">
        <f t="shared" ca="1" si="200"/>
        <v>1.5059390406815372E-5</v>
      </c>
      <c r="S274" s="7">
        <f t="shared" ca="1" si="200"/>
        <v>4.8517981453017466E-5</v>
      </c>
      <c r="T274" s="7">
        <f t="shared" ca="1" si="200"/>
        <v>7.6066302178649344E-5</v>
      </c>
      <c r="U274" s="7">
        <f t="shared" ca="1" si="200"/>
        <v>9.7269436439477515E-5</v>
      </c>
      <c r="V274" s="7">
        <f t="shared" ca="1" si="200"/>
        <v>1.1217254568965729E-4</v>
      </c>
      <c r="W274" s="7">
        <f t="shared" ca="1" si="200"/>
        <v>1.2129585712206643E-4</v>
      </c>
      <c r="X274" s="7">
        <f t="shared" ca="1" si="200"/>
        <v>1.2551805368876589E-4</v>
      </c>
      <c r="Y274" s="7">
        <f t="shared" ca="1" si="200"/>
        <v>1.2582058917093555E-4</v>
      </c>
      <c r="Z274" s="7">
        <f t="shared" ca="1" si="200"/>
        <v>1.230384289411558E-4</v>
      </c>
      <c r="AA274" s="7">
        <f t="shared" ca="1" si="200"/>
        <v>1.1775455512610594E-4</v>
      </c>
      <c r="AB274" s="8">
        <f t="shared" ca="1" si="200"/>
        <v>1.1028100570745905E-4</v>
      </c>
    </row>
    <row r="275" spans="5:28" x14ac:dyDescent="0.25">
      <c r="E275" s="2">
        <f t="shared" si="183"/>
        <v>2.3000000000000007</v>
      </c>
      <c r="H275" s="8">
        <f t="shared" ref="H275:AB275" ca="1" si="201" xml:space="preserve"> (H75+G74+H73+I74-4*H74)/delta^2</f>
        <v>-5.2619747476765168E-4</v>
      </c>
      <c r="I275" s="7">
        <f t="shared" ca="1" si="201"/>
        <v>-4.6094703837838447E-4</v>
      </c>
      <c r="J275" s="7">
        <f t="shared" ca="1" si="201"/>
        <v>-3.9724949714086284E-4</v>
      </c>
      <c r="K275" s="7">
        <f t="shared" ca="1" si="201"/>
        <v>-3.3520868000729655E-4</v>
      </c>
      <c r="L275" s="7">
        <f t="shared" ca="1" si="201"/>
        <v>-2.7488840278208708E-4</v>
      </c>
      <c r="M275" s="7">
        <f t="shared" ca="1" si="201"/>
        <v>-2.1636041843528427E-4</v>
      </c>
      <c r="N275" s="7">
        <f t="shared" ca="1" si="201"/>
        <v>-1.5975460483351204E-4</v>
      </c>
      <c r="O275" s="7">
        <f t="shared" ca="1" si="201"/>
        <v>-1.0531970792836021E-4</v>
      </c>
      <c r="P275" s="7">
        <f t="shared" ca="1" si="201"/>
        <v>-5.350280763215079E-5</v>
      </c>
      <c r="Q275" s="7">
        <f t="shared" ca="1" si="201"/>
        <v>-5.0493591871288496E-6</v>
      </c>
      <c r="R275" s="7">
        <f t="shared" ca="1" si="201"/>
        <v>3.8905503919536837E-5</v>
      </c>
      <c r="S275" s="7">
        <f t="shared" ca="1" si="201"/>
        <v>7.688360285953683E-5</v>
      </c>
      <c r="T275" s="7">
        <f t="shared" ca="1" si="201"/>
        <v>1.0754601942118515E-4</v>
      </c>
      <c r="U275" s="7">
        <f t="shared" ca="1" si="201"/>
        <v>1.3020158558390028E-4</v>
      </c>
      <c r="V275" s="7">
        <f t="shared" ca="1" si="201"/>
        <v>1.4492698767560802E-4</v>
      </c>
      <c r="W275" s="7">
        <f t="shared" ca="1" si="201"/>
        <v>1.5256254511026351E-4</v>
      </c>
      <c r="X275" s="7">
        <f t="shared" ca="1" si="201"/>
        <v>1.5458298661928397E-4</v>
      </c>
      <c r="Y275" s="7">
        <f t="shared" ca="1" si="201"/>
        <v>1.5257767446729718E-4</v>
      </c>
      <c r="Z275" s="7">
        <f t="shared" ca="1" si="201"/>
        <v>1.4775291677275937E-4</v>
      </c>
      <c r="AA275" s="7">
        <f t="shared" ca="1" si="201"/>
        <v>1.4086308629730236E-4</v>
      </c>
      <c r="AB275" s="8">
        <f t="shared" ca="1" si="201"/>
        <v>1.3226865980917477E-4</v>
      </c>
    </row>
    <row r="276" spans="5:28" x14ac:dyDescent="0.25">
      <c r="E276" s="2">
        <f t="shared" si="183"/>
        <v>2.2000000000000006</v>
      </c>
      <c r="H276" s="8">
        <f t="shared" ref="H276:AB276" ca="1" si="202" xml:space="preserve"> (H76+G75+H74+I75-4*H75)/delta^2</f>
        <v>-5.6110985035983795E-4</v>
      </c>
      <c r="I276" s="7">
        <f t="shared" ca="1" si="202"/>
        <v>-4.8835681127074742E-4</v>
      </c>
      <c r="J276" s="7">
        <f t="shared" ca="1" si="202"/>
        <v>-4.1788293006142632E-4</v>
      </c>
      <c r="K276" s="7">
        <f t="shared" ca="1" si="202"/>
        <v>-3.4956864298677051E-4</v>
      </c>
      <c r="L276" s="7">
        <f t="shared" ca="1" si="202"/>
        <v>-2.8327558485135819E-4</v>
      </c>
      <c r="M276" s="7">
        <f t="shared" ca="1" si="202"/>
        <v>-2.1888683874083135E-4</v>
      </c>
      <c r="N276" s="7">
        <f t="shared" ca="1" si="202"/>
        <v>-1.5635306307369394E-4</v>
      </c>
      <c r="O276" s="7">
        <f t="shared" ca="1" si="202"/>
        <v>-9.5757957335301214E-5</v>
      </c>
      <c r="P276" s="7">
        <f t="shared" ca="1" si="202"/>
        <v>-3.7425441469691744E-5</v>
      </c>
      <c r="Q276" s="7">
        <f t="shared" ca="1" si="202"/>
        <v>1.7894254081740522E-5</v>
      </c>
      <c r="R276" s="7">
        <f t="shared" ca="1" si="202"/>
        <v>6.872126532527291E-5</v>
      </c>
      <c r="S276" s="7">
        <f t="shared" ca="1" si="202"/>
        <v>1.1255674163118936E-4</v>
      </c>
      <c r="T276" s="7">
        <f t="shared" ca="1" si="202"/>
        <v>1.4702335516038895E-4</v>
      </c>
      <c r="U276" s="7">
        <f t="shared" ca="1" si="202"/>
        <v>1.7105358769687031E-4</v>
      </c>
      <c r="V276" s="7">
        <f t="shared" ca="1" si="202"/>
        <v>1.8475987585008129E-4</v>
      </c>
      <c r="W276" s="7">
        <f t="shared" ca="1" si="202"/>
        <v>1.8943185736116153E-4</v>
      </c>
      <c r="X276" s="7">
        <f t="shared" ca="1" si="202"/>
        <v>1.8766008291449477E-4</v>
      </c>
      <c r="Y276" s="7">
        <f t="shared" ca="1" si="202"/>
        <v>1.821395092162052E-4</v>
      </c>
      <c r="Z276" s="7">
        <f t="shared" ca="1" si="202"/>
        <v>1.7451666431697943E-4</v>
      </c>
      <c r="AA276" s="7">
        <f t="shared" ca="1" si="202"/>
        <v>1.6565926570259387E-4</v>
      </c>
      <c r="AB276" s="8">
        <f t="shared" ca="1" si="202"/>
        <v>1.5592648900380077E-4</v>
      </c>
    </row>
    <row r="277" spans="5:28" x14ac:dyDescent="0.25">
      <c r="E277" s="2">
        <f t="shared" si="183"/>
        <v>2.1000000000000005</v>
      </c>
      <c r="H277" s="8">
        <f t="shared" ref="H277:AB277" ca="1" si="203" xml:space="preserve"> (H77+G76+H75+I76-4*H76)/delta^2</f>
        <v>-5.9368655307507289E-4</v>
      </c>
      <c r="I277" s="7">
        <f t="shared" ca="1" si="203"/>
        <v>-5.1348764298859572E-4</v>
      </c>
      <c r="J277" s="7">
        <f t="shared" ca="1" si="203"/>
        <v>-4.3635736270770969E-4</v>
      </c>
      <c r="K277" s="7">
        <f t="shared" ca="1" si="203"/>
        <v>-3.6190848887964383E-4</v>
      </c>
      <c r="L277" s="7">
        <f t="shared" ca="1" si="203"/>
        <v>-2.8976020567851455E-4</v>
      </c>
      <c r="M277" s="7">
        <f t="shared" ca="1" si="203"/>
        <v>-2.1956078108613489E-4</v>
      </c>
      <c r="N277" s="7">
        <f t="shared" ca="1" si="203"/>
        <v>-1.5101617178924179E-4</v>
      </c>
      <c r="O277" s="7">
        <f t="shared" ca="1" si="203"/>
        <v>-8.3937836403154913E-5</v>
      </c>
      <c r="P277" s="7">
        <f t="shared" ca="1" si="203"/>
        <v>-1.8340431341332376E-5</v>
      </c>
      <c r="Q277" s="7">
        <f t="shared" ca="1" si="203"/>
        <v>4.5324372867762499E-5</v>
      </c>
      <c r="R277" s="7">
        <f t="shared" ca="1" si="203"/>
        <v>1.0552134539467065E-4</v>
      </c>
      <c r="S277" s="7">
        <f t="shared" ca="1" si="203"/>
        <v>1.5759046347063076E-4</v>
      </c>
      <c r="T277" s="7">
        <f t="shared" ca="1" si="203"/>
        <v>1.96927710337442E-4</v>
      </c>
      <c r="U277" s="7">
        <f t="shared" ca="1" si="203"/>
        <v>2.2221907830172796E-4</v>
      </c>
      <c r="V277" s="7">
        <f t="shared" ca="1" si="203"/>
        <v>2.3361551215223155E-4</v>
      </c>
      <c r="W277" s="7">
        <f t="shared" ca="1" si="203"/>
        <v>2.3273225851715666E-4</v>
      </c>
      <c r="X277" s="7">
        <f t="shared" ca="1" si="203"/>
        <v>2.2447219735293415E-4</v>
      </c>
      <c r="Y277" s="7">
        <f t="shared" ca="1" si="203"/>
        <v>2.1378871274241833E-4</v>
      </c>
      <c r="Z277" s="7">
        <f t="shared" ca="1" si="203"/>
        <v>2.0249893050207094E-4</v>
      </c>
      <c r="AA277" s="7">
        <f t="shared" ca="1" si="203"/>
        <v>1.9131363749973204E-4</v>
      </c>
      <c r="AB277" s="8">
        <f t="shared" ca="1" si="203"/>
        <v>1.8046218244658314E-4</v>
      </c>
    </row>
    <row r="278" spans="5:28" x14ac:dyDescent="0.25">
      <c r="E278" s="2">
        <f t="shared" si="183"/>
        <v>2.0000000000000004</v>
      </c>
      <c r="H278" s="8">
        <f t="shared" ref="H278:AB278" ca="1" si="204" xml:space="preserve"> (H78+G77+H76+I77-4*H77)/delta^2</f>
        <v>-6.2282569506314747E-4</v>
      </c>
      <c r="I278" s="7">
        <f t="shared" ca="1" si="204"/>
        <v>-5.3555006358664494E-4</v>
      </c>
      <c r="J278" s="7">
        <f t="shared" ca="1" si="204"/>
        <v>-4.521509876574818E-4</v>
      </c>
      <c r="K278" s="7">
        <f t="shared" ca="1" si="204"/>
        <v>-3.7194886486143381E-4</v>
      </c>
      <c r="L278" s="7">
        <f t="shared" ca="1" si="204"/>
        <v>-2.9429773241853929E-4</v>
      </c>
      <c r="M278" s="7">
        <f t="shared" ca="1" si="204"/>
        <v>-2.1858242000985577E-4</v>
      </c>
      <c r="N278" s="7">
        <f t="shared" ca="1" si="204"/>
        <v>-1.4421635269537956E-4</v>
      </c>
      <c r="O278" s="7">
        <f t="shared" ca="1" si="204"/>
        <v>-7.0641037228118988E-5</v>
      </c>
      <c r="P278" s="7">
        <f t="shared" ca="1" si="204"/>
        <v>2.6719634500945405E-6</v>
      </c>
      <c r="Q278" s="7">
        <f t="shared" ca="1" si="204"/>
        <v>7.6216097056984442E-5</v>
      </c>
      <c r="R278" s="9">
        <f t="shared" ca="1" si="204"/>
        <v>1.5044200823198861E-4</v>
      </c>
      <c r="S278" s="9">
        <f t="shared" ca="1" si="204"/>
        <v>2.153477132753084E-4</v>
      </c>
      <c r="T278" s="9">
        <f t="shared" ca="1" si="204"/>
        <v>2.6086851105334893E-4</v>
      </c>
      <c r="U278" s="9">
        <f t="shared" ca="1" si="204"/>
        <v>2.87268966943561E-4</v>
      </c>
      <c r="V278" s="9">
        <f t="shared" ca="1" si="204"/>
        <v>2.9473918879364865E-4</v>
      </c>
      <c r="W278" s="9">
        <f t="shared" ca="1" si="204"/>
        <v>2.8339670302152809E-4</v>
      </c>
      <c r="X278" s="7">
        <f t="shared" ca="1" si="204"/>
        <v>2.636938484602618E-4</v>
      </c>
      <c r="Y278" s="7">
        <f t="shared" ca="1" si="204"/>
        <v>2.4602919721033138E-4</v>
      </c>
      <c r="Z278" s="7">
        <f t="shared" ca="1" si="204"/>
        <v>2.3036054943460083E-4</v>
      </c>
      <c r="AA278" s="7">
        <f t="shared" ca="1" si="204"/>
        <v>2.1661685391432048E-4</v>
      </c>
      <c r="AB278" s="8">
        <f t="shared" ca="1" si="204"/>
        <v>2.0470691220290935E-4</v>
      </c>
    </row>
    <row r="279" spans="5:28" x14ac:dyDescent="0.25">
      <c r="E279" s="2">
        <f t="shared" si="183"/>
        <v>1.9000000000000006</v>
      </c>
      <c r="H279" s="8">
        <f t="shared" ref="H279:AB279" ca="1" si="205" xml:space="preserve"> (H79+G78+H77+I78-4*H78)/delta^2</f>
        <v>-6.4737281544444017E-4</v>
      </c>
      <c r="I279" s="7">
        <f t="shared" ca="1" si="205"/>
        <v>-5.5373614795336775E-4</v>
      </c>
      <c r="J279" s="7">
        <f t="shared" ca="1" si="205"/>
        <v>-4.6474825943014524E-4</v>
      </c>
      <c r="K279" s="7">
        <f t="shared" ca="1" si="205"/>
        <v>-3.7943937315134546E-4</v>
      </c>
      <c r="L279" s="7">
        <f t="shared" ca="1" si="205"/>
        <v>-2.9690120649366328E-4</v>
      </c>
      <c r="M279" s="7">
        <f t="shared" ca="1" si="205"/>
        <v>-2.1625732960045785E-4</v>
      </c>
      <c r="N279" s="7">
        <f t="shared" ca="1" si="205"/>
        <v>-1.3662913290114653E-4</v>
      </c>
      <c r="O279" s="7">
        <f t="shared" ca="1" si="205"/>
        <v>-5.7086181650274048E-5</v>
      </c>
      <c r="P279" s="7">
        <f t="shared" ca="1" si="205"/>
        <v>2.34480014742037E-5</v>
      </c>
      <c r="Q279" s="7">
        <f t="shared" ca="1" si="205"/>
        <v>1.0641980833627025E-4</v>
      </c>
      <c r="R279" s="9">
        <f t="shared" ca="1" si="205"/>
        <v>1.9427559498538238E-4</v>
      </c>
      <c r="S279" s="9">
        <f t="shared" ca="1" si="205"/>
        <v>2.7168151505494283E-4</v>
      </c>
      <c r="T279" s="9">
        <f t="shared" ca="1" si="205"/>
        <v>3.2312020669964051E-4</v>
      </c>
      <c r="U279" s="9">
        <f t="shared" ca="1" si="205"/>
        <v>3.5043853838254228E-4</v>
      </c>
      <c r="V279" s="9">
        <f t="shared" ca="1" si="205"/>
        <v>3.5386390915431194E-4</v>
      </c>
      <c r="W279" s="9">
        <f t="shared" ca="1" si="205"/>
        <v>3.3200873377360168E-4</v>
      </c>
      <c r="X279" s="7">
        <f t="shared" ca="1" si="205"/>
        <v>3.0086338950387632E-4</v>
      </c>
      <c r="Y279" s="7">
        <f t="shared" ca="1" si="205"/>
        <v>2.7625863991747804E-4</v>
      </c>
      <c r="Z279" s="7">
        <f t="shared" ca="1" si="205"/>
        <v>2.5628103486519024E-4</v>
      </c>
      <c r="AA279" s="7">
        <f t="shared" ca="1" si="205"/>
        <v>2.4006897420881553E-4</v>
      </c>
      <c r="AB279" s="8">
        <f t="shared" ca="1" si="205"/>
        <v>2.2720652705769147E-4</v>
      </c>
    </row>
    <row r="280" spans="5:28" x14ac:dyDescent="0.25">
      <c r="E280" s="2">
        <f t="shared" si="183"/>
        <v>1.8000000000000005</v>
      </c>
      <c r="H280" s="8">
        <f t="shared" ref="H280:AB280" ca="1" si="206" xml:space="preserve"> (H80+G79+H78+I79-4*H79)/delta^2</f>
        <v>-6.662091354399395E-4</v>
      </c>
      <c r="I280" s="7">
        <f t="shared" ca="1" si="206"/>
        <v>-5.6727367194629882E-4</v>
      </c>
      <c r="J280" s="7">
        <f t="shared" ca="1" si="206"/>
        <v>-4.7366712641588643E-4</v>
      </c>
      <c r="K280" s="7">
        <f t="shared" ca="1" si="206"/>
        <v>-3.8416027950698329E-4</v>
      </c>
      <c r="L280" s="7">
        <f t="shared" ca="1" si="206"/>
        <v>-2.9761215012793265E-4</v>
      </c>
      <c r="M280" s="7">
        <f t="shared" ca="1" si="206"/>
        <v>-2.1291906313939361E-4</v>
      </c>
      <c r="N280" s="7">
        <f t="shared" ca="1" si="206"/>
        <v>-1.2896000319587107E-4</v>
      </c>
      <c r="O280" s="7">
        <f t="shared" ca="1" si="206"/>
        <v>-4.4526796390482227E-5</v>
      </c>
      <c r="P280" s="7">
        <f t="shared" ca="1" si="206"/>
        <v>4.1781216470295524E-5</v>
      </c>
      <c r="Q280" s="7">
        <f t="shared" ca="1" si="206"/>
        <v>1.317333338555354E-4</v>
      </c>
      <c r="R280" s="9">
        <f t="shared" ca="1" si="206"/>
        <v>2.2775180045436289E-4</v>
      </c>
      <c r="S280" s="9">
        <f t="shared" ca="1" si="206"/>
        <v>3.1237422942108562E-4</v>
      </c>
      <c r="T280" s="9">
        <f t="shared" ca="1" si="206"/>
        <v>3.6788285998356774E-4</v>
      </c>
      <c r="U280" s="9">
        <f t="shared" ca="1" si="206"/>
        <v>3.9589056935705741E-4</v>
      </c>
      <c r="V280" s="9">
        <f t="shared" ca="1" si="206"/>
        <v>3.9665756689946733E-4</v>
      </c>
      <c r="W280" s="9">
        <f t="shared" ca="1" si="206"/>
        <v>3.6909821129935643E-4</v>
      </c>
      <c r="X280" s="7">
        <f t="shared" ca="1" si="206"/>
        <v>3.3147849485299236E-4</v>
      </c>
      <c r="Y280" s="7">
        <f t="shared" ca="1" si="206"/>
        <v>3.0184597089619002E-4</v>
      </c>
      <c r="Z280" s="7">
        <f t="shared" ca="1" si="206"/>
        <v>2.7841987115704512E-4</v>
      </c>
      <c r="AA280" s="7">
        <f t="shared" ca="1" si="206"/>
        <v>2.6015422070081029E-4</v>
      </c>
      <c r="AB280" s="8">
        <f t="shared" ca="1" si="206"/>
        <v>2.46490240953575E-4</v>
      </c>
    </row>
    <row r="281" spans="5:28" x14ac:dyDescent="0.25">
      <c r="E281" s="2">
        <f t="shared" si="183"/>
        <v>1.7000000000000004</v>
      </c>
      <c r="H281" s="8">
        <f t="shared" ref="H281:AB281" ca="1" si="207" xml:space="preserve"> (H81+G80+H79+I80-4*H80)/delta^2</f>
        <v>-6.7834410885517303E-4</v>
      </c>
      <c r="I281" s="7">
        <f t="shared" ca="1" si="207"/>
        <v>-5.7548249450241784E-4</v>
      </c>
      <c r="J281" s="7">
        <f t="shared" ca="1" si="207"/>
        <v>-4.7848688606168287E-4</v>
      </c>
      <c r="K281" s="7">
        <f t="shared" ca="1" si="207"/>
        <v>-3.8592357416597452E-4</v>
      </c>
      <c r="L281" s="7">
        <f t="shared" ca="1" si="207"/>
        <v>-2.9646979182104948E-4</v>
      </c>
      <c r="M281" s="7">
        <f t="shared" ca="1" si="207"/>
        <v>-2.0884924674369174E-4</v>
      </c>
      <c r="N281" s="7">
        <f t="shared" ca="1" si="207"/>
        <v>-1.2176831974980578E-4</v>
      </c>
      <c r="O281" s="7">
        <f t="shared" ca="1" si="207"/>
        <v>-3.384640960001918E-5</v>
      </c>
      <c r="P281" s="7">
        <f t="shared" ca="1" si="207"/>
        <v>5.646518420343321E-5</v>
      </c>
      <c r="Q281" s="7">
        <f t="shared" ca="1" si="207"/>
        <v>1.5097437175836268E-4</v>
      </c>
      <c r="R281" s="9">
        <f t="shared" ca="1" si="207"/>
        <v>2.5181687465864383E-4</v>
      </c>
      <c r="S281" s="9">
        <f t="shared" ca="1" si="207"/>
        <v>3.4057251699573385E-4</v>
      </c>
      <c r="T281" s="9">
        <f t="shared" ca="1" si="207"/>
        <v>3.9853713464568086E-4</v>
      </c>
      <c r="U281" s="9">
        <f t="shared" ca="1" si="207"/>
        <v>4.2697292530152829E-4</v>
      </c>
      <c r="V281" s="9">
        <f t="shared" ca="1" si="207"/>
        <v>4.2616609561953514E-4</v>
      </c>
      <c r="W281" s="9">
        <f t="shared" ca="1" si="207"/>
        <v>3.9543546630270513E-4</v>
      </c>
      <c r="X281" s="7">
        <f t="shared" ca="1" si="207"/>
        <v>3.5409271765269706E-4</v>
      </c>
      <c r="Y281" s="7">
        <f t="shared" ca="1" si="207"/>
        <v>3.2121207369951039E-4</v>
      </c>
      <c r="Z281" s="7">
        <f t="shared" ca="1" si="207"/>
        <v>2.9538232907510941E-4</v>
      </c>
      <c r="AA281" s="7">
        <f t="shared" ca="1" si="207"/>
        <v>2.7562072446409616E-4</v>
      </c>
      <c r="AB281" s="8">
        <f t="shared" ca="1" si="207"/>
        <v>2.6134397413692367E-4</v>
      </c>
    </row>
    <row r="282" spans="5:28" x14ac:dyDescent="0.25">
      <c r="E282" s="2">
        <f t="shared" si="183"/>
        <v>1.6000000000000003</v>
      </c>
      <c r="H282" s="8">
        <f t="shared" ref="H282:AB282" ca="1" si="208" xml:space="preserve"> (H82+G81+H80+I81-4*H81)/delta^2</f>
        <v>-6.8299661244006487E-4</v>
      </c>
      <c r="I282" s="7">
        <f t="shared" ca="1" si="208"/>
        <v>-5.7782552427432753E-4</v>
      </c>
      <c r="J282" s="7">
        <f t="shared" ca="1" si="208"/>
        <v>-4.7887493063408868E-4</v>
      </c>
      <c r="K282" s="7">
        <f t="shared" ca="1" si="208"/>
        <v>-3.845784264573247E-4</v>
      </c>
      <c r="L282" s="7">
        <f t="shared" ca="1" si="208"/>
        <v>-2.9349590712467183E-4</v>
      </c>
      <c r="M282" s="7">
        <f t="shared" ca="1" si="208"/>
        <v>-2.0424224711776209E-4</v>
      </c>
      <c r="N282" s="7">
        <f t="shared" ca="1" si="208"/>
        <v>-1.1542086243659474E-4</v>
      </c>
      <c r="O282" s="7">
        <f t="shared" ca="1" si="208"/>
        <v>-2.5559827076008457E-5</v>
      </c>
      <c r="P282" s="7">
        <f t="shared" ca="1" si="208"/>
        <v>6.6946503612149818E-5</v>
      </c>
      <c r="Q282" s="7">
        <f t="shared" ca="1" si="208"/>
        <v>1.6387606121894295E-4</v>
      </c>
      <c r="R282" s="9">
        <f t="shared" ca="1" si="208"/>
        <v>2.6716176356918192E-4</v>
      </c>
      <c r="S282" s="9">
        <f t="shared" ca="1" si="208"/>
        <v>3.5795374527325738E-4</v>
      </c>
      <c r="T282" s="9">
        <f t="shared" ca="1" si="208"/>
        <v>4.171110961821624E-4</v>
      </c>
      <c r="U282" s="9">
        <f t="shared" ca="1" si="208"/>
        <v>4.4568769310066633E-4</v>
      </c>
      <c r="V282" s="9">
        <f t="shared" ca="1" si="208"/>
        <v>4.4398713900744245E-4</v>
      </c>
      <c r="W282" s="9">
        <f t="shared" ca="1" si="208"/>
        <v>4.1157247339090175E-4</v>
      </c>
      <c r="X282" s="7">
        <f t="shared" ca="1" si="208"/>
        <v>3.6823138082726301E-4</v>
      </c>
      <c r="Y282" s="7">
        <f t="shared" ca="1" si="208"/>
        <v>3.3351272748433682E-4</v>
      </c>
      <c r="Z282" s="7">
        <f t="shared" ca="1" si="208"/>
        <v>3.0626099149291813E-4</v>
      </c>
      <c r="AA282" s="7">
        <f t="shared" ca="1" si="208"/>
        <v>2.8558559518163275E-4</v>
      </c>
      <c r="AB282" s="8">
        <f t="shared" ca="1" si="208"/>
        <v>2.7091636707634014E-4</v>
      </c>
    </row>
    <row r="283" spans="5:28" x14ac:dyDescent="0.25">
      <c r="E283" s="2">
        <f t="shared" si="183"/>
        <v>1.5000000000000002</v>
      </c>
      <c r="H283" s="8">
        <f t="shared" ref="H283:AB283" ca="1" si="209" xml:space="preserve"> (H83+G82+H81+I82-4*H82)/delta^2</f>
        <v>-6.796548017183044E-4</v>
      </c>
      <c r="I283" s="7">
        <f t="shared" ca="1" si="209"/>
        <v>-5.7394826794190555E-4</v>
      </c>
      <c r="J283" s="7">
        <f t="shared" ca="1" si="209"/>
        <v>-4.7460945383644387E-4</v>
      </c>
      <c r="K283" s="7">
        <f t="shared" ca="1" si="209"/>
        <v>-3.8002035576570011E-4</v>
      </c>
      <c r="L283" s="7">
        <f t="shared" ca="1" si="209"/>
        <v>-2.8869483390932743E-4</v>
      </c>
      <c r="M283" s="7">
        <f t="shared" ca="1" si="209"/>
        <v>-1.99205349817852E-4</v>
      </c>
      <c r="N283" s="7">
        <f t="shared" ca="1" si="209"/>
        <v>-1.1011622245359843E-4</v>
      </c>
      <c r="O283" s="7">
        <f t="shared" ca="1" si="209"/>
        <v>-1.9922563396798737E-5</v>
      </c>
      <c r="P283" s="7">
        <f t="shared" ca="1" si="209"/>
        <v>7.2999660724625847E-5</v>
      </c>
      <c r="Q283" s="7">
        <f t="shared" ca="1" si="209"/>
        <v>1.7041571518450809E-4</v>
      </c>
      <c r="R283" s="9">
        <f t="shared" ca="1" si="209"/>
        <v>2.7419349356876853E-4</v>
      </c>
      <c r="S283" s="9">
        <f t="shared" ca="1" si="209"/>
        <v>3.6536171120971544E-4</v>
      </c>
      <c r="T283" s="9">
        <f t="shared" ca="1" si="209"/>
        <v>4.2465688740533989E-4</v>
      </c>
      <c r="U283" s="9">
        <f t="shared" ca="1" si="209"/>
        <v>4.5306964449461854E-4</v>
      </c>
      <c r="V283" s="9">
        <f t="shared" ca="1" si="209"/>
        <v>4.5091127545482986E-4</v>
      </c>
      <c r="W283" s="9">
        <f t="shared" ca="1" si="209"/>
        <v>4.1782383224974509E-4</v>
      </c>
      <c r="X283" s="7">
        <f t="shared" ca="1" si="209"/>
        <v>3.7373446761938036E-4</v>
      </c>
      <c r="Y283" s="7">
        <f t="shared" ca="1" si="209"/>
        <v>3.3833225785726088E-4</v>
      </c>
      <c r="Z283" s="7">
        <f t="shared" ca="1" si="209"/>
        <v>3.1054802850209463E-4</v>
      </c>
      <c r="AA283" s="7">
        <f t="shared" ca="1" si="209"/>
        <v>2.8952791524478391E-4</v>
      </c>
      <c r="AB283" s="8">
        <f t="shared" ca="1" si="209"/>
        <v>2.7470905519186029E-4</v>
      </c>
    </row>
    <row r="284" spans="5:28" x14ac:dyDescent="0.25">
      <c r="E284" s="2">
        <f t="shared" si="183"/>
        <v>1.4000000000000001</v>
      </c>
      <c r="H284" s="8">
        <f t="shared" ref="H284:AB284" ca="1" si="210" xml:space="preserve"> (H84+G83+H82+I83-4*H83)/delta^2</f>
        <v>-6.6811147910621769E-4</v>
      </c>
      <c r="I284" s="7">
        <f t="shared" ca="1" si="210"/>
        <v>-5.6370349437596359E-4</v>
      </c>
      <c r="J284" s="7">
        <f t="shared" ca="1" si="210"/>
        <v>-4.6559481223846068E-4</v>
      </c>
      <c r="K284" s="7">
        <f t="shared" ca="1" si="210"/>
        <v>-3.7219973889225644E-4</v>
      </c>
      <c r="L284" s="7">
        <f t="shared" ca="1" si="210"/>
        <v>-2.820593434256084E-4</v>
      </c>
      <c r="M284" s="7">
        <f t="shared" ca="1" si="210"/>
        <v>-1.9377040166912763E-4</v>
      </c>
      <c r="N284" s="7">
        <f t="shared" ca="1" si="210"/>
        <v>-1.0591918507842055E-4</v>
      </c>
      <c r="O284" s="7">
        <f t="shared" ca="1" si="210"/>
        <v>-1.7017766540042405E-5</v>
      </c>
      <c r="P284" s="7">
        <f t="shared" ca="1" si="210"/>
        <v>7.4554201572897796E-5</v>
      </c>
      <c r="Q284" s="7">
        <f t="shared" ca="1" si="210"/>
        <v>1.7058793293603681E-4</v>
      </c>
      <c r="R284" s="9">
        <f t="shared" ca="1" si="210"/>
        <v>2.7302811323714468E-4</v>
      </c>
      <c r="S284" s="9">
        <f t="shared" ca="1" si="210"/>
        <v>3.6303506470513426E-4</v>
      </c>
      <c r="T284" s="9">
        <f t="shared" ca="1" si="210"/>
        <v>4.2147644397601866E-4</v>
      </c>
      <c r="U284" s="9">
        <f t="shared" ca="1" si="210"/>
        <v>4.4941305679753365E-4</v>
      </c>
      <c r="V284" s="9">
        <f t="shared" ca="1" si="210"/>
        <v>4.4715380168730545E-4</v>
      </c>
      <c r="W284" s="9">
        <f t="shared" ca="1" si="210"/>
        <v>4.1426540349596015E-4</v>
      </c>
      <c r="X284" s="7">
        <f t="shared" ca="1" si="210"/>
        <v>3.705376607321831E-4</v>
      </c>
      <c r="Y284" s="7">
        <f t="shared" ca="1" si="210"/>
        <v>3.3552003253661285E-4</v>
      </c>
      <c r="Z284" s="7">
        <f t="shared" ca="1" si="210"/>
        <v>3.0805612721382809E-4</v>
      </c>
      <c r="AA284" s="7">
        <f t="shared" ca="1" si="210"/>
        <v>2.8725309646850968E-4</v>
      </c>
      <c r="AB284" s="8">
        <f t="shared" ca="1" si="210"/>
        <v>2.7253716005687546E-4</v>
      </c>
    </row>
    <row r="285" spans="5:28" x14ac:dyDescent="0.25">
      <c r="E285" s="2">
        <f t="shared" si="183"/>
        <v>1.3</v>
      </c>
      <c r="H285" s="8">
        <f t="shared" ref="H285:AB285" ca="1" si="211" xml:space="preserve"> (H85+G84+H83+I84-4*H84)/delta^2</f>
        <v>-6.484755869239808E-4</v>
      </c>
      <c r="I285" s="7">
        <f t="shared" ca="1" si="211"/>
        <v>-5.4715961343251884E-4</v>
      </c>
      <c r="J285" s="7">
        <f t="shared" ca="1" si="211"/>
        <v>-4.5186709285244877E-4</v>
      </c>
      <c r="K285" s="7">
        <f t="shared" ca="1" si="211"/>
        <v>-3.6112543604153422E-4</v>
      </c>
      <c r="L285" s="7">
        <f t="shared" ca="1" si="211"/>
        <v>-2.7357395950266535E-4</v>
      </c>
      <c r="M285" s="7">
        <f t="shared" ca="1" si="211"/>
        <v>-1.8789994834870471E-4</v>
      </c>
      <c r="N285" s="7">
        <f t="shared" ca="1" si="211"/>
        <v>-1.0277530603566017E-4</v>
      </c>
      <c r="O285" s="7">
        <f t="shared" ca="1" si="211"/>
        <v>-1.6787275373080333E-5</v>
      </c>
      <c r="P285" s="7">
        <f t="shared" ca="1" si="211"/>
        <v>7.1642371995679706E-5</v>
      </c>
      <c r="Q285" s="7">
        <f t="shared" ca="1" si="211"/>
        <v>1.6434820289578297E-4</v>
      </c>
      <c r="R285" s="9">
        <f t="shared" ca="1" si="211"/>
        <v>2.6348953999541074E-4</v>
      </c>
      <c r="S285" s="9">
        <f t="shared" ca="1" si="211"/>
        <v>3.5066662263279197E-4</v>
      </c>
      <c r="T285" s="9">
        <f t="shared" ca="1" si="211"/>
        <v>4.0719243678205905E-4</v>
      </c>
      <c r="U285" s="9">
        <f t="shared" ca="1" si="211"/>
        <v>4.3434303320880735E-4</v>
      </c>
      <c r="V285" s="9">
        <f t="shared" ca="1" si="211"/>
        <v>4.3241518615233499E-4</v>
      </c>
      <c r="W285" s="9">
        <f t="shared" ca="1" si="211"/>
        <v>4.0073504814464809E-4</v>
      </c>
      <c r="X285" s="7">
        <f t="shared" ca="1" si="211"/>
        <v>3.5861847685939545E-4</v>
      </c>
      <c r="Y285" s="7">
        <f t="shared" ca="1" si="211"/>
        <v>3.251408242270839E-4</v>
      </c>
      <c r="Z285" s="7">
        <f t="shared" ca="1" si="211"/>
        <v>2.9888908349179772E-4</v>
      </c>
      <c r="AA285" s="7">
        <f t="shared" ca="1" si="211"/>
        <v>2.7887589186866702E-4</v>
      </c>
      <c r="AB285" s="8">
        <f t="shared" ca="1" si="211"/>
        <v>2.6451068550249491E-4</v>
      </c>
    </row>
    <row r="286" spans="5:28" x14ac:dyDescent="0.25">
      <c r="E286" s="2">
        <f t="shared" si="183"/>
        <v>1.2</v>
      </c>
      <c r="H286" s="8">
        <f t="shared" ref="H286:AB286" ca="1" si="212" xml:space="preserve"> (H86+G85+H84+I85-4*H85)/delta^2</f>
        <v>-6.2116054591243E-4</v>
      </c>
      <c r="I286" s="7">
        <f t="shared" ca="1" si="212"/>
        <v>-5.2459246637859963E-4</v>
      </c>
      <c r="J286" s="7">
        <f t="shared" ca="1" si="212"/>
        <v>-4.3358901722654328E-4</v>
      </c>
      <c r="K286" s="7">
        <f t="shared" ca="1" si="212"/>
        <v>-3.468619006322397E-4</v>
      </c>
      <c r="L286" s="7">
        <f t="shared" ca="1" si="212"/>
        <v>-2.6321260070849177E-4</v>
      </c>
      <c r="M286" s="7">
        <f t="shared" ca="1" si="212"/>
        <v>-1.814822467329722E-4</v>
      </c>
      <c r="N286" s="7">
        <f t="shared" ca="1" si="212"/>
        <v>-1.0049763913009059E-4</v>
      </c>
      <c r="O286" s="7">
        <f t="shared" ca="1" si="212"/>
        <v>-1.9001988427663543E-5</v>
      </c>
      <c r="P286" s="7">
        <f t="shared" ca="1" si="212"/>
        <v>6.4449958625783618E-5</v>
      </c>
      <c r="Q286" s="7">
        <f t="shared" ca="1" si="212"/>
        <v>1.5166771485713903E-4</v>
      </c>
      <c r="R286" s="9">
        <f t="shared" ca="1" si="212"/>
        <v>2.4510908807084427E-4</v>
      </c>
      <c r="S286" s="9">
        <f t="shared" ca="1" si="212"/>
        <v>3.2734241246223922E-4</v>
      </c>
      <c r="T286" s="9">
        <f t="shared" ca="1" si="212"/>
        <v>3.8067569159086094E-4</v>
      </c>
      <c r="U286" s="9">
        <f t="shared" ca="1" si="212"/>
        <v>4.0674256758708131E-4</v>
      </c>
      <c r="V286" s="9">
        <f t="shared" ca="1" si="212"/>
        <v>4.058190391688018E-4</v>
      </c>
      <c r="W286" s="9">
        <f t="shared" ca="1" si="212"/>
        <v>3.7683036172623212E-4</v>
      </c>
      <c r="X286" s="7">
        <f t="shared" ca="1" si="212"/>
        <v>3.3804866333734472E-4</v>
      </c>
      <c r="Y286" s="7">
        <f t="shared" ca="1" si="212"/>
        <v>3.0752304021187769E-4</v>
      </c>
      <c r="Z286" s="7">
        <f t="shared" ca="1" si="212"/>
        <v>2.8346986445135046E-4</v>
      </c>
      <c r="AA286" s="7">
        <f t="shared" ca="1" si="212"/>
        <v>2.6483609824061357E-4</v>
      </c>
      <c r="AB286" s="8">
        <f t="shared" ca="1" si="212"/>
        <v>2.5105189359094898E-4</v>
      </c>
    </row>
    <row r="287" spans="5:28" x14ac:dyDescent="0.25">
      <c r="E287" s="2">
        <f t="shared" si="183"/>
        <v>1.0999999999999999</v>
      </c>
      <c r="H287" s="8">
        <f t="shared" ref="H287:AB287" ca="1" si="213" xml:space="preserve"> (H87+G86+H85+I86-4*H86)/delta^2</f>
        <v>-5.8684874704813511E-4</v>
      </c>
      <c r="I287" s="7">
        <f t="shared" ca="1" si="213"/>
        <v>-4.964608661907618E-4</v>
      </c>
      <c r="J287" s="7">
        <f t="shared" ca="1" si="213"/>
        <v>-4.110350900040767E-4</v>
      </c>
      <c r="K287" s="7">
        <f t="shared" ca="1" si="213"/>
        <v>-3.2952144629836685E-4</v>
      </c>
      <c r="L287" s="7">
        <f t="shared" ca="1" si="213"/>
        <v>-2.5093370763207794E-4</v>
      </c>
      <c r="M287" s="7">
        <f t="shared" ca="1" si="213"/>
        <v>-1.7432080690615054E-4</v>
      </c>
      <c r="N287" s="7">
        <f t="shared" ca="1" si="213"/>
        <v>-9.8733689285680106E-5</v>
      </c>
      <c r="O287" s="7">
        <f t="shared" ca="1" si="213"/>
        <v>-2.3176394855725122E-5</v>
      </c>
      <c r="P287" s="7">
        <f t="shared" ca="1" si="213"/>
        <v>5.3487569588283709E-5</v>
      </c>
      <c r="Q287" s="7">
        <f t="shared" ca="1" si="213"/>
        <v>1.3275863715315938E-4</v>
      </c>
      <c r="R287" s="9">
        <f t="shared" ca="1" si="213"/>
        <v>2.1713087786905805E-4</v>
      </c>
      <c r="S287" s="9">
        <f t="shared" ca="1" si="213"/>
        <v>2.9131158511738184E-4</v>
      </c>
      <c r="T287" s="9">
        <f t="shared" ca="1" si="213"/>
        <v>3.3981781689663932E-4</v>
      </c>
      <c r="U287" s="9">
        <f t="shared" ca="1" si="213"/>
        <v>3.6452409344689185E-4</v>
      </c>
      <c r="V287" s="9">
        <f t="shared" ca="1" si="213"/>
        <v>3.6567874126551455E-4</v>
      </c>
      <c r="W287" s="9">
        <f t="shared" ca="1" si="213"/>
        <v>3.4190850450291262E-4</v>
      </c>
      <c r="X287" s="7">
        <f t="shared" ca="1" si="213"/>
        <v>3.0921168653465046E-4</v>
      </c>
      <c r="Y287" s="7">
        <f t="shared" ca="1" si="213"/>
        <v>2.8342081871623402E-4</v>
      </c>
      <c r="Z287" s="7">
        <f t="shared" ca="1" si="213"/>
        <v>2.6261833457605956E-4</v>
      </c>
      <c r="AA287" s="7">
        <f t="shared" ca="1" si="213"/>
        <v>2.4593291624633561E-4</v>
      </c>
      <c r="AB287" s="8">
        <f t="shared" ca="1" si="213"/>
        <v>2.3293358726390786E-4</v>
      </c>
    </row>
    <row r="288" spans="5:28" x14ac:dyDescent="0.25">
      <c r="E288" s="2">
        <f t="shared" si="183"/>
        <v>0.99999999999999989</v>
      </c>
      <c r="H288" s="8">
        <f t="shared" ref="H288:AB288" ca="1" si="214" xml:space="preserve"> (H88+G87+H86+I87-4*H87)/delta^2</f>
        <v>-5.4643161684034551E-4</v>
      </c>
      <c r="I288" s="7">
        <f t="shared" ca="1" si="214"/>
        <v>-4.6336732794863235E-4</v>
      </c>
      <c r="J288" s="7">
        <f t="shared" ca="1" si="214"/>
        <v>-3.8456948176708475E-4</v>
      </c>
      <c r="K288" s="7">
        <f t="shared" ca="1" si="214"/>
        <v>-3.0925592923935835E-4</v>
      </c>
      <c r="L288" s="7">
        <f t="shared" ca="1" si="214"/>
        <v>-2.3668130083915494E-4</v>
      </c>
      <c r="M288" s="7">
        <f t="shared" ca="1" si="214"/>
        <v>-1.6613546752215885E-4</v>
      </c>
      <c r="N288" s="7">
        <f t="shared" ca="1" si="214"/>
        <v>-9.6942424098557292E-5</v>
      </c>
      <c r="O288" s="7">
        <f t="shared" ca="1" si="214"/>
        <v>-2.846065713035198E-5</v>
      </c>
      <c r="P288" s="7">
        <f t="shared" ca="1" si="214"/>
        <v>3.9914170102704537E-5</v>
      </c>
      <c r="Q288" s="7">
        <f t="shared" ca="1" si="214"/>
        <v>1.0874372304115829E-4</v>
      </c>
      <c r="R288" s="9">
        <f t="shared" ca="1" si="214"/>
        <v>1.7853875548415416E-4</v>
      </c>
      <c r="S288" s="9">
        <f t="shared" ca="1" si="214"/>
        <v>2.3934898557868492E-4</v>
      </c>
      <c r="T288" s="9">
        <f t="shared" ca="1" si="214"/>
        <v>2.8115283381979767E-4</v>
      </c>
      <c r="U288" s="9">
        <f t="shared" ca="1" si="214"/>
        <v>3.0424935900471732E-4</v>
      </c>
      <c r="V288" s="9">
        <f t="shared" ca="1" si="214"/>
        <v>3.0885460718904455E-4</v>
      </c>
      <c r="W288" s="9">
        <f t="shared" ca="1" si="214"/>
        <v>2.9510367150974935E-4</v>
      </c>
      <c r="X288" s="7">
        <f t="shared" ca="1" si="214"/>
        <v>2.7345836220236513E-4</v>
      </c>
      <c r="Y288" s="7">
        <f t="shared" ca="1" si="214"/>
        <v>2.5431897028884131E-4</v>
      </c>
      <c r="Z288" s="7">
        <f t="shared" ca="1" si="214"/>
        <v>2.3763764126032405E-4</v>
      </c>
      <c r="AA288" s="7">
        <f t="shared" ca="1" si="214"/>
        <v>2.2333067945057376E-4</v>
      </c>
      <c r="AB288" s="8">
        <f t="shared" ca="1" si="214"/>
        <v>2.1128761429184921E-4</v>
      </c>
    </row>
    <row r="289" spans="5:28" x14ac:dyDescent="0.25">
      <c r="E289" s="2">
        <f t="shared" si="183"/>
        <v>0.89999999999999991</v>
      </c>
      <c r="H289" s="8">
        <f t="shared" ref="H289:AB289" ca="1" si="215" xml:space="preserve"> (H89+G88+H87+I88-4*H88)/delta^2</f>
        <v>-5.0092845138467767E-4</v>
      </c>
      <c r="I289" s="7">
        <f t="shared" ca="1" si="215"/>
        <v>-4.2600750196964326E-4</v>
      </c>
      <c r="J289" s="7">
        <f t="shared" ca="1" si="215"/>
        <v>-3.5461999910624227E-4</v>
      </c>
      <c r="K289" s="7">
        <f t="shared" ca="1" si="215"/>
        <v>-2.8625226981838218E-4</v>
      </c>
      <c r="L289" s="7">
        <f t="shared" ca="1" si="215"/>
        <v>-2.2040132769752299E-4</v>
      </c>
      <c r="M289" s="7">
        <f t="shared" ca="1" si="215"/>
        <v>-1.5659908573002916E-4</v>
      </c>
      <c r="N289" s="7">
        <f t="shared" ca="1" si="215"/>
        <v>-9.444220894064052E-5</v>
      </c>
      <c r="O289" s="7">
        <f t="shared" ca="1" si="215"/>
        <v>-3.3640934934985906E-5</v>
      </c>
      <c r="P289" s="7">
        <f t="shared" ca="1" si="215"/>
        <v>2.5882420518960871E-5</v>
      </c>
      <c r="Q289" s="7">
        <f t="shared" ca="1" si="215"/>
        <v>8.3759003971636465E-5</v>
      </c>
      <c r="R289" s="7">
        <f t="shared" ca="1" si="215"/>
        <v>1.3852638439279484E-4</v>
      </c>
      <c r="S289" s="7">
        <f t="shared" ca="1" si="215"/>
        <v>1.855869730417285E-4</v>
      </c>
      <c r="T289" s="7">
        <f t="shared" ca="1" si="215"/>
        <v>2.2038862222422843E-4</v>
      </c>
      <c r="U289" s="7">
        <f t="shared" ca="1" si="215"/>
        <v>2.4165858447692737E-4</v>
      </c>
      <c r="V289" s="7">
        <f t="shared" ca="1" si="215"/>
        <v>2.4957856853404995E-4</v>
      </c>
      <c r="W289" s="7">
        <f t="shared" ca="1" si="215"/>
        <v>2.4578434816976616E-4</v>
      </c>
      <c r="X289" s="7">
        <f t="shared" ca="1" si="215"/>
        <v>2.3518947708640008E-4</v>
      </c>
      <c r="Y289" s="7">
        <f t="shared" ca="1" si="215"/>
        <v>2.227486310979161E-4</v>
      </c>
      <c r="Z289" s="7">
        <f t="shared" ca="1" si="215"/>
        <v>2.1027136047539833E-4</v>
      </c>
      <c r="AA289" s="7">
        <f t="shared" ca="1" si="215"/>
        <v>1.9845252091604639E-4</v>
      </c>
      <c r="AB289" s="8">
        <f t="shared" ca="1" si="215"/>
        <v>1.874976426784495E-4</v>
      </c>
    </row>
    <row r="290" spans="5:28" x14ac:dyDescent="0.25">
      <c r="E290" s="2">
        <f t="shared" si="183"/>
        <v>0.79999999999999993</v>
      </c>
      <c r="H290" s="8">
        <f t="shared" ref="H290:AB290" ca="1" si="216" xml:space="preserve"> (H90+G89+H88+I89-4*H89)/delta^2</f>
        <v>-4.5139405102513072E-4</v>
      </c>
      <c r="I290" s="7">
        <f t="shared" ca="1" si="216"/>
        <v>-3.8511437183038136E-4</v>
      </c>
      <c r="J290" s="7">
        <f t="shared" ca="1" si="216"/>
        <v>-3.2165112732276431E-4</v>
      </c>
      <c r="K290" s="7">
        <f t="shared" ca="1" si="216"/>
        <v>-2.6073253970771863E-4</v>
      </c>
      <c r="L290" s="7">
        <f t="shared" ca="1" si="216"/>
        <v>-2.0207378019532915E-4</v>
      </c>
      <c r="M290" s="7">
        <f t="shared" ca="1" si="216"/>
        <v>-1.4541893957934445E-4</v>
      </c>
      <c r="N290" s="7">
        <f t="shared" ca="1" si="216"/>
        <v>-9.0588521999874905E-5</v>
      </c>
      <c r="O290" s="7">
        <f t="shared" ca="1" si="216"/>
        <v>-3.7546000942968633E-5</v>
      </c>
      <c r="P290" s="7">
        <f t="shared" ca="1" si="216"/>
        <v>1.3494123490489928E-5</v>
      </c>
      <c r="Q290" s="7">
        <f t="shared" ca="1" si="216"/>
        <v>6.1879526562350927E-5</v>
      </c>
      <c r="R290" s="7">
        <f t="shared" ca="1" si="216"/>
        <v>1.0621617930827535E-4</v>
      </c>
      <c r="S290" s="7">
        <f t="shared" ca="1" si="216"/>
        <v>1.4407859315306978E-4</v>
      </c>
      <c r="T290" s="7">
        <f t="shared" ca="1" si="216"/>
        <v>1.7315009785132723E-4</v>
      </c>
      <c r="U290" s="7">
        <f t="shared" ca="1" si="216"/>
        <v>1.9241108750038839E-4</v>
      </c>
      <c r="V290" s="7">
        <f t="shared" ca="1" si="216"/>
        <v>2.0200932736502347E-4</v>
      </c>
      <c r="W290" s="7">
        <f t="shared" ca="1" si="216"/>
        <v>2.0325755849478781E-4</v>
      </c>
      <c r="X290" s="7">
        <f t="shared" ca="1" si="216"/>
        <v>1.9875773614520025E-4</v>
      </c>
      <c r="Y290" s="7">
        <f t="shared" ca="1" si="216"/>
        <v>1.9120516748720275E-4</v>
      </c>
      <c r="Z290" s="7">
        <f t="shared" ca="1" si="216"/>
        <v>1.8223637403204805E-4</v>
      </c>
      <c r="AA290" s="7">
        <f t="shared" ca="1" si="216"/>
        <v>1.7269938951424733E-4</v>
      </c>
      <c r="AB290" s="8">
        <f t="shared" ca="1" si="216"/>
        <v>1.6292462995063509E-4</v>
      </c>
    </row>
    <row r="291" spans="5:28" x14ac:dyDescent="0.25">
      <c r="E291" s="2">
        <f t="shared" si="183"/>
        <v>0.7</v>
      </c>
      <c r="H291" s="8">
        <f t="shared" ref="H291:AB291" ca="1" si="217" xml:space="preserve"> (H91+G90+H89+I90-4*H90)/delta^2</f>
        <v>-3.9883089164202495E-4</v>
      </c>
      <c r="I291" s="7">
        <f t="shared" ca="1" si="217"/>
        <v>-3.4140493595284757E-4</v>
      </c>
      <c r="J291" s="7">
        <f t="shared" ca="1" si="217"/>
        <v>-2.8613794599803962E-4</v>
      </c>
      <c r="K291" s="7">
        <f t="shared" ca="1" si="217"/>
        <v>-2.329536283491746E-4</v>
      </c>
      <c r="L291" s="7">
        <f t="shared" ca="1" si="217"/>
        <v>-1.8174332983411355E-4</v>
      </c>
      <c r="M291" s="7">
        <f t="shared" ca="1" si="217"/>
        <v>-1.3241581485287806E-4</v>
      </c>
      <c r="N291" s="7">
        <f t="shared" ca="1" si="217"/>
        <v>-8.4948861144758516E-5</v>
      </c>
      <c r="O291" s="7">
        <f t="shared" ca="1" si="217"/>
        <v>-3.9451112169376671E-5</v>
      </c>
      <c r="P291" s="7">
        <f t="shared" ca="1" si="217"/>
        <v>3.7575534473689451E-6</v>
      </c>
      <c r="Q291" s="7">
        <f t="shared" ca="1" si="217"/>
        <v>4.4045226211771899E-5</v>
      </c>
      <c r="R291" s="7">
        <f t="shared" ca="1" si="217"/>
        <v>8.0376040709233989E-5</v>
      </c>
      <c r="S291" s="7">
        <f t="shared" ca="1" si="217"/>
        <v>1.1135633582709089E-4</v>
      </c>
      <c r="T291" s="7">
        <f t="shared" ca="1" si="217"/>
        <v>1.3571667710277673E-4</v>
      </c>
      <c r="U291" s="7">
        <f t="shared" ca="1" si="217"/>
        <v>1.5282029678426089E-4</v>
      </c>
      <c r="V291" s="7">
        <f t="shared" ca="1" si="217"/>
        <v>1.6278341447805136E-4</v>
      </c>
      <c r="W291" s="7">
        <f t="shared" ca="1" si="217"/>
        <v>1.6647150146291724E-4</v>
      </c>
      <c r="X291" s="7">
        <f t="shared" ca="1" si="217"/>
        <v>1.6537077708200394E-4</v>
      </c>
      <c r="Y291" s="7">
        <f t="shared" ca="1" si="217"/>
        <v>1.6106931645501517E-4</v>
      </c>
      <c r="Z291" s="7">
        <f t="shared" ca="1" si="217"/>
        <v>1.5476031213485081E-4</v>
      </c>
      <c r="AA291" s="7">
        <f t="shared" ca="1" si="217"/>
        <v>1.4717410205806848E-4</v>
      </c>
      <c r="AB291" s="8">
        <f t="shared" ca="1" si="217"/>
        <v>1.386369840617905E-4</v>
      </c>
    </row>
    <row r="292" spans="5:28" x14ac:dyDescent="0.25">
      <c r="E292" s="2">
        <f t="shared" si="183"/>
        <v>0.6</v>
      </c>
      <c r="H292" s="8">
        <f t="shared" ref="H292:AB292" ca="1" si="218" xml:space="preserve"> (H92+G91+H90+I91-4*H91)/delta^2</f>
        <v>-3.4412102919443189E-4</v>
      </c>
      <c r="I292" s="7">
        <f t="shared" ca="1" si="218"/>
        <v>-2.955366490700315E-4</v>
      </c>
      <c r="J292" s="7">
        <f t="shared" ca="1" si="218"/>
        <v>-2.4854240052207691E-4</v>
      </c>
      <c r="K292" s="7">
        <f t="shared" ca="1" si="218"/>
        <v>-2.0320127118508624E-4</v>
      </c>
      <c r="L292" s="7">
        <f t="shared" ca="1" si="218"/>
        <v>-1.5953099608527615E-4</v>
      </c>
      <c r="M292" s="7">
        <f t="shared" ca="1" si="218"/>
        <v>-1.1755340822753818E-4</v>
      </c>
      <c r="N292" s="7">
        <f t="shared" ca="1" si="218"/>
        <v>-7.7341698150046309E-5</v>
      </c>
      <c r="O292" s="7">
        <f t="shared" ca="1" si="218"/>
        <v>-3.9069302198028505E-5</v>
      </c>
      <c r="P292" s="7">
        <f t="shared" ca="1" si="218"/>
        <v>-3.0606749326872545E-6</v>
      </c>
      <c r="Q292" s="7">
        <f t="shared" ca="1" si="218"/>
        <v>3.0164620592760393E-5</v>
      </c>
      <c r="R292" s="7">
        <f t="shared" ca="1" si="218"/>
        <v>5.9882727686857407E-5</v>
      </c>
      <c r="S292" s="7">
        <f t="shared" ca="1" si="218"/>
        <v>8.5249794984457723E-5</v>
      </c>
      <c r="T292" s="7">
        <f t="shared" ca="1" si="218"/>
        <v>1.0553518759107017E-4</v>
      </c>
      <c r="U292" s="7">
        <f t="shared" ca="1" si="218"/>
        <v>1.2036465827688477E-4</v>
      </c>
      <c r="V292" s="7">
        <f t="shared" ca="1" si="218"/>
        <v>1.2982661882429428E-4</v>
      </c>
      <c r="W292" s="7">
        <f t="shared" ca="1" si="218"/>
        <v>1.3446777556470888E-4</v>
      </c>
      <c r="X292" s="7">
        <f t="shared" ca="1" si="218"/>
        <v>1.351775044307942E-4</v>
      </c>
      <c r="Y292" s="7">
        <f t="shared" ca="1" si="218"/>
        <v>1.3293338596510795E-4</v>
      </c>
      <c r="Z292" s="7">
        <f t="shared" ca="1" si="218"/>
        <v>1.2855325376182359E-4</v>
      </c>
      <c r="AA292" s="7">
        <f t="shared" ca="1" si="218"/>
        <v>1.2259093210466177E-4</v>
      </c>
      <c r="AB292" s="8">
        <f t="shared" ca="1" si="218"/>
        <v>1.1531828690332236E-4</v>
      </c>
    </row>
    <row r="293" spans="5:28" x14ac:dyDescent="0.25">
      <c r="E293" s="2">
        <f t="shared" si="183"/>
        <v>0.5</v>
      </c>
      <c r="H293" s="8">
        <f t="shared" ref="H293:AB293" ca="1" si="219" xml:space="preserve"> (H93+G92+H91+I92-4*H92)/delta^2</f>
        <v>-2.8798600964915149E-4</v>
      </c>
      <c r="I293" s="7">
        <f t="shared" ca="1" si="219"/>
        <v>-2.4807833043050402E-4</v>
      </c>
      <c r="J293" s="7">
        <f t="shared" ca="1" si="219"/>
        <v>-2.0929400293955643E-4</v>
      </c>
      <c r="K293" s="7">
        <f t="shared" ca="1" si="219"/>
        <v>-1.7177855613401499E-4</v>
      </c>
      <c r="L293" s="7">
        <f t="shared" ca="1" si="219"/>
        <v>-1.3562675392644427E-4</v>
      </c>
      <c r="M293" s="7">
        <f t="shared" ca="1" si="219"/>
        <v>-1.0092623039713798E-4</v>
      </c>
      <c r="N293" s="7">
        <f t="shared" ca="1" si="219"/>
        <v>-6.7796693338167748E-5</v>
      </c>
      <c r="O293" s="7">
        <f t="shared" ca="1" si="219"/>
        <v>-3.642559297119512E-5</v>
      </c>
      <c r="P293" s="7">
        <f t="shared" ca="1" si="219"/>
        <v>-7.0978635680269444E-6</v>
      </c>
      <c r="Q293" s="7">
        <f t="shared" ca="1" si="219"/>
        <v>1.978846871062453E-5</v>
      </c>
      <c r="R293" s="7">
        <f t="shared" ca="1" si="219"/>
        <v>4.3737261591587433E-5</v>
      </c>
      <c r="S293" s="7">
        <f t="shared" ca="1" si="219"/>
        <v>6.422126631400528E-5</v>
      </c>
      <c r="T293" s="7">
        <f t="shared" ca="1" si="219"/>
        <v>8.0805479677457663E-5</v>
      </c>
      <c r="U293" s="7">
        <f t="shared" ca="1" si="219"/>
        <v>9.3271906234225908E-5</v>
      </c>
      <c r="V293" s="7">
        <f t="shared" ca="1" si="219"/>
        <v>1.0168551625854438E-4</v>
      </c>
      <c r="W293" s="7">
        <f t="shared" ca="1" si="219"/>
        <v>1.0638987713096953E-4</v>
      </c>
      <c r="X293" s="7">
        <f t="shared" ca="1" si="219"/>
        <v>1.0793198654808573E-4</v>
      </c>
      <c r="Y293" s="7">
        <f t="shared" ca="1" si="219"/>
        <v>1.0692688128110126E-4</v>
      </c>
      <c r="Z293" s="7">
        <f t="shared" ca="1" si="219"/>
        <v>1.0392129655683451E-4</v>
      </c>
      <c r="AA293" s="7">
        <f t="shared" ca="1" si="219"/>
        <v>9.9310489186518126E-5</v>
      </c>
      <c r="AB293" s="8">
        <f t="shared" ca="1" si="219"/>
        <v>9.3303557754541199E-5</v>
      </c>
    </row>
    <row r="294" spans="5:28" x14ac:dyDescent="0.25">
      <c r="E294" s="2">
        <f t="shared" si="183"/>
        <v>0.4</v>
      </c>
      <c r="H294" s="8">
        <f t="shared" ref="H294:AB294" ca="1" si="220" xml:space="preserve"> (H94+G93+H92+I93-4*H93)/delta^2</f>
        <v>-2.3097464787353371E-4</v>
      </c>
      <c r="I294" s="7">
        <f t="shared" ca="1" si="220"/>
        <v>-1.9949674437557988E-4</v>
      </c>
      <c r="J294" s="7">
        <f t="shared" ca="1" si="220"/>
        <v>-1.6877694912362319E-4</v>
      </c>
      <c r="K294" s="7">
        <f t="shared" ca="1" si="220"/>
        <v>-1.3899261287700441E-4</v>
      </c>
      <c r="L294" s="7">
        <f t="shared" ca="1" si="220"/>
        <v>-1.1027188592717003E-4</v>
      </c>
      <c r="M294" s="7">
        <f t="shared" ca="1" si="220"/>
        <v>-8.272899321794582E-5</v>
      </c>
      <c r="N294" s="7">
        <f t="shared" ca="1" si="220"/>
        <v>-5.6494484997803222E-5</v>
      </c>
      <c r="O294" s="7">
        <f t="shared" ca="1" si="220"/>
        <v>-3.1740078225778107E-5</v>
      </c>
      <c r="P294" s="7">
        <f t="shared" ca="1" si="220"/>
        <v>-8.6955740716574753E-6</v>
      </c>
      <c r="Q294" s="7">
        <f t="shared" ca="1" si="220"/>
        <v>1.234756685571808E-5</v>
      </c>
      <c r="R294" s="7">
        <f t="shared" ca="1" si="220"/>
        <v>3.1053910972208972E-5</v>
      </c>
      <c r="S294" s="7">
        <f t="shared" ca="1" si="220"/>
        <v>4.7089463417834423E-5</v>
      </c>
      <c r="T294" s="7">
        <f t="shared" ca="1" si="220"/>
        <v>6.0190093268400915E-5</v>
      </c>
      <c r="U294" s="7">
        <f t="shared" ca="1" si="220"/>
        <v>7.0228101067517276E-5</v>
      </c>
      <c r="V294" s="7">
        <f t="shared" ca="1" si="220"/>
        <v>7.7249385744285396E-5</v>
      </c>
      <c r="W294" s="7">
        <f t="shared" ca="1" si="220"/>
        <v>8.1469543392964972E-5</v>
      </c>
      <c r="X294" s="7">
        <f t="shared" ca="1" si="220"/>
        <v>8.3228584866156221E-5</v>
      </c>
      <c r="Y294" s="7">
        <f t="shared" ca="1" si="220"/>
        <v>8.2915343150918503E-5</v>
      </c>
      <c r="Z294" s="7">
        <f t="shared" ca="1" si="220"/>
        <v>8.0888630495166793E-5</v>
      </c>
      <c r="AA294" s="7">
        <f t="shared" ca="1" si="220"/>
        <v>7.7419813637540587E-5</v>
      </c>
      <c r="AB294" s="8">
        <f t="shared" ca="1" si="220"/>
        <v>7.26619222307591E-5</v>
      </c>
    </row>
    <row r="295" spans="5:28" x14ac:dyDescent="0.25">
      <c r="E295" s="2">
        <f t="shared" si="183"/>
        <v>0.30000000000000004</v>
      </c>
      <c r="H295" s="8">
        <f t="shared" ref="H295:AB295" ca="1" si="221" xml:space="preserve"> (H95+G94+H93+I94-4*H94)/delta^2</f>
        <v>-1.7347287264822832E-4</v>
      </c>
      <c r="I295" s="7">
        <f t="shared" ca="1" si="221"/>
        <v>-1.5015711837610359E-4</v>
      </c>
      <c r="J295" s="7">
        <f t="shared" ca="1" si="221"/>
        <v>-1.2732461675983475E-4</v>
      </c>
      <c r="K295" s="7">
        <f t="shared" ca="1" si="221"/>
        <v>-1.0514339426427278E-4</v>
      </c>
      <c r="L295" s="7">
        <f t="shared" ca="1" si="221"/>
        <v>-8.3739706618482157E-5</v>
      </c>
      <c r="M295" s="7">
        <f t="shared" ca="1" si="221"/>
        <v>-6.3224113656566095E-5</v>
      </c>
      <c r="N295" s="7">
        <f t="shared" ca="1" si="221"/>
        <v>-4.3713161825765692E-5</v>
      </c>
      <c r="O295" s="7">
        <f t="shared" ca="1" si="221"/>
        <v>-2.5345912918470276E-5</v>
      </c>
      <c r="P295" s="7">
        <f t="shared" ca="1" si="221"/>
        <v>-8.2934558052544698E-6</v>
      </c>
      <c r="Q295" s="7">
        <f t="shared" ca="1" si="221"/>
        <v>7.2416315325199155E-6</v>
      </c>
      <c r="R295" s="7">
        <f t="shared" ca="1" si="221"/>
        <v>2.1039215608080146E-5</v>
      </c>
      <c r="S295" s="7">
        <f t="shared" ca="1" si="221"/>
        <v>3.2890132918382937E-5</v>
      </c>
      <c r="T295" s="7">
        <f t="shared" ca="1" si="221"/>
        <v>4.2634559496051206E-5</v>
      </c>
      <c r="U295" s="7">
        <f t="shared" ca="1" si="221"/>
        <v>5.0197926694355015E-5</v>
      </c>
      <c r="V295" s="7">
        <f t="shared" ca="1" si="221"/>
        <v>5.5610964549811093E-5</v>
      </c>
      <c r="W295" s="7">
        <f t="shared" ca="1" si="221"/>
        <v>5.9006580971810045E-5</v>
      </c>
      <c r="X295" s="7">
        <f t="shared" ca="1" si="221"/>
        <v>6.0593392709476965E-5</v>
      </c>
      <c r="Y295" s="7">
        <f t="shared" ca="1" si="221"/>
        <v>6.0612871331187346E-5</v>
      </c>
      <c r="Z295" s="7">
        <f t="shared" ca="1" si="221"/>
        <v>5.9293329689169807E-5</v>
      </c>
      <c r="AA295" s="7">
        <f t="shared" ca="1" si="221"/>
        <v>5.6813134098414826E-5</v>
      </c>
      <c r="AB295" s="8">
        <f t="shared" ca="1" si="221"/>
        <v>5.3278479813465558E-5</v>
      </c>
    </row>
    <row r="296" spans="5:28" x14ac:dyDescent="0.25">
      <c r="E296" s="2">
        <f t="shared" si="183"/>
        <v>0.2</v>
      </c>
      <c r="H296" s="8">
        <f t="shared" ref="H296:AB296" ca="1" si="222" xml:space="preserve"> (H96+G95+H94+I95-4*H95)/delta^2</f>
        <v>-1.1572799339986624E-4</v>
      </c>
      <c r="I296" s="7">
        <f t="shared" ca="1" si="222"/>
        <v>-1.0033429160506494E-4</v>
      </c>
      <c r="J296" s="7">
        <f t="shared" ca="1" si="222"/>
        <v>-8.5221140662856962E-5</v>
      </c>
      <c r="K296" s="7">
        <f t="shared" ca="1" si="222"/>
        <v>-7.0516890298763572E-5</v>
      </c>
      <c r="L296" s="7">
        <f t="shared" ca="1" si="222"/>
        <v>-5.6319822525677344E-5</v>
      </c>
      <c r="M296" s="7">
        <f t="shared" ca="1" si="222"/>
        <v>-4.2715145617292848E-5</v>
      </c>
      <c r="N296" s="7">
        <f t="shared" ca="1" si="222"/>
        <v>-2.9788869892868391E-5</v>
      </c>
      <c r="O296" s="7">
        <f t="shared" ca="1" si="222"/>
        <v>-1.7637886982398856E-5</v>
      </c>
      <c r="P296" s="7">
        <f t="shared" ca="1" si="222"/>
        <v>-6.3751084844508926E-6</v>
      </c>
      <c r="Q296" s="7">
        <f t="shared" ca="1" si="222"/>
        <v>3.8718392632059321E-6</v>
      </c>
      <c r="R296" s="7">
        <f t="shared" ca="1" si="222"/>
        <v>1.2969599683403022E-5</v>
      </c>
      <c r="S296" s="7">
        <f t="shared" ca="1" si="222"/>
        <v>2.0795473052926031E-5</v>
      </c>
      <c r="T296" s="7">
        <f t="shared" ca="1" si="222"/>
        <v>2.7258028213226835E-5</v>
      </c>
      <c r="U296" s="7">
        <f t="shared" ca="1" si="222"/>
        <v>3.2315785247996494E-5</v>
      </c>
      <c r="V296" s="7">
        <f t="shared" ca="1" si="222"/>
        <v>3.5987427020857056E-5</v>
      </c>
      <c r="W296" s="7">
        <f t="shared" ca="1" si="222"/>
        <v>3.8349642799849388E-5</v>
      </c>
      <c r="X296" s="7">
        <f t="shared" ca="1" si="222"/>
        <v>3.9522509332574542E-5</v>
      </c>
      <c r="Y296" s="7">
        <f t="shared" ca="1" si="222"/>
        <v>3.9646149921997071E-5</v>
      </c>
      <c r="Z296" s="7">
        <f t="shared" ca="1" si="222"/>
        <v>3.8855164960282589E-5</v>
      </c>
      <c r="AA296" s="7">
        <f t="shared" ca="1" si="222"/>
        <v>3.7257143427956312E-5</v>
      </c>
      <c r="AB296" s="8">
        <f t="shared" ca="1" si="222"/>
        <v>3.4918915107015216E-5</v>
      </c>
    </row>
    <row r="297" spans="5:28" x14ac:dyDescent="0.25">
      <c r="E297" s="2">
        <f t="shared" si="183"/>
        <v>0.1</v>
      </c>
      <c r="H297" s="8">
        <f t="shared" ref="H297:AB297" ca="1" si="223" xml:space="preserve"> (H97+G96+H95+I96-4*H96)/delta^2</f>
        <v>-5.7880669685989925E-5</v>
      </c>
      <c r="I297" s="7">
        <f t="shared" ca="1" si="223"/>
        <v>-5.0230949141165204E-5</v>
      </c>
      <c r="J297" s="7">
        <f t="shared" ca="1" si="223"/>
        <v>-4.2708853501279619E-5</v>
      </c>
      <c r="K297" s="7">
        <f t="shared" ca="1" si="223"/>
        <v>-3.5383367310852473E-5</v>
      </c>
      <c r="L297" s="7">
        <f t="shared" ca="1" si="223"/>
        <v>-2.8307802113629144E-5</v>
      </c>
      <c r="M297" s="7">
        <f t="shared" ca="1" si="223"/>
        <v>-2.1528136297374589E-5</v>
      </c>
      <c r="N297" s="7">
        <f t="shared" ca="1" si="223"/>
        <v>-1.5089762471823093E-5</v>
      </c>
      <c r="O297" s="7">
        <f t="shared" ca="1" si="223"/>
        <v>-9.042261344655807E-6</v>
      </c>
      <c r="P297" s="7">
        <f t="shared" ca="1" si="223"/>
        <v>-3.4416705779752237E-6</v>
      </c>
      <c r="Q297" s="7">
        <f t="shared" ca="1" si="223"/>
        <v>1.6503523222148723E-6</v>
      </c>
      <c r="R297" s="7">
        <f t="shared" ca="1" si="223"/>
        <v>6.1708420761056792E-6</v>
      </c>
      <c r="S297" s="7">
        <f t="shared" ca="1" si="223"/>
        <v>1.0062952299611209E-5</v>
      </c>
      <c r="T297" s="7">
        <f t="shared" ca="1" si="223"/>
        <v>1.3284963016955527E-5</v>
      </c>
      <c r="U297" s="7">
        <f t="shared" ca="1" si="223"/>
        <v>1.5818272327542854E-5</v>
      </c>
      <c r="V297" s="7">
        <f t="shared" ca="1" si="223"/>
        <v>1.7671672878487599E-5</v>
      </c>
      <c r="W297" s="7">
        <f t="shared" ca="1" si="223"/>
        <v>1.8880254544170225E-5</v>
      </c>
      <c r="X297" s="7">
        <f t="shared" ca="1" si="223"/>
        <v>1.9498895040230142E-5</v>
      </c>
      <c r="Y297" s="7">
        <f t="shared" ca="1" si="223"/>
        <v>1.9591938616003828E-5</v>
      </c>
      <c r="Z297" s="7">
        <f t="shared" ca="1" si="223"/>
        <v>1.9221761124517288E-5</v>
      </c>
      <c r="AA297" s="7">
        <f t="shared" ca="1" si="223"/>
        <v>1.8438921064621233E-5</v>
      </c>
      <c r="AB297" s="8">
        <f t="shared" ca="1" si="223"/>
        <v>1.7275687167606206E-5</v>
      </c>
    </row>
    <row r="298" spans="5:28" x14ac:dyDescent="0.25">
      <c r="E298" s="2">
        <v>0</v>
      </c>
      <c r="H298" s="8">
        <f t="shared" ref="H298:AB298" si="224" xml:space="preserve"> (H98+G97+H96+I97-4*H97)/delta^2</f>
        <v>0</v>
      </c>
      <c r="I298" s="8">
        <f t="shared" ca="1" si="224"/>
        <v>0</v>
      </c>
      <c r="J298" s="8">
        <f t="shared" ca="1" si="224"/>
        <v>0</v>
      </c>
      <c r="K298" s="8">
        <f t="shared" ca="1" si="224"/>
        <v>0</v>
      </c>
      <c r="L298" s="8">
        <f t="shared" ca="1" si="224"/>
        <v>0</v>
      </c>
      <c r="M298" s="8">
        <f t="shared" ca="1" si="224"/>
        <v>0</v>
      </c>
      <c r="N298" s="8">
        <f t="shared" ca="1" si="224"/>
        <v>0</v>
      </c>
      <c r="O298" s="8">
        <f t="shared" ca="1" si="224"/>
        <v>0</v>
      </c>
      <c r="P298" s="8">
        <f t="shared" ca="1" si="224"/>
        <v>0</v>
      </c>
      <c r="Q298" s="8">
        <f t="shared" ca="1" si="224"/>
        <v>0</v>
      </c>
      <c r="R298" s="8">
        <f t="shared" ca="1" si="224"/>
        <v>0</v>
      </c>
      <c r="S298" s="8">
        <f t="shared" ca="1" si="224"/>
        <v>0</v>
      </c>
      <c r="T298" s="8">
        <f t="shared" ca="1" si="224"/>
        <v>0</v>
      </c>
      <c r="U298" s="8">
        <f t="shared" ca="1" si="224"/>
        <v>0</v>
      </c>
      <c r="V298" s="8">
        <f t="shared" ca="1" si="224"/>
        <v>0</v>
      </c>
      <c r="W298" s="8">
        <f t="shared" ca="1" si="224"/>
        <v>0</v>
      </c>
      <c r="X298" s="8">
        <f t="shared" ca="1" si="224"/>
        <v>0</v>
      </c>
      <c r="Y298" s="8">
        <f t="shared" ca="1" si="224"/>
        <v>0</v>
      </c>
      <c r="Z298" s="8">
        <f t="shared" ca="1" si="224"/>
        <v>0</v>
      </c>
      <c r="AA298" s="8">
        <f t="shared" ca="1" si="224"/>
        <v>0</v>
      </c>
      <c r="AB298" s="8">
        <f t="shared" ca="1" si="224"/>
        <v>0</v>
      </c>
    </row>
    <row r="303" spans="5:28" ht="18.75" x14ac:dyDescent="0.3">
      <c r="E303" s="1" t="s">
        <v>29</v>
      </c>
    </row>
    <row r="304" spans="5:28" x14ac:dyDescent="0.25">
      <c r="H304" s="16" t="s">
        <v>17</v>
      </c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</row>
    <row r="305" spans="4:28" x14ac:dyDescent="0.25">
      <c r="H305" s="2">
        <v>0</v>
      </c>
      <c r="I305" s="2">
        <f t="shared" ref="I305:AB305" si="225">+H305+delta</f>
        <v>0.1</v>
      </c>
      <c r="J305" s="2">
        <f t="shared" si="225"/>
        <v>0.2</v>
      </c>
      <c r="K305" s="2">
        <f t="shared" si="225"/>
        <v>0.30000000000000004</v>
      </c>
      <c r="L305" s="2">
        <f t="shared" si="225"/>
        <v>0.4</v>
      </c>
      <c r="M305" s="2">
        <f t="shared" si="225"/>
        <v>0.5</v>
      </c>
      <c r="N305" s="2">
        <f t="shared" si="225"/>
        <v>0.6</v>
      </c>
      <c r="O305" s="2">
        <f t="shared" si="225"/>
        <v>0.7</v>
      </c>
      <c r="P305" s="2">
        <f t="shared" si="225"/>
        <v>0.79999999999999993</v>
      </c>
      <c r="Q305" s="2">
        <f t="shared" si="225"/>
        <v>0.89999999999999991</v>
      </c>
      <c r="R305" s="2">
        <f t="shared" si="225"/>
        <v>0.99999999999999989</v>
      </c>
      <c r="S305" s="2">
        <f t="shared" si="225"/>
        <v>1.0999999999999999</v>
      </c>
      <c r="T305" s="2">
        <f t="shared" si="225"/>
        <v>1.2</v>
      </c>
      <c r="U305" s="2">
        <f t="shared" si="225"/>
        <v>1.3</v>
      </c>
      <c r="V305" s="2">
        <f t="shared" si="225"/>
        <v>1.4000000000000001</v>
      </c>
      <c r="W305" s="2">
        <f t="shared" si="225"/>
        <v>1.5000000000000002</v>
      </c>
      <c r="X305" s="2">
        <f t="shared" si="225"/>
        <v>1.6000000000000003</v>
      </c>
      <c r="Y305" s="2">
        <f t="shared" si="225"/>
        <v>1.7000000000000004</v>
      </c>
      <c r="Z305" s="2">
        <f t="shared" si="225"/>
        <v>1.8000000000000005</v>
      </c>
      <c r="AA305" s="2">
        <f t="shared" si="225"/>
        <v>1.9000000000000006</v>
      </c>
      <c r="AB305" s="2">
        <f t="shared" si="225"/>
        <v>2.0000000000000004</v>
      </c>
    </row>
    <row r="308" spans="4:28" x14ac:dyDescent="0.25">
      <c r="D308" s="17" t="s">
        <v>16</v>
      </c>
      <c r="E308" s="2">
        <f t="shared" ref="E308:E347" si="226">E309+delta</f>
        <v>4.0000000000000018</v>
      </c>
      <c r="H308" s="10">
        <f t="shared" ref="H308:H348" ca="1" si="227">-D*(I258-H258)/delta</f>
        <v>-1.9438055608063004E-5</v>
      </c>
      <c r="I308" s="3">
        <f t="shared" ref="I308:AA308" ca="1" si="228">-D*(J258-H258)/(2*delta)</f>
        <v>-3.6431262983181229E-5</v>
      </c>
      <c r="J308" s="3">
        <f t="shared" ca="1" si="228"/>
        <v>-6.8193697445557852E-5</v>
      </c>
      <c r="K308" s="3">
        <f t="shared" ca="1" si="228"/>
        <v>-9.570526874711013E-5</v>
      </c>
      <c r="L308" s="3">
        <f t="shared" ca="1" si="228"/>
        <v>-1.1934155974025577E-4</v>
      </c>
      <c r="M308" s="3">
        <f t="shared" ca="1" si="228"/>
        <v>-1.3944533724089274E-4</v>
      </c>
      <c r="N308" s="3">
        <f t="shared" ca="1" si="228"/>
        <v>-1.5633481355839638E-4</v>
      </c>
      <c r="O308" s="3">
        <f t="shared" ca="1" si="228"/>
        <v>-1.7031078286909576E-4</v>
      </c>
      <c r="P308" s="3">
        <f t="shared" ca="1" si="228"/>
        <v>-1.8166295665621437E-4</v>
      </c>
      <c r="Q308" s="3">
        <f t="shared" ca="1" si="228"/>
        <v>-1.9067565394893297E-4</v>
      </c>
      <c r="R308" s="3">
        <f t="shared" ca="1" si="228"/>
        <v>-1.9763298100012743E-4</v>
      </c>
      <c r="S308" s="3">
        <f t="shared" ca="1" si="228"/>
        <v>-2.0282365998500863E-4</v>
      </c>
      <c r="T308" s="3">
        <f t="shared" ca="1" si="228"/>
        <v>-2.065456123452673E-4</v>
      </c>
      <c r="U308" s="3">
        <f t="shared" ca="1" si="228"/>
        <v>-2.0911047697683876E-4</v>
      </c>
      <c r="V308" s="3">
        <f t="shared" ca="1" si="228"/>
        <v>-2.1084801032172711E-4</v>
      </c>
      <c r="W308" s="3">
        <f t="shared" ca="1" si="228"/>
        <v>-2.1211079798877442E-4</v>
      </c>
      <c r="X308" s="3">
        <f t="shared" ca="1" si="228"/>
        <v>-2.1327917813266712E-4</v>
      </c>
      <c r="Y308" s="3">
        <f t="shared" ca="1" si="228"/>
        <v>-2.1476659242168855E-4</v>
      </c>
      <c r="Z308" s="3">
        <f t="shared" ca="1" si="228"/>
        <v>-2.1702619533807185E-4</v>
      </c>
      <c r="AA308" s="3">
        <f t="shared" ca="1" si="228"/>
        <v>-2.2055892135236868E-4</v>
      </c>
      <c r="AB308" s="10">
        <f t="shared" ref="AB308:AB348" ca="1" si="229">-D*(AB258-AA258)/delta</f>
        <v>-2.227094443431503E-4</v>
      </c>
    </row>
    <row r="309" spans="4:28" x14ac:dyDescent="0.25">
      <c r="D309" s="17"/>
      <c r="E309" s="2">
        <f t="shared" si="226"/>
        <v>3.9000000000000021</v>
      </c>
      <c r="H309" s="10">
        <f t="shared" ca="1" si="227"/>
        <v>-42.094595900402986</v>
      </c>
      <c r="I309" s="4">
        <f t="shared" ref="I309:AA309" ca="1" si="230">-D*(J259-H259)/(2*delta)</f>
        <v>-43.442711713394786</v>
      </c>
      <c r="J309" s="4">
        <f t="shared" ca="1" si="230"/>
        <v>-45.679780756780183</v>
      </c>
      <c r="K309" s="4">
        <f t="shared" ca="1" si="230"/>
        <v>-47.021722382096613</v>
      </c>
      <c r="L309" s="4">
        <f t="shared" ca="1" si="230"/>
        <v>-47.519330495862683</v>
      </c>
      <c r="M309" s="4">
        <f t="shared" ca="1" si="230"/>
        <v>-47.23092577942564</v>
      </c>
      <c r="N309" s="4">
        <f t="shared" ca="1" si="230"/>
        <v>-46.22021646673528</v>
      </c>
      <c r="O309" s="4">
        <f t="shared" ca="1" si="230"/>
        <v>-44.554872953319048</v>
      </c>
      <c r="P309" s="4">
        <f t="shared" ca="1" si="230"/>
        <v>-42.305609199560166</v>
      </c>
      <c r="Q309" s="4">
        <f t="shared" ca="1" si="230"/>
        <v>-39.545526347934242</v>
      </c>
      <c r="R309" s="4">
        <f t="shared" ca="1" si="230"/>
        <v>-36.349485241836895</v>
      </c>
      <c r="S309" s="4">
        <f t="shared" ca="1" si="230"/>
        <v>-32.793330181983606</v>
      </c>
      <c r="T309" s="4">
        <f t="shared" ca="1" si="230"/>
        <v>-28.952875683257691</v>
      </c>
      <c r="U309" s="4">
        <f t="shared" ca="1" si="230"/>
        <v>-24.902673730194245</v>
      </c>
      <c r="V309" s="4">
        <f t="shared" ca="1" si="230"/>
        <v>-20.714678418454088</v>
      </c>
      <c r="W309" s="4">
        <f t="shared" ca="1" si="230"/>
        <v>-16.456994568423788</v>
      </c>
      <c r="X309" s="4">
        <f t="shared" ca="1" si="230"/>
        <v>-12.19291896956744</v>
      </c>
      <c r="Y309" s="4">
        <f t="shared" ca="1" si="230"/>
        <v>-7.980449990066556</v>
      </c>
      <c r="Z309" s="4">
        <f t="shared" ca="1" si="230"/>
        <v>-3.8723580090512359</v>
      </c>
      <c r="AA309" s="4">
        <f t="shared" ca="1" si="230"/>
        <v>8.3213156769388549E-2</v>
      </c>
      <c r="AB309" s="10">
        <f t="shared" ca="1" si="229"/>
        <v>2.0171134024760398</v>
      </c>
    </row>
    <row r="310" spans="4:28" x14ac:dyDescent="0.25">
      <c r="D310" s="17"/>
      <c r="E310" s="2">
        <f t="shared" si="226"/>
        <v>3.800000000000002</v>
      </c>
      <c r="H310" s="10">
        <f t="shared" ca="1" si="227"/>
        <v>-85.141226237043895</v>
      </c>
      <c r="I310" s="4">
        <f t="shared" ref="I310:AA310" ca="1" si="231">-D*(J260-H260)/(2*delta)</f>
        <v>-87.820156462769688</v>
      </c>
      <c r="J310" s="4">
        <f t="shared" ca="1" si="231"/>
        <v>-92.253616528504779</v>
      </c>
      <c r="K310" s="4">
        <f t="shared" ca="1" si="231"/>
        <v>-94.886373315555801</v>
      </c>
      <c r="L310" s="4">
        <f t="shared" ca="1" si="231"/>
        <v>-95.82298447155091</v>
      </c>
      <c r="M310" s="4">
        <f t="shared" ca="1" si="231"/>
        <v>-95.18222631247238</v>
      </c>
      <c r="N310" s="4">
        <f t="shared" ca="1" si="231"/>
        <v>-93.092936699791281</v>
      </c>
      <c r="O310" s="4">
        <f t="shared" ca="1" si="231"/>
        <v>-89.691371208462215</v>
      </c>
      <c r="P310" s="4">
        <f t="shared" ca="1" si="231"/>
        <v>-85.119610435763178</v>
      </c>
      <c r="Q310" s="4">
        <f t="shared" ca="1" si="231"/>
        <v>-79.524480478552675</v>
      </c>
      <c r="R310" s="4">
        <f t="shared" ca="1" si="231"/>
        <v>-73.056475569925226</v>
      </c>
      <c r="S310" s="4">
        <f t="shared" ca="1" si="231"/>
        <v>-65.86829376883739</v>
      </c>
      <c r="T310" s="4">
        <f t="shared" ca="1" si="231"/>
        <v>-58.11279291650466</v>
      </c>
      <c r="U310" s="4">
        <f t="shared" ca="1" si="231"/>
        <v>-49.940408203133877</v>
      </c>
      <c r="V310" s="4">
        <f t="shared" ca="1" si="231"/>
        <v>-41.496294805923149</v>
      </c>
      <c r="W310" s="4">
        <f t="shared" ca="1" si="231"/>
        <v>-32.917616396039108</v>
      </c>
      <c r="X310" s="4">
        <f t="shared" ca="1" si="231"/>
        <v>-24.331451828238485</v>
      </c>
      <c r="Y310" s="4">
        <f t="shared" ca="1" si="231"/>
        <v>-15.85372182596844</v>
      </c>
      <c r="Z310" s="4">
        <f t="shared" ca="1" si="231"/>
        <v>-7.5893595866542682</v>
      </c>
      <c r="AA310" s="4">
        <f t="shared" ca="1" si="231"/>
        <v>0.36629310064336301</v>
      </c>
      <c r="AB310" s="10">
        <f t="shared" ca="1" si="229"/>
        <v>4.2555621804594201</v>
      </c>
    </row>
    <row r="311" spans="4:28" x14ac:dyDescent="0.25">
      <c r="D311" s="17"/>
      <c r="E311" s="2">
        <f t="shared" si="226"/>
        <v>3.700000000000002</v>
      </c>
      <c r="H311" s="10">
        <f t="shared" ca="1" si="227"/>
        <v>-130.1083639875404</v>
      </c>
      <c r="I311" s="4">
        <f t="shared" ref="I311:AA311" ca="1" si="232">-D*(J261-H261)/(2*delta)</f>
        <v>-134.08147594814778</v>
      </c>
      <c r="J311" s="4">
        <f t="shared" ca="1" si="232"/>
        <v>-140.62629893924623</v>
      </c>
      <c r="K311" s="4">
        <f t="shared" ca="1" si="232"/>
        <v>-144.44475953485042</v>
      </c>
      <c r="L311" s="4">
        <f t="shared" ca="1" si="232"/>
        <v>-145.70112429885489</v>
      </c>
      <c r="M311" s="4">
        <f t="shared" ca="1" si="232"/>
        <v>-144.5787751507869</v>
      </c>
      <c r="N311" s="4">
        <f t="shared" ca="1" si="232"/>
        <v>-141.27431670200215</v>
      </c>
      <c r="O311" s="4">
        <f t="shared" ca="1" si="232"/>
        <v>-135.99417598745936</v>
      </c>
      <c r="P311" s="4">
        <f t="shared" ca="1" si="232"/>
        <v>-128.95287352297282</v>
      </c>
      <c r="Q311" s="4">
        <f t="shared" ca="1" si="232"/>
        <v>-120.37203153536559</v>
      </c>
      <c r="R311" s="4">
        <f t="shared" ca="1" si="232"/>
        <v>-110.47923571390174</v>
      </c>
      <c r="S311" s="4">
        <f t="shared" ca="1" si="232"/>
        <v>-99.506075517327474</v>
      </c>
      <c r="T311" s="4">
        <f t="shared" ca="1" si="232"/>
        <v>-87.685027888600132</v>
      </c>
      <c r="U311" s="4">
        <f t="shared" ca="1" si="232"/>
        <v>-75.245261574201677</v>
      </c>
      <c r="V311" s="4">
        <f t="shared" ca="1" si="232"/>
        <v>-62.407836863863935</v>
      </c>
      <c r="W311" s="4">
        <f t="shared" ca="1" si="232"/>
        <v>-49.381061572851017</v>
      </c>
      <c r="X311" s="4">
        <f t="shared" ca="1" si="232"/>
        <v>-36.356861249976404</v>
      </c>
      <c r="Y311" s="4">
        <f t="shared" ca="1" si="232"/>
        <v>-23.508898892720342</v>
      </c>
      <c r="Z311" s="4">
        <f t="shared" ca="1" si="232"/>
        <v>-10.99286398344252</v>
      </c>
      <c r="AA311" s="4">
        <f t="shared" ca="1" si="232"/>
        <v>1.0510798120793856</v>
      </c>
      <c r="AB311" s="10">
        <f t="shared" ca="1" si="229"/>
        <v>6.9383705099997206</v>
      </c>
    </row>
    <row r="312" spans="4:28" x14ac:dyDescent="0.25">
      <c r="D312" s="17"/>
      <c r="E312" s="2">
        <f t="shared" si="226"/>
        <v>3.6000000000000019</v>
      </c>
      <c r="H312" s="10">
        <f t="shared" ca="1" si="227"/>
        <v>-177.99658941522358</v>
      </c>
      <c r="I312" s="4">
        <f t="shared" ref="I312:AA312" ca="1" si="233">-D*(J262-H262)/(2*delta)</f>
        <v>-183.20360653396273</v>
      </c>
      <c r="J312" s="4">
        <f t="shared" ca="1" si="233"/>
        <v>-191.7226465500265</v>
      </c>
      <c r="K312" s="4">
        <f t="shared" ca="1" si="233"/>
        <v>-196.56174553147557</v>
      </c>
      <c r="L312" s="4">
        <f t="shared" ca="1" si="233"/>
        <v>-197.95379948966914</v>
      </c>
      <c r="M312" s="4">
        <f t="shared" ca="1" si="233"/>
        <v>-196.1526782788826</v>
      </c>
      <c r="N312" s="4">
        <f t="shared" ca="1" si="233"/>
        <v>-191.42614383278399</v>
      </c>
      <c r="O312" s="4">
        <f t="shared" ca="1" si="233"/>
        <v>-184.05251432127875</v>
      </c>
      <c r="P312" s="4">
        <f t="shared" ca="1" si="233"/>
        <v>-174.31973292451943</v>
      </c>
      <c r="Q312" s="4">
        <f t="shared" ca="1" si="233"/>
        <v>-162.52534729585457</v>
      </c>
      <c r="R312" s="4">
        <f t="shared" ca="1" si="233"/>
        <v>-148.97598523787968</v>
      </c>
      <c r="S312" s="4">
        <f t="shared" ca="1" si="233"/>
        <v>-133.98523462931934</v>
      </c>
      <c r="T312" s="4">
        <f t="shared" ca="1" si="233"/>
        <v>-117.86937755718739</v>
      </c>
      <c r="U312" s="4">
        <f t="shared" ca="1" si="233"/>
        <v>-100.94110643416145</v>
      </c>
      <c r="V312" s="4">
        <f t="shared" ca="1" si="233"/>
        <v>-83.50201987368068</v>
      </c>
      <c r="W312" s="4">
        <f t="shared" ca="1" si="233"/>
        <v>-65.83518801713474</v>
      </c>
      <c r="X312" s="4">
        <f t="shared" ca="1" si="233"/>
        <v>-48.199250819196322</v>
      </c>
      <c r="Y312" s="4">
        <f t="shared" ca="1" si="233"/>
        <v>-30.825310798868301</v>
      </c>
      <c r="Z312" s="4">
        <f t="shared" ca="1" si="233"/>
        <v>-13.917350962901253</v>
      </c>
      <c r="AA312" s="4">
        <f t="shared" ca="1" si="233"/>
        <v>2.343815740003615</v>
      </c>
      <c r="AB312" s="10">
        <f t="shared" ca="1" si="229"/>
        <v>10.291371709043192</v>
      </c>
    </row>
    <row r="313" spans="4:28" x14ac:dyDescent="0.25">
      <c r="D313" s="17"/>
      <c r="E313" s="2">
        <f t="shared" si="226"/>
        <v>3.5000000000000018</v>
      </c>
      <c r="H313" s="10">
        <f t="shared" ca="1" si="227"/>
        <v>-229.85328436289257</v>
      </c>
      <c r="I313" s="4">
        <f t="shared" ref="I313:AA313" ca="1" si="234">-D*(J263-H263)/(2*delta)</f>
        <v>-236.20348535648495</v>
      </c>
      <c r="J313" s="4">
        <f t="shared" ca="1" si="234"/>
        <v>-246.49541463469191</v>
      </c>
      <c r="K313" s="4">
        <f t="shared" ca="1" si="234"/>
        <v>-252.12121702661855</v>
      </c>
      <c r="L313" s="4">
        <f t="shared" ca="1" si="234"/>
        <v>-253.39420275583188</v>
      </c>
      <c r="M313" s="4">
        <f t="shared" ca="1" si="234"/>
        <v>-250.64579793324569</v>
      </c>
      <c r="N313" s="4">
        <f t="shared" ca="1" si="234"/>
        <v>-244.21824504044238</v>
      </c>
      <c r="O313" s="4">
        <f t="shared" ca="1" si="234"/>
        <v>-234.46267254480227</v>
      </c>
      <c r="P313" s="4">
        <f t="shared" ca="1" si="234"/>
        <v>-221.74045507663294</v>
      </c>
      <c r="Q313" s="4">
        <f t="shared" ca="1" si="234"/>
        <v>-206.42557838216638</v>
      </c>
      <c r="R313" s="4">
        <f t="shared" ca="1" si="234"/>
        <v>-188.90582068057336</v>
      </c>
      <c r="S313" s="4">
        <f t="shared" ca="1" si="234"/>
        <v>-169.58102206882893</v>
      </c>
      <c r="T313" s="4">
        <f t="shared" ca="1" si="234"/>
        <v>-148.85754110326764</v>
      </c>
      <c r="U313" s="4">
        <f t="shared" ca="1" si="234"/>
        <v>-127.13908476193009</v>
      </c>
      <c r="V313" s="4">
        <f t="shared" ca="1" si="234"/>
        <v>-104.81521057822602</v>
      </c>
      <c r="W313" s="4">
        <f t="shared" ca="1" si="234"/>
        <v>-82.249637605352689</v>
      </c>
      <c r="X313" s="4">
        <f t="shared" ca="1" si="234"/>
        <v>-59.770811078442222</v>
      </c>
      <c r="Y313" s="4">
        <f t="shared" ca="1" si="234"/>
        <v>-37.66683725771491</v>
      </c>
      <c r="Z313" s="4">
        <f t="shared" ca="1" si="234"/>
        <v>-16.1860236260218</v>
      </c>
      <c r="AA313" s="4">
        <f t="shared" ca="1" si="234"/>
        <v>4.4569350028624495</v>
      </c>
      <c r="AB313" s="10">
        <f t="shared" ca="1" si="229"/>
        <v>14.543937642588842</v>
      </c>
    </row>
    <row r="314" spans="4:28" x14ac:dyDescent="0.25">
      <c r="D314" s="17"/>
      <c r="E314" s="2">
        <f t="shared" si="226"/>
        <v>3.4000000000000017</v>
      </c>
      <c r="H314" s="10">
        <f t="shared" ca="1" si="227"/>
        <v>-286.7850556466455</v>
      </c>
      <c r="I314" s="4">
        <f t="shared" ref="I314:AA314" ca="1" si="235">-D*(J264-H264)/(2*delta)</f>
        <v>-294.14755665378397</v>
      </c>
      <c r="J314" s="4">
        <f t="shared" ca="1" si="235"/>
        <v>-305.92998804789983</v>
      </c>
      <c r="K314" s="4">
        <f t="shared" ca="1" si="235"/>
        <v>-312.02791111023612</v>
      </c>
      <c r="L314" s="4">
        <f t="shared" ca="1" si="235"/>
        <v>-312.84931543950887</v>
      </c>
      <c r="M314" s="4">
        <f t="shared" ca="1" si="235"/>
        <v>-308.81046646025101</v>
      </c>
      <c r="N314" s="4">
        <f t="shared" ca="1" si="235"/>
        <v>-300.33000213036729</v>
      </c>
      <c r="O314" s="4">
        <f t="shared" ca="1" si="235"/>
        <v>-287.83048625666328</v>
      </c>
      <c r="P314" s="4">
        <f t="shared" ca="1" si="235"/>
        <v>-271.74434556464922</v>
      </c>
      <c r="Q314" s="4">
        <f t="shared" ca="1" si="235"/>
        <v>-252.52080824530245</v>
      </c>
      <c r="R314" s="4">
        <f t="shared" ca="1" si="235"/>
        <v>-230.63051910474542</v>
      </c>
      <c r="S314" s="4">
        <f t="shared" ca="1" si="235"/>
        <v>-206.56509907595196</v>
      </c>
      <c r="T314" s="4">
        <f t="shared" ca="1" si="235"/>
        <v>-180.83013782690222</v>
      </c>
      <c r="U314" s="4">
        <f t="shared" ca="1" si="235"/>
        <v>-153.93183855261796</v>
      </c>
      <c r="V314" s="4">
        <f t="shared" ca="1" si="235"/>
        <v>-126.35938948001788</v>
      </c>
      <c r="W314" s="4">
        <f t="shared" ca="1" si="235"/>
        <v>-98.566575375327758</v>
      </c>
      <c r="X314" s="4">
        <f t="shared" ca="1" si="235"/>
        <v>-70.956691837021708</v>
      </c>
      <c r="Y314" s="4">
        <f t="shared" ca="1" si="235"/>
        <v>-43.874286794368999</v>
      </c>
      <c r="Z314" s="4">
        <f t="shared" ca="1" si="235"/>
        <v>-17.605782117939139</v>
      </c>
      <c r="AA314" s="4">
        <f t="shared" ca="1" si="235"/>
        <v>7.6109387334134793</v>
      </c>
      <c r="AB314" s="10">
        <f t="shared" ca="1" si="229"/>
        <v>19.929219162568501</v>
      </c>
    </row>
    <row r="315" spans="4:28" x14ac:dyDescent="0.25">
      <c r="D315" s="17"/>
      <c r="E315" s="2">
        <f t="shared" si="226"/>
        <v>3.3000000000000016</v>
      </c>
      <c r="H315" s="10">
        <f t="shared" ca="1" si="227"/>
        <v>-349.96595246351194</v>
      </c>
      <c r="I315" s="4">
        <f t="shared" ref="I315:AA315" ca="1" si="236">-D*(J265-H265)/(2*delta)</f>
        <v>-358.15661680932959</v>
      </c>
      <c r="J315" s="4">
        <f t="shared" ca="1" si="236"/>
        <v>-371.0439746167487</v>
      </c>
      <c r="K315" s="4">
        <f t="shared" ca="1" si="236"/>
        <v>-377.20453069344887</v>
      </c>
      <c r="L315" s="4">
        <f t="shared" ca="1" si="236"/>
        <v>-377.1568084743804</v>
      </c>
      <c r="M315" s="4">
        <f t="shared" ca="1" si="236"/>
        <v>-371.40779662275605</v>
      </c>
      <c r="N315" s="4">
        <f t="shared" ca="1" si="236"/>
        <v>-360.45095706354135</v>
      </c>
      <c r="O315" s="4">
        <f t="shared" ca="1" si="236"/>
        <v>-344.77433446943621</v>
      </c>
      <c r="P315" s="4">
        <f t="shared" ca="1" si="236"/>
        <v>-324.8744521557764</v>
      </c>
      <c r="Q315" s="4">
        <f t="shared" ca="1" si="236"/>
        <v>-301.27114877768724</v>
      </c>
      <c r="R315" s="4">
        <f t="shared" ca="1" si="236"/>
        <v>-274.51835922039646</v>
      </c>
      <c r="S315" s="4">
        <f t="shared" ca="1" si="236"/>
        <v>-245.20647521296402</v>
      </c>
      <c r="T315" s="4">
        <f t="shared" ca="1" si="236"/>
        <v>-213.95365460839508</v>
      </c>
      <c r="U315" s="4">
        <f t="shared" ca="1" si="236"/>
        <v>-181.38620621200653</v>
      </c>
      <c r="V315" s="4">
        <f t="shared" ca="1" si="236"/>
        <v>-148.1113171061356</v>
      </c>
      <c r="W315" s="4">
        <f t="shared" ca="1" si="236"/>
        <v>-114.68790164136786</v>
      </c>
      <c r="X315" s="4">
        <f t="shared" ca="1" si="236"/>
        <v>-81.602340648948939</v>
      </c>
      <c r="Y315" s="4">
        <f t="shared" ca="1" si="236"/>
        <v>-49.254976374187649</v>
      </c>
      <c r="Z315" s="4">
        <f t="shared" ca="1" si="236"/>
        <v>-17.960729215023179</v>
      </c>
      <c r="AA315" s="4">
        <f t="shared" ca="1" si="236"/>
        <v>12.036066544836192</v>
      </c>
      <c r="AB315" s="10">
        <f t="shared" ca="1" si="229"/>
        <v>26.683298145508953</v>
      </c>
    </row>
    <row r="316" spans="4:28" x14ac:dyDescent="0.25">
      <c r="D316" s="17"/>
      <c r="E316" s="2">
        <f t="shared" si="226"/>
        <v>3.2000000000000015</v>
      </c>
      <c r="H316" s="10">
        <f t="shared" ca="1" si="227"/>
        <v>-420.63833301662197</v>
      </c>
      <c r="I316" s="4">
        <f t="shared" ref="I316:AA316" ca="1" si="237">-D*(J266-H266)/(2*delta)</f>
        <v>-429.40293262352424</v>
      </c>
      <c r="J316" s="4">
        <f t="shared" ca="1" si="237"/>
        <v>-442.87892631565319</v>
      </c>
      <c r="K316" s="4">
        <f t="shared" ca="1" si="237"/>
        <v>-448.58187778859264</v>
      </c>
      <c r="L316" s="4">
        <f t="shared" ca="1" si="237"/>
        <v>-447.15657599614786</v>
      </c>
      <c r="M316" s="4">
        <f t="shared" ca="1" si="237"/>
        <v>-439.20270265833028</v>
      </c>
      <c r="N316" s="4">
        <f t="shared" ca="1" si="237"/>
        <v>-425.28041336995653</v>
      </c>
      <c r="O316" s="4">
        <f t="shared" ca="1" si="237"/>
        <v>-405.92931786233527</v>
      </c>
      <c r="P316" s="4">
        <f t="shared" ca="1" si="237"/>
        <v>-381.69517993256892</v>
      </c>
      <c r="Q316" s="4">
        <f t="shared" ca="1" si="237"/>
        <v>-353.15764854624518</v>
      </c>
      <c r="R316" s="4">
        <f t="shared" ca="1" si="237"/>
        <v>-320.95156860127037</v>
      </c>
      <c r="S316" s="4">
        <f t="shared" ca="1" si="237"/>
        <v>-285.77477338736355</v>
      </c>
      <c r="T316" s="4">
        <f t="shared" ca="1" si="237"/>
        <v>-248.37758335178165</v>
      </c>
      <c r="U316" s="4">
        <f t="shared" ca="1" si="237"/>
        <v>-209.53366371995608</v>
      </c>
      <c r="V316" s="4">
        <f t="shared" ca="1" si="237"/>
        <v>-169.99732817025739</v>
      </c>
      <c r="W316" s="4">
        <f t="shared" ca="1" si="237"/>
        <v>-130.4568564359227</v>
      </c>
      <c r="X316" s="4">
        <f t="shared" ca="1" si="237"/>
        <v>-91.495192608384713</v>
      </c>
      <c r="Y316" s="4">
        <f t="shared" ca="1" si="237"/>
        <v>-53.567827063910663</v>
      </c>
      <c r="Z316" s="4">
        <f t="shared" ca="1" si="237"/>
        <v>-17.003310742392607</v>
      </c>
      <c r="AA316" s="4">
        <f t="shared" ca="1" si="237"/>
        <v>17.973683386246826</v>
      </c>
      <c r="AB316" s="10">
        <f t="shared" ca="1" si="229"/>
        <v>35.042657793580808</v>
      </c>
    </row>
    <row r="317" spans="4:28" x14ac:dyDescent="0.25">
      <c r="D317" s="17"/>
      <c r="E317" s="2">
        <f t="shared" si="226"/>
        <v>3.1000000000000014</v>
      </c>
      <c r="H317" s="10">
        <f t="shared" ca="1" si="227"/>
        <v>-500.10158843070502</v>
      </c>
      <c r="I317" s="4">
        <f t="shared" ref="I317:AA317" ca="1" si="238">-D*(J267-H267)/(2*delta)</f>
        <v>-509.09513722794264</v>
      </c>
      <c r="J317" s="4">
        <f t="shared" ca="1" si="238"/>
        <v>-522.48037899558051</v>
      </c>
      <c r="K317" s="4">
        <f t="shared" ca="1" si="238"/>
        <v>-527.07901735787414</v>
      </c>
      <c r="L317" s="4">
        <f t="shared" ca="1" si="238"/>
        <v>-523.67481444200075</v>
      </c>
      <c r="M317" s="4">
        <f t="shared" ca="1" si="238"/>
        <v>-512.95453913378481</v>
      </c>
      <c r="N317" s="4">
        <f t="shared" ca="1" si="238"/>
        <v>-495.52603714140054</v>
      </c>
      <c r="O317" s="4">
        <f t="shared" ca="1" si="238"/>
        <v>-471.95376102969942</v>
      </c>
      <c r="P317" s="4">
        <f t="shared" ca="1" si="238"/>
        <v>-442.80496224233019</v>
      </c>
      <c r="Q317" s="4">
        <f t="shared" ca="1" si="238"/>
        <v>-408.69776771486193</v>
      </c>
      <c r="R317" s="4">
        <f t="shared" ca="1" si="238"/>
        <v>-370.34011811012306</v>
      </c>
      <c r="S317" s="4">
        <f t="shared" ca="1" si="238"/>
        <v>-328.54776716178242</v>
      </c>
      <c r="T317" s="4">
        <f t="shared" ca="1" si="238"/>
        <v>-284.2323170339572</v>
      </c>
      <c r="U317" s="4">
        <f t="shared" ca="1" si="238"/>
        <v>-238.35746120980335</v>
      </c>
      <c r="V317" s="4">
        <f t="shared" ca="1" si="238"/>
        <v>-191.87129629989707</v>
      </c>
      <c r="W317" s="4">
        <f t="shared" ca="1" si="238"/>
        <v>-145.63074113454283</v>
      </c>
      <c r="X317" s="4">
        <f t="shared" ca="1" si="238"/>
        <v>-100.33739087097696</v>
      </c>
      <c r="Y317" s="4">
        <f t="shared" ca="1" si="238"/>
        <v>-56.501336773653371</v>
      </c>
      <c r="Z317" s="4">
        <f t="shared" ca="1" si="238"/>
        <v>-14.441662775124435</v>
      </c>
      <c r="AA317" s="4">
        <f t="shared" ca="1" si="238"/>
        <v>25.677313066824563</v>
      </c>
      <c r="AB317" s="10">
        <f t="shared" ca="1" si="229"/>
        <v>45.23911289924574</v>
      </c>
    </row>
    <row r="318" spans="4:28" x14ac:dyDescent="0.25">
      <c r="D318" s="17"/>
      <c r="E318" s="2">
        <f t="shared" si="226"/>
        <v>3.0000000000000013</v>
      </c>
      <c r="H318" s="10">
        <f t="shared" ca="1" si="227"/>
        <v>-589.68183516488011</v>
      </c>
      <c r="I318" s="4">
        <f t="shared" ref="I318:AA318" ca="1" si="239">-D*(J268-H268)/(2*delta)</f>
        <v>-598.44465941759313</v>
      </c>
      <c r="J318" s="4">
        <f t="shared" ca="1" si="239"/>
        <v>-610.86123033839249</v>
      </c>
      <c r="K318" s="4">
        <f t="shared" ca="1" si="239"/>
        <v>-613.56968056476001</v>
      </c>
      <c r="L318" s="4">
        <f t="shared" ca="1" si="239"/>
        <v>-607.49800259669416</v>
      </c>
      <c r="M318" s="4">
        <f t="shared" ca="1" si="239"/>
        <v>-593.40195516586903</v>
      </c>
      <c r="N318" s="4">
        <f t="shared" ca="1" si="239"/>
        <v>-571.90151843099113</v>
      </c>
      <c r="O318" s="4">
        <f t="shared" ca="1" si="239"/>
        <v>-543.53977123483082</v>
      </c>
      <c r="P318" s="4">
        <f t="shared" ca="1" si="239"/>
        <v>-508.85735213487681</v>
      </c>
      <c r="Q318" s="4">
        <f t="shared" ca="1" si="239"/>
        <v>-468.47190405192248</v>
      </c>
      <c r="R318" s="5">
        <f t="shared" ca="1" si="239"/>
        <v>-423.14644008169068</v>
      </c>
      <c r="S318" s="5">
        <f t="shared" ca="1" si="239"/>
        <v>-373.8265744395668</v>
      </c>
      <c r="T318" s="5">
        <f t="shared" ca="1" si="239"/>
        <v>-321.62892251516155</v>
      </c>
      <c r="U318" s="5">
        <f t="shared" ca="1" si="239"/>
        <v>-267.77486727978476</v>
      </c>
      <c r="V318" s="5">
        <f t="shared" ca="1" si="239"/>
        <v>-213.4818404999217</v>
      </c>
      <c r="W318" s="5">
        <f t="shared" ca="1" si="239"/>
        <v>-159.8395152002285</v>
      </c>
      <c r="X318" s="4">
        <f t="shared" ca="1" si="239"/>
        <v>-107.7042845128466</v>
      </c>
      <c r="Y318" s="4">
        <f t="shared" ca="1" si="239"/>
        <v>-57.640307769032333</v>
      </c>
      <c r="Z318" s="4">
        <f t="shared" ca="1" si="239"/>
        <v>-9.9209207494611942</v>
      </c>
      <c r="AA318" s="4">
        <f t="shared" ca="1" si="239"/>
        <v>35.413316444077715</v>
      </c>
      <c r="AB318" s="10">
        <f t="shared" ca="1" si="229"/>
        <v>57.49102152593224</v>
      </c>
    </row>
    <row r="319" spans="4:28" x14ac:dyDescent="0.25">
      <c r="D319" s="17"/>
      <c r="E319" s="2">
        <f t="shared" si="226"/>
        <v>2.9000000000000012</v>
      </c>
      <c r="H319" s="10">
        <f t="shared" ca="1" si="227"/>
        <v>-690.67332697439394</v>
      </c>
      <c r="I319" s="4">
        <f t="shared" ref="I319:AA319" ca="1" si="240">-D*(J269-H269)/(2*delta)</f>
        <v>-698.6055871338425</v>
      </c>
      <c r="J319" s="4">
        <f t="shared" ca="1" si="240"/>
        <v>-708.94237933630086</v>
      </c>
      <c r="K319" s="4">
        <f t="shared" ca="1" si="240"/>
        <v>-708.83035589964754</v>
      </c>
      <c r="L319" s="4">
        <f t="shared" ca="1" si="240"/>
        <v>-699.3334851649272</v>
      </c>
      <c r="M319" s="4">
        <f t="shared" ca="1" si="240"/>
        <v>-681.24003095999069</v>
      </c>
      <c r="N319" s="4">
        <f t="shared" ca="1" si="240"/>
        <v>-655.12320284023201</v>
      </c>
      <c r="O319" s="4">
        <f t="shared" ca="1" si="240"/>
        <v>-621.43021828045744</v>
      </c>
      <c r="P319" s="4">
        <f t="shared" ca="1" si="240"/>
        <v>-580.59563234801408</v>
      </c>
      <c r="Q319" s="4">
        <f t="shared" ca="1" si="240"/>
        <v>-533.16821236532553</v>
      </c>
      <c r="R319" s="5">
        <f t="shared" ca="1" si="240"/>
        <v>-479.92878688529038</v>
      </c>
      <c r="S319" s="5">
        <f t="shared" ca="1" si="240"/>
        <v>-421.96440384053528</v>
      </c>
      <c r="T319" s="5">
        <f t="shared" ca="1" si="240"/>
        <v>-360.66289765728004</v>
      </c>
      <c r="U319" s="5">
        <f t="shared" ca="1" si="240"/>
        <v>-297.61203032427778</v>
      </c>
      <c r="V319" s="5">
        <f t="shared" ca="1" si="240"/>
        <v>-234.42234516842663</v>
      </c>
      <c r="W319" s="5">
        <f t="shared" ca="1" si="240"/>
        <v>-172.52175714468692</v>
      </c>
      <c r="X319" s="4">
        <f t="shared" ca="1" si="240"/>
        <v>-112.98037513040128</v>
      </c>
      <c r="Y319" s="4">
        <f t="shared" ca="1" si="240"/>
        <v>-56.414976946236145</v>
      </c>
      <c r="Z319" s="4">
        <f t="shared" ca="1" si="240"/>
        <v>-2.9950593068601319</v>
      </c>
      <c r="AA319" s="4">
        <f t="shared" ca="1" si="240"/>
        <v>47.461384327432427</v>
      </c>
      <c r="AB319" s="10">
        <f t="shared" ca="1" si="229"/>
        <v>71.989277514724961</v>
      </c>
    </row>
    <row r="320" spans="4:28" x14ac:dyDescent="0.25">
      <c r="D320" s="17"/>
      <c r="E320" s="2">
        <f t="shared" si="226"/>
        <v>2.8000000000000012</v>
      </c>
      <c r="H320" s="10">
        <f t="shared" ca="1" si="227"/>
        <v>-804.24025564954638</v>
      </c>
      <c r="I320" s="4">
        <f t="shared" ref="I320:AA320" ca="1" si="241">-D*(J270-H270)/(2*delta)</f>
        <v>-810.57842674825622</v>
      </c>
      <c r="J320" s="4">
        <f t="shared" ca="1" si="241"/>
        <v>-817.46395162521958</v>
      </c>
      <c r="K320" s="4">
        <f t="shared" ca="1" si="241"/>
        <v>-813.46502734922819</v>
      </c>
      <c r="L320" s="4">
        <f t="shared" ca="1" si="241"/>
        <v>-799.75259931640176</v>
      </c>
      <c r="M320" s="4">
        <f t="shared" ca="1" si="241"/>
        <v>-777.08675454556396</v>
      </c>
      <c r="N320" s="4">
        <f t="shared" ca="1" si="241"/>
        <v>-745.90484001024288</v>
      </c>
      <c r="O320" s="4">
        <f t="shared" ca="1" si="241"/>
        <v>-706.44485361685736</v>
      </c>
      <c r="P320" s="4">
        <f t="shared" ca="1" si="241"/>
        <v>-658.90836445262607</v>
      </c>
      <c r="Q320" s="4">
        <f t="shared" ca="1" si="241"/>
        <v>-603.65738763496347</v>
      </c>
      <c r="R320" s="5">
        <f t="shared" ca="1" si="241"/>
        <v>-541.41638111143754</v>
      </c>
      <c r="S320" s="5">
        <f t="shared" ca="1" si="241"/>
        <v>-473.41923078107158</v>
      </c>
      <c r="T320" s="5">
        <f t="shared" ca="1" si="241"/>
        <v>-401.42581924203546</v>
      </c>
      <c r="U320" s="5">
        <f t="shared" ca="1" si="241"/>
        <v>-327.56740235341908</v>
      </c>
      <c r="V320" s="5">
        <f t="shared" ca="1" si="241"/>
        <v>-254.05301133671722</v>
      </c>
      <c r="W320" s="5">
        <f t="shared" ca="1" si="241"/>
        <v>-182.82394495494367</v>
      </c>
      <c r="X320" s="4">
        <f t="shared" ca="1" si="241"/>
        <v>-115.25951408061833</v>
      </c>
      <c r="Y320" s="4">
        <f t="shared" ca="1" si="241"/>
        <v>-52.02302291487586</v>
      </c>
      <c r="Z320" s="4">
        <f t="shared" ca="1" si="241"/>
        <v>6.9156948622799463</v>
      </c>
      <c r="AA320" s="4">
        <f t="shared" ca="1" si="241"/>
        <v>62.115345473255246</v>
      </c>
      <c r="AB320" s="10">
        <f t="shared" ca="1" si="229"/>
        <v>88.876417423736427</v>
      </c>
    </row>
    <row r="321" spans="4:28" x14ac:dyDescent="0.25">
      <c r="D321" s="17"/>
      <c r="E321" s="2">
        <f t="shared" si="226"/>
        <v>2.7000000000000011</v>
      </c>
      <c r="H321" s="10">
        <f t="shared" ca="1" si="227"/>
        <v>-931.26694388594012</v>
      </c>
      <c r="I321" s="4">
        <f t="shared" ref="I321:AA321" ca="1" si="242">-D*(J271-H271)/(2*delta)</f>
        <v>-935.06821085652632</v>
      </c>
      <c r="J321" s="4">
        <f t="shared" ca="1" si="242"/>
        <v>-936.86106386350161</v>
      </c>
      <c r="K321" s="4">
        <f t="shared" ca="1" si="242"/>
        <v>-927.80168404242113</v>
      </c>
      <c r="L321" s="4">
        <f t="shared" ca="1" si="242"/>
        <v>-909.11138235354917</v>
      </c>
      <c r="M321" s="4">
        <f t="shared" ca="1" si="242"/>
        <v>-881.43391710312676</v>
      </c>
      <c r="N321" s="4">
        <f t="shared" ca="1" si="242"/>
        <v>-844.94735011656735</v>
      </c>
      <c r="O321" s="4">
        <f t="shared" ca="1" si="242"/>
        <v>-799.51750922222584</v>
      </c>
      <c r="P321" s="4">
        <f t="shared" ca="1" si="242"/>
        <v>-744.9160731597143</v>
      </c>
      <c r="Q321" s="4">
        <f t="shared" ca="1" si="242"/>
        <v>-681.11627872190661</v>
      </c>
      <c r="R321" s="5">
        <f t="shared" ca="1" si="242"/>
        <v>-608.63919851033404</v>
      </c>
      <c r="S321" s="5">
        <f t="shared" ca="1" si="242"/>
        <v>-528.8489572550576</v>
      </c>
      <c r="T321" s="5">
        <f t="shared" ca="1" si="242"/>
        <v>-444.03207754826957</v>
      </c>
      <c r="U321" s="5">
        <f t="shared" ca="1" si="242"/>
        <v>-357.15687372945018</v>
      </c>
      <c r="V321" s="5">
        <f t="shared" ca="1" si="242"/>
        <v>-271.37633731917521</v>
      </c>
      <c r="W321" s="5">
        <f t="shared" ca="1" si="242"/>
        <v>-189.43936831585023</v>
      </c>
      <c r="X321" s="4">
        <f t="shared" ca="1" si="242"/>
        <v>-113.18845727380479</v>
      </c>
      <c r="Y321" s="4">
        <f t="shared" ca="1" si="242"/>
        <v>-43.310853914860346</v>
      </c>
      <c r="Z321" s="4">
        <f t="shared" ca="1" si="242"/>
        <v>20.58825064256844</v>
      </c>
      <c r="AA321" s="4">
        <f t="shared" ca="1" si="242"/>
        <v>79.685249170556858</v>
      </c>
      <c r="AB321" s="10">
        <f t="shared" ca="1" si="229"/>
        <v>108.21751490889902</v>
      </c>
    </row>
    <row r="322" spans="4:28" x14ac:dyDescent="0.25">
      <c r="D322" s="17"/>
      <c r="E322" s="2">
        <f t="shared" si="226"/>
        <v>2.600000000000001</v>
      </c>
      <c r="H322" s="10">
        <f t="shared" ca="1" si="227"/>
        <v>-1072.1471537360817</v>
      </c>
      <c r="I322" s="4">
        <f t="shared" ref="I322:AA322" ca="1" si="243">-D*(J272-H272)/(2*delta)</f>
        <v>-1072.2904895606414</v>
      </c>
      <c r="J322" s="4">
        <f t="shared" ca="1" si="243"/>
        <v>-1067.1010384544006</v>
      </c>
      <c r="K322" s="4">
        <f t="shared" ca="1" si="243"/>
        <v>-1051.7571485936237</v>
      </c>
      <c r="L322" s="4">
        <f t="shared" ca="1" si="243"/>
        <v>-1027.4428708371597</v>
      </c>
      <c r="M322" s="4">
        <f t="shared" ca="1" si="243"/>
        <v>-994.57374334125143</v>
      </c>
      <c r="N322" s="4">
        <f t="shared" ca="1" si="243"/>
        <v>-952.91504710789297</v>
      </c>
      <c r="O322" s="4">
        <f t="shared" ca="1" si="243"/>
        <v>-901.74232317652866</v>
      </c>
      <c r="P322" s="4">
        <f t="shared" ca="1" si="243"/>
        <v>-840.10162176986887</v>
      </c>
      <c r="Q322" s="4">
        <f t="shared" ca="1" si="243"/>
        <v>-767.23109278038442</v>
      </c>
      <c r="R322" s="5">
        <f t="shared" ca="1" si="243"/>
        <v>-683.15317600605113</v>
      </c>
      <c r="S322" s="5">
        <f t="shared" ca="1" si="243"/>
        <v>-589.28285732291408</v>
      </c>
      <c r="T322" s="5">
        <f t="shared" ca="1" si="243"/>
        <v>-488.67387219563034</v>
      </c>
      <c r="U322" s="5">
        <f t="shared" ca="1" si="243"/>
        <v>-385.62867301053774</v>
      </c>
      <c r="V322" s="5">
        <f t="shared" ca="1" si="243"/>
        <v>-284.83294306248229</v>
      </c>
      <c r="W322" s="5">
        <f t="shared" ca="1" si="243"/>
        <v>-190.34546155301442</v>
      </c>
      <c r="X322" s="4">
        <f t="shared" ca="1" si="243"/>
        <v>-104.720686918449</v>
      </c>
      <c r="Y322" s="4">
        <f t="shared" ca="1" si="243"/>
        <v>-28.59658518884067</v>
      </c>
      <c r="Z322" s="4">
        <f t="shared" ca="1" si="243"/>
        <v>39.086821192468207</v>
      </c>
      <c r="AA322" s="4">
        <f t="shared" ca="1" si="243"/>
        <v>100.50187338568209</v>
      </c>
      <c r="AB322" s="10">
        <f t="shared" ca="1" si="229"/>
        <v>129.96302177090604</v>
      </c>
    </row>
    <row r="323" spans="4:28" x14ac:dyDescent="0.25">
      <c r="D323" s="17"/>
      <c r="E323" s="2">
        <f t="shared" si="226"/>
        <v>2.5000000000000009</v>
      </c>
      <c r="H323" s="10">
        <f t="shared" ca="1" si="227"/>
        <v>-1226.512160725078</v>
      </c>
      <c r="I323" s="4">
        <f t="shared" ref="I323:AA323" ca="1" si="244">-D*(J273-H273)/(2*delta)</f>
        <v>-1221.7271724956538</v>
      </c>
      <c r="J323" s="4">
        <f t="shared" ca="1" si="244"/>
        <v>-1207.4856784144815</v>
      </c>
      <c r="K323" s="4">
        <f t="shared" ca="1" si="244"/>
        <v>-1184.670366956934</v>
      </c>
      <c r="L323" s="4">
        <f t="shared" ca="1" si="244"/>
        <v>-1154.314130672579</v>
      </c>
      <c r="M323" s="4">
        <f t="shared" ca="1" si="244"/>
        <v>-1116.4859952807301</v>
      </c>
      <c r="N323" s="4">
        <f t="shared" ca="1" si="244"/>
        <v>-1070.3779091839035</v>
      </c>
      <c r="O323" s="4">
        <f t="shared" ca="1" si="244"/>
        <v>-1014.4148443431214</v>
      </c>
      <c r="P323" s="4">
        <f t="shared" ca="1" si="244"/>
        <v>-946.49559963872844</v>
      </c>
      <c r="Q323" s="4">
        <f t="shared" ca="1" si="244"/>
        <v>-864.5310156963169</v>
      </c>
      <c r="R323" s="5">
        <f t="shared" ca="1" si="244"/>
        <v>-767.43661087550061</v>
      </c>
      <c r="S323" s="5">
        <f t="shared" ca="1" si="244"/>
        <v>-656.43199537962869</v>
      </c>
      <c r="T323" s="5">
        <f t="shared" ca="1" si="244"/>
        <v>-535.7281155534032</v>
      </c>
      <c r="U323" s="5">
        <f t="shared" ca="1" si="244"/>
        <v>-411.82701136005005</v>
      </c>
      <c r="V323" s="5">
        <f t="shared" ca="1" si="244"/>
        <v>-291.95715405631233</v>
      </c>
      <c r="W323" s="5">
        <f t="shared" ca="1" si="244"/>
        <v>-182.36457707190812</v>
      </c>
      <c r="X323" s="4">
        <f t="shared" ca="1" si="244"/>
        <v>-86.727833351054329</v>
      </c>
      <c r="Y323" s="4">
        <f t="shared" ca="1" si="244"/>
        <v>-5.4170074388687315</v>
      </c>
      <c r="Z323" s="4">
        <f t="shared" ca="1" si="244"/>
        <v>63.878680432093965</v>
      </c>
      <c r="AA323" s="4">
        <f t="shared" ca="1" si="244"/>
        <v>124.92318893412254</v>
      </c>
      <c r="AB323" s="10">
        <f t="shared" ca="1" si="229"/>
        <v>153.90726917463817</v>
      </c>
    </row>
    <row r="324" spans="4:28" x14ac:dyDescent="0.25">
      <c r="D324" s="17"/>
      <c r="E324" s="2">
        <f t="shared" si="226"/>
        <v>2.4000000000000008</v>
      </c>
      <c r="H324" s="10">
        <f t="shared" ca="1" si="227"/>
        <v>-1392.9153990879663</v>
      </c>
      <c r="I324" s="4">
        <f t="shared" ref="I324:AA324" ca="1" si="245">-D*(J274-H274)/(2*delta)</f>
        <v>-1381.8502273023739</v>
      </c>
      <c r="J324" s="4">
        <f t="shared" ca="1" si="245"/>
        <v>-1356.4340202278374</v>
      </c>
      <c r="K324" s="4">
        <f t="shared" ca="1" si="245"/>
        <v>-1325.1114345285957</v>
      </c>
      <c r="L324" s="4">
        <f t="shared" ca="1" si="245"/>
        <v>-1288.641684663718</v>
      </c>
      <c r="M324" s="4">
        <f t="shared" ca="1" si="245"/>
        <v>-1246.660456422245</v>
      </c>
      <c r="N324" s="4">
        <f t="shared" ca="1" si="245"/>
        <v>-1197.6762289701089</v>
      </c>
      <c r="O324" s="4">
        <f t="shared" ca="1" si="245"/>
        <v>-1139.0225675554536</v>
      </c>
      <c r="P324" s="4">
        <f t="shared" ca="1" si="245"/>
        <v>-1066.9127714351191</v>
      </c>
      <c r="Q324" s="4">
        <f t="shared" ca="1" si="245"/>
        <v>-976.93770274613155</v>
      </c>
      <c r="R324" s="5">
        <f t="shared" ca="1" si="245"/>
        <v>-865.60651071165444</v>
      </c>
      <c r="S324" s="5">
        <f t="shared" ca="1" si="245"/>
        <v>-733.25615110377385</v>
      </c>
      <c r="T324" s="5">
        <f t="shared" ca="1" si="245"/>
        <v>-585.95498781802951</v>
      </c>
      <c r="U324" s="5">
        <f t="shared" ca="1" si="245"/>
        <v>-433.96927296884559</v>
      </c>
      <c r="V324" s="5">
        <f t="shared" ca="1" si="245"/>
        <v>-288.77909474265533</v>
      </c>
      <c r="W324" s="5">
        <f t="shared" ca="1" si="245"/>
        <v>-160.40274037390148</v>
      </c>
      <c r="X324" s="4">
        <f t="shared" ca="1" si="245"/>
        <v>-54.383798664292243</v>
      </c>
      <c r="Y324" s="4">
        <f t="shared" ca="1" si="245"/>
        <v>29.8031820626213</v>
      </c>
      <c r="Z324" s="4">
        <f t="shared" ca="1" si="245"/>
        <v>96.947524577278912</v>
      </c>
      <c r="AA324" s="4">
        <f t="shared" ca="1" si="245"/>
        <v>153.33441386654746</v>
      </c>
      <c r="AB324" s="10">
        <f t="shared" ca="1" si="229"/>
        <v>179.65263025593492</v>
      </c>
    </row>
    <row r="325" spans="4:28" x14ac:dyDescent="0.25">
      <c r="D325" s="17"/>
      <c r="E325" s="2">
        <f t="shared" si="226"/>
        <v>2.3000000000000007</v>
      </c>
      <c r="H325" s="10">
        <f t="shared" ca="1" si="227"/>
        <v>-1568.5201055112311</v>
      </c>
      <c r="I325" s="4">
        <f t="shared" ref="I325:AA325" ca="1" si="246">-D*(J275-H275)/(2*delta)</f>
        <v>-1549.8555003219817</v>
      </c>
      <c r="J325" s="4">
        <f t="shared" ca="1" si="246"/>
        <v>-1511.2783458063454</v>
      </c>
      <c r="K325" s="4">
        <f t="shared" ca="1" si="246"/>
        <v>-1470.6862302737472</v>
      </c>
      <c r="L325" s="4">
        <f t="shared" ca="1" si="246"/>
        <v>-1428.4646823559171</v>
      </c>
      <c r="M325" s="4">
        <f t="shared" ca="1" si="246"/>
        <v>-1383.8196868819118</v>
      </c>
      <c r="N325" s="4">
        <f t="shared" ca="1" si="246"/>
        <v>-1334.6239243620682</v>
      </c>
      <c r="O325" s="4">
        <f t="shared" ca="1" si="246"/>
        <v>-1277.0648702086692</v>
      </c>
      <c r="P325" s="4">
        <f t="shared" ca="1" si="246"/>
        <v>-1205.1724608321078</v>
      </c>
      <c r="Q325" s="4">
        <f t="shared" ca="1" si="246"/>
        <v>-1110.6768215347072</v>
      </c>
      <c r="R325" s="5">
        <f t="shared" ca="1" si="246"/>
        <v>-984.77117844550116</v>
      </c>
      <c r="S325" s="5">
        <f t="shared" ca="1" si="246"/>
        <v>-825.00619593327315</v>
      </c>
      <c r="T325" s="5">
        <f t="shared" ca="1" si="246"/>
        <v>-640.84113851398399</v>
      </c>
      <c r="U325" s="5">
        <f t="shared" ca="1" si="246"/>
        <v>-449.2904838271981</v>
      </c>
      <c r="V325" s="5">
        <f t="shared" ca="1" si="246"/>
        <v>-268.76153276878881</v>
      </c>
      <c r="W325" s="5">
        <f t="shared" ca="1" si="246"/>
        <v>-116.05767961148979</v>
      </c>
      <c r="X325" s="4">
        <f t="shared" ca="1" si="246"/>
        <v>-0.18184323357783744</v>
      </c>
      <c r="Y325" s="4">
        <f t="shared" ca="1" si="246"/>
        <v>82.092185655343783</v>
      </c>
      <c r="Z325" s="4">
        <f t="shared" ca="1" si="246"/>
        <v>140.80033858166857</v>
      </c>
      <c r="AA325" s="4">
        <f t="shared" ca="1" si="246"/>
        <v>186.10885773539181</v>
      </c>
      <c r="AB325" s="10">
        <f t="shared" ca="1" si="229"/>
        <v>206.59679057999017</v>
      </c>
    </row>
    <row r="326" spans="4:28" x14ac:dyDescent="0.25">
      <c r="D326" s="17"/>
      <c r="E326" s="2">
        <f t="shared" si="226"/>
        <v>2.2000000000000006</v>
      </c>
      <c r="H326" s="10">
        <f t="shared" ca="1" si="227"/>
        <v>-1748.8711319492918</v>
      </c>
      <c r="I326" s="4">
        <f t="shared" ref="I326:AA326" ca="1" si="247">-D*(J276-H276)/(2*delta)</f>
        <v>-1721.4774074328325</v>
      </c>
      <c r="J326" s="4">
        <f t="shared" ca="1" si="247"/>
        <v>-1668.1270226439535</v>
      </c>
      <c r="K326" s="4">
        <f t="shared" ca="1" si="247"/>
        <v>-1617.8767453133191</v>
      </c>
      <c r="L326" s="4">
        <f t="shared" ca="1" si="247"/>
        <v>-1570.6947625713844</v>
      </c>
      <c r="M326" s="4">
        <f t="shared" ca="1" si="247"/>
        <v>-1525.5110790584649</v>
      </c>
      <c r="N326" s="4">
        <f t="shared" ca="1" si="247"/>
        <v>-1479.9144399703143</v>
      </c>
      <c r="O326" s="4">
        <f t="shared" ca="1" si="247"/>
        <v>-1429.4185288942574</v>
      </c>
      <c r="P326" s="4">
        <f t="shared" ca="1" si="247"/>
        <v>-1366.0121564548288</v>
      </c>
      <c r="Q326" s="4">
        <f t="shared" ca="1" si="247"/>
        <v>-1275.801764362556</v>
      </c>
      <c r="R326" s="5">
        <f t="shared" ca="1" si="247"/>
        <v>-1137.7702830462601</v>
      </c>
      <c r="S326" s="5">
        <f t="shared" ca="1" si="247"/>
        <v>-941.1308874412988</v>
      </c>
      <c r="T326" s="5">
        <f t="shared" ca="1" si="247"/>
        <v>-703.08709213558848</v>
      </c>
      <c r="U326" s="5">
        <f t="shared" ca="1" si="247"/>
        <v>-453.56395059726378</v>
      </c>
      <c r="V326" s="5">
        <f t="shared" ca="1" si="247"/>
        <v>-220.89266423426943</v>
      </c>
      <c r="W326" s="5">
        <f t="shared" ca="1" si="247"/>
        <v>-34.858257985738987</v>
      </c>
      <c r="X326" s="4">
        <f t="shared" ca="1" si="247"/>
        <v>87.648415203802045</v>
      </c>
      <c r="Y326" s="4">
        <f t="shared" ca="1" si="247"/>
        <v>157.97378122013632</v>
      </c>
      <c r="Z326" s="4">
        <f t="shared" ca="1" si="247"/>
        <v>198.07984992321309</v>
      </c>
      <c r="AA326" s="4">
        <f t="shared" ca="1" si="247"/>
        <v>223.43960712955123</v>
      </c>
      <c r="AB326" s="10">
        <f t="shared" ca="1" si="229"/>
        <v>233.96097833637259</v>
      </c>
    </row>
    <row r="327" spans="4:28" x14ac:dyDescent="0.25">
      <c r="D327" s="17"/>
      <c r="E327" s="2">
        <f t="shared" si="226"/>
        <v>2.1000000000000005</v>
      </c>
      <c r="H327" s="10">
        <f t="shared" ca="1" si="227"/>
        <v>-1927.8584155403171</v>
      </c>
      <c r="I327" s="4">
        <f t="shared" ref="I327:AA327" ca="1" si="248">-D*(J277-H277)/(2*delta)</f>
        <v>-1890.9758457615774</v>
      </c>
      <c r="J327" s="4">
        <f t="shared" ca="1" si="248"/>
        <v>-1821.8648330402873</v>
      </c>
      <c r="K327" s="4">
        <f t="shared" ca="1" si="248"/>
        <v>-1761.9850604470573</v>
      </c>
      <c r="L327" s="4">
        <f t="shared" ca="1" si="248"/>
        <v>-1710.9099494412137</v>
      </c>
      <c r="M327" s="4">
        <f t="shared" ca="1" si="248"/>
        <v>-1667.596561169144</v>
      </c>
      <c r="N327" s="4">
        <f t="shared" ca="1" si="248"/>
        <v>-1630.0834697473558</v>
      </c>
      <c r="O327" s="4">
        <f t="shared" ca="1" si="248"/>
        <v>-1594.6603419219882</v>
      </c>
      <c r="P327" s="4">
        <f t="shared" ca="1" si="248"/>
        <v>-1553.6323229677578</v>
      </c>
      <c r="Q327" s="4">
        <f t="shared" ca="1" si="248"/>
        <v>-1488.7232780769598</v>
      </c>
      <c r="R327" s="5">
        <f t="shared" ca="1" si="248"/>
        <v>-1349.3520505152437</v>
      </c>
      <c r="S327" s="5">
        <f t="shared" ca="1" si="248"/>
        <v>-1098.6341940236944</v>
      </c>
      <c r="T327" s="5">
        <f t="shared" ca="1" si="248"/>
        <v>-776.78623595068768</v>
      </c>
      <c r="U327" s="5">
        <f t="shared" ca="1" si="248"/>
        <v>-440.95915642775896</v>
      </c>
      <c r="V327" s="5">
        <f t="shared" ca="1" si="248"/>
        <v>-126.36033912774892</v>
      </c>
      <c r="W327" s="5">
        <f t="shared" ca="1" si="248"/>
        <v>109.89561056847829</v>
      </c>
      <c r="X327" s="4">
        <f t="shared" ca="1" si="248"/>
        <v>227.68684825406658</v>
      </c>
      <c r="Y327" s="4">
        <f t="shared" ca="1" si="248"/>
        <v>264.10176503441363</v>
      </c>
      <c r="Z327" s="4">
        <f t="shared" ca="1" si="248"/>
        <v>270.13311589767176</v>
      </c>
      <c r="AA327" s="4">
        <f t="shared" ca="1" si="248"/>
        <v>264.86476028230527</v>
      </c>
      <c r="AB327" s="10">
        <f t="shared" ca="1" si="229"/>
        <v>260.85228493146394</v>
      </c>
    </row>
    <row r="328" spans="4:28" x14ac:dyDescent="0.25">
      <c r="D328" s="17"/>
      <c r="E328" s="2">
        <f t="shared" si="226"/>
        <v>2.0000000000000004</v>
      </c>
      <c r="H328" s="10">
        <f t="shared" ca="1" si="227"/>
        <v>-2097.9719104928499</v>
      </c>
      <c r="I328" s="4">
        <f t="shared" ref="I328:AA328" ca="1" si="249">-D*(J278-H278)/(2*delta)</f>
        <v>-2051.3786947796357</v>
      </c>
      <c r="J328" s="4">
        <f t="shared" ca="1" si="249"/>
        <v>-1966.3605616010957</v>
      </c>
      <c r="K328" s="4">
        <f t="shared" ca="1" si="249"/>
        <v>-1897.2747023911363</v>
      </c>
      <c r="L328" s="4">
        <f t="shared" ca="1" si="249"/>
        <v>-1843.3466929276212</v>
      </c>
      <c r="M328" s="4">
        <f t="shared" ca="1" si="249"/>
        <v>-1803.8627370572085</v>
      </c>
      <c r="N328" s="4">
        <f t="shared" ca="1" si="249"/>
        <v>-1778.1416199727983</v>
      </c>
      <c r="O328" s="4">
        <f t="shared" ca="1" si="249"/>
        <v>-1765.4845690561797</v>
      </c>
      <c r="P328" s="4">
        <f t="shared" ca="1" si="249"/>
        <v>-1765.1097870805704</v>
      </c>
      <c r="Q328" s="4">
        <f t="shared" ca="1" si="249"/>
        <v>-1776.0822690131502</v>
      </c>
      <c r="R328" s="5">
        <f t="shared" ca="1" si="249"/>
        <v>-1672.2550026240863</v>
      </c>
      <c r="S328" s="5">
        <f t="shared" ca="1" si="249"/>
        <v>-1327.2416204490426</v>
      </c>
      <c r="T328" s="5">
        <f t="shared" ca="1" si="249"/>
        <v>-864.43814505111311</v>
      </c>
      <c r="U328" s="5">
        <f t="shared" ca="1" si="249"/>
        <v>-407.09949207091029</v>
      </c>
      <c r="V328" s="5">
        <f t="shared" ca="1" si="249"/>
        <v>46.541633678280249</v>
      </c>
      <c r="W328" s="5">
        <f t="shared" ca="1" si="249"/>
        <v>373.14110977628434</v>
      </c>
      <c r="X328" s="4">
        <f t="shared" ca="1" si="249"/>
        <v>449.12867561534512</v>
      </c>
      <c r="Y328" s="4">
        <f t="shared" ca="1" si="249"/>
        <v>400.6406132891945</v>
      </c>
      <c r="Z328" s="4">
        <f t="shared" ca="1" si="249"/>
        <v>353.51374153859268</v>
      </c>
      <c r="AA328" s="4">
        <f t="shared" ca="1" si="249"/>
        <v>308.33698595783034</v>
      </c>
      <c r="AB328" s="10">
        <f t="shared" ca="1" si="229"/>
        <v>286.29667575507534</v>
      </c>
    </row>
    <row r="329" spans="4:28" x14ac:dyDescent="0.25">
      <c r="D329" s="17"/>
      <c r="E329" s="2">
        <f t="shared" si="226"/>
        <v>1.9000000000000006</v>
      </c>
      <c r="H329" s="10">
        <f t="shared" ca="1" si="227"/>
        <v>-2250.8814300738568</v>
      </c>
      <c r="I329" s="4">
        <f t="shared" ref="I329:AA329" ca="1" si="250">-D*(J279-H279)/(2*delta)</f>
        <v>-2195.006682864122</v>
      </c>
      <c r="J329" s="4">
        <f t="shared" ca="1" si="250"/>
        <v>-2094.9131586781527</v>
      </c>
      <c r="K329" s="4">
        <f t="shared" ca="1" si="250"/>
        <v>-2017.3924631788702</v>
      </c>
      <c r="L329" s="4">
        <f t="shared" ca="1" si="250"/>
        <v>-1961.3226388327842</v>
      </c>
      <c r="M329" s="4">
        <f t="shared" ca="1" si="250"/>
        <v>-1926.347038371596</v>
      </c>
      <c r="N329" s="4">
        <f t="shared" ca="1" si="250"/>
        <v>-1913.1147590166324</v>
      </c>
      <c r="O329" s="4">
        <f t="shared" ca="1" si="250"/>
        <v>-1924.0040189344984</v>
      </c>
      <c r="P329" s="4">
        <f t="shared" ca="1" si="250"/>
        <v>-1965.2162257998116</v>
      </c>
      <c r="Q329" s="4">
        <f t="shared" ca="1" si="250"/>
        <v>-2053.2162681632058</v>
      </c>
      <c r="R329" s="4">
        <f t="shared" ca="1" si="250"/>
        <v>-1986.3185903686613</v>
      </c>
      <c r="S329" s="4">
        <f t="shared" ca="1" si="250"/>
        <v>-1548.613121565603</v>
      </c>
      <c r="T329" s="4">
        <f t="shared" ca="1" si="250"/>
        <v>-946.59883807210895</v>
      </c>
      <c r="U329" s="4">
        <f t="shared" ca="1" si="250"/>
        <v>-369.51565450326245</v>
      </c>
      <c r="V329" s="4">
        <f t="shared" ca="1" si="250"/>
        <v>221.51207462668995</v>
      </c>
      <c r="W329" s="4">
        <f t="shared" ca="1" si="250"/>
        <v>637.02547656773595</v>
      </c>
      <c r="X329" s="4">
        <f t="shared" ca="1" si="250"/>
        <v>670.0732434630246</v>
      </c>
      <c r="Y329" s="4">
        <f t="shared" ca="1" si="250"/>
        <v>535.84560863805393</v>
      </c>
      <c r="Z329" s="4">
        <f t="shared" ca="1" si="250"/>
        <v>434.97194361373221</v>
      </c>
      <c r="AA329" s="4">
        <f t="shared" ca="1" si="250"/>
        <v>349.45321884012952</v>
      </c>
      <c r="AB329" s="10">
        <f t="shared" ca="1" si="229"/>
        <v>309.19344113278993</v>
      </c>
    </row>
    <row r="330" spans="4:28" x14ac:dyDescent="0.25">
      <c r="D330" s="17"/>
      <c r="E330" s="2">
        <f t="shared" si="226"/>
        <v>1.8000000000000005</v>
      </c>
      <c r="H330" s="10">
        <f t="shared" ca="1" si="227"/>
        <v>-2378.2563339817475</v>
      </c>
      <c r="I330" s="4">
        <f t="shared" ref="I330:AA330" ca="1" si="251">-D*(J280-H280)/(2*delta)</f>
        <v>-2314.2068392314072</v>
      </c>
      <c r="J330" s="4">
        <f t="shared" ca="1" si="251"/>
        <v>-2200.8821206648504</v>
      </c>
      <c r="K330" s="4">
        <f t="shared" ca="1" si="251"/>
        <v>-2116.045388076368</v>
      </c>
      <c r="L330" s="4">
        <f t="shared" ca="1" si="251"/>
        <v>-2058.1876967258381</v>
      </c>
      <c r="M330" s="4">
        <f t="shared" ca="1" si="251"/>
        <v>-2027.0690737026637</v>
      </c>
      <c r="N330" s="4">
        <f t="shared" ca="1" si="251"/>
        <v>-2023.9455138090314</v>
      </c>
      <c r="O330" s="4">
        <f t="shared" ca="1" si="251"/>
        <v>-2052.1781209875794</v>
      </c>
      <c r="P330" s="4">
        <f t="shared" ca="1" si="251"/>
        <v>-2118.5111808415586</v>
      </c>
      <c r="Q330" s="4">
        <f t="shared" ca="1" si="251"/>
        <v>-2235.2233651931178</v>
      </c>
      <c r="R330" s="4">
        <f t="shared" ca="1" si="251"/>
        <v>-2171.1646101628635</v>
      </c>
      <c r="S330" s="4">
        <f t="shared" ca="1" si="251"/>
        <v>-1684.267542418328</v>
      </c>
      <c r="T330" s="4">
        <f t="shared" ca="1" si="251"/>
        <v>-1003.8021626919689</v>
      </c>
      <c r="U330" s="4">
        <f t="shared" ca="1" si="251"/>
        <v>-345.8498427391778</v>
      </c>
      <c r="V330" s="4">
        <f t="shared" ca="1" si="251"/>
        <v>322.02353434736767</v>
      </c>
      <c r="W330" s="4">
        <f t="shared" ca="1" si="251"/>
        <v>783.40230825090123</v>
      </c>
      <c r="X330" s="4">
        <f t="shared" ca="1" si="251"/>
        <v>808.32019715344256</v>
      </c>
      <c r="Y330" s="4">
        <f t="shared" ca="1" si="251"/>
        <v>637.72384249936601</v>
      </c>
      <c r="Z330" s="4">
        <f t="shared" ca="1" si="251"/>
        <v>501.10276677139103</v>
      </c>
      <c r="AA330" s="4">
        <f t="shared" ca="1" si="251"/>
        <v>383.76959379170825</v>
      </c>
      <c r="AB330" s="10">
        <f t="shared" ca="1" si="229"/>
        <v>328.46105161623314</v>
      </c>
    </row>
    <row r="331" spans="4:28" x14ac:dyDescent="0.25">
      <c r="D331" s="17"/>
      <c r="E331" s="2">
        <f t="shared" si="226"/>
        <v>1.7000000000000004</v>
      </c>
      <c r="H331" s="10">
        <f t="shared" ca="1" si="227"/>
        <v>-2472.6349604027691</v>
      </c>
      <c r="I331" s="4">
        <f t="shared" ref="I331:AA331" ca="1" si="252">-D*(J281-H281)/(2*delta)</f>
        <v>-2402.1300816525263</v>
      </c>
      <c r="J331" s="4">
        <f t="shared" ca="1" si="252"/>
        <v>-2278.3524078899441</v>
      </c>
      <c r="K331" s="4">
        <f t="shared" ca="1" si="252"/>
        <v>-2187.7054596229982</v>
      </c>
      <c r="L331" s="4">
        <f t="shared" ca="1" si="252"/>
        <v>-2128.2972045947454</v>
      </c>
      <c r="M331" s="4">
        <f t="shared" ca="1" si="252"/>
        <v>-2099.7773085486028</v>
      </c>
      <c r="N331" s="4">
        <f t="shared" ca="1" si="252"/>
        <v>-2103.3994848999109</v>
      </c>
      <c r="O331" s="4">
        <f t="shared" ca="1" si="252"/>
        <v>-2142.2296148225842</v>
      </c>
      <c r="P331" s="4">
        <f t="shared" ca="1" si="252"/>
        <v>-2221.4036220959365</v>
      </c>
      <c r="Q331" s="4">
        <f t="shared" ca="1" si="252"/>
        <v>-2347.9770487405126</v>
      </c>
      <c r="R331" s="4">
        <f t="shared" ca="1" si="252"/>
        <v>-2278.8238610260964</v>
      </c>
      <c r="S331" s="4">
        <f t="shared" ca="1" si="252"/>
        <v>-1763.4646633057339</v>
      </c>
      <c r="T331" s="4">
        <f t="shared" ca="1" si="252"/>
        <v>-1038.4664459831065</v>
      </c>
      <c r="U331" s="4">
        <f t="shared" ca="1" si="252"/>
        <v>-332.07885785882559</v>
      </c>
      <c r="V331" s="4">
        <f t="shared" ca="1" si="252"/>
        <v>379.05599758200913</v>
      </c>
      <c r="W331" s="4">
        <f t="shared" ca="1" si="252"/>
        <v>866.26656210141937</v>
      </c>
      <c r="X331" s="4">
        <f t="shared" ca="1" si="252"/>
        <v>892.10808417301394</v>
      </c>
      <c r="Y331" s="4">
        <f t="shared" ca="1" si="252"/>
        <v>705.65370886523635</v>
      </c>
      <c r="Z331" s="4">
        <f t="shared" ca="1" si="252"/>
        <v>547.97294754103655</v>
      </c>
      <c r="AA331" s="4">
        <f t="shared" ca="1" si="252"/>
        <v>409.11484300704024</v>
      </c>
      <c r="AB331" s="10">
        <f t="shared" ca="1" si="229"/>
        <v>343.1911136339541</v>
      </c>
    </row>
    <row r="332" spans="4:28" x14ac:dyDescent="0.25">
      <c r="D332" s="17"/>
      <c r="E332" s="2">
        <f t="shared" si="226"/>
        <v>1.6000000000000003</v>
      </c>
      <c r="H332" s="10">
        <f t="shared" ca="1" si="227"/>
        <v>-2528.1511578302252</v>
      </c>
      <c r="I332" s="4">
        <f t="shared" ref="I332:AA332" ca="1" si="253">-D*(J282-H282)/(2*delta)</f>
        <v>-2453.3855986295216</v>
      </c>
      <c r="J332" s="4">
        <f t="shared" ca="1" si="253"/>
        <v>-2322.681464146669</v>
      </c>
      <c r="K332" s="4">
        <f t="shared" ca="1" si="253"/>
        <v>-2228.1132633343377</v>
      </c>
      <c r="L332" s="4">
        <f t="shared" ca="1" si="253"/>
        <v>-2167.5021555235894</v>
      </c>
      <c r="M332" s="4">
        <f t="shared" ca="1" si="253"/>
        <v>-2140.3250563470806</v>
      </c>
      <c r="N332" s="4">
        <f t="shared" ca="1" si="253"/>
        <v>-2147.6252408864625</v>
      </c>
      <c r="O332" s="4">
        <f t="shared" ca="1" si="253"/>
        <v>-2191.9154573166416</v>
      </c>
      <c r="P332" s="4">
        <f t="shared" ca="1" si="253"/>
        <v>-2276.8736573912433</v>
      </c>
      <c r="Q332" s="4">
        <f t="shared" ca="1" si="253"/>
        <v>-2406.4334129450976</v>
      </c>
      <c r="R332" s="4">
        <f t="shared" ca="1" si="253"/>
        <v>-2332.6644718066641</v>
      </c>
      <c r="S332" s="4">
        <f t="shared" ca="1" si="253"/>
        <v>-1802.2756323675542</v>
      </c>
      <c r="T332" s="4">
        <f t="shared" ca="1" si="253"/>
        <v>-1054.4945652332808</v>
      </c>
      <c r="U332" s="4">
        <f t="shared" ca="1" si="253"/>
        <v>-323.02936088076996</v>
      </c>
      <c r="V332" s="4">
        <f t="shared" ca="1" si="253"/>
        <v>410.03869843467049</v>
      </c>
      <c r="W332" s="4">
        <f t="shared" ca="1" si="253"/>
        <v>910.52593966561858</v>
      </c>
      <c r="X332" s="4">
        <f t="shared" ca="1" si="253"/>
        <v>938.21809983852097</v>
      </c>
      <c r="Y332" s="4">
        <f t="shared" ca="1" si="253"/>
        <v>744.83641026856844</v>
      </c>
      <c r="Z332" s="4">
        <f t="shared" ca="1" si="253"/>
        <v>576.04726325365482</v>
      </c>
      <c r="AA332" s="4">
        <f t="shared" ca="1" si="253"/>
        <v>424.81519731463936</v>
      </c>
      <c r="AB332" s="10">
        <f t="shared" ca="1" si="229"/>
        <v>352.62567560799545</v>
      </c>
    </row>
    <row r="333" spans="4:28" x14ac:dyDescent="0.25">
      <c r="D333" s="17"/>
      <c r="E333" s="2">
        <f t="shared" si="226"/>
        <v>1.5000000000000002</v>
      </c>
      <c r="H333" s="10">
        <f t="shared" ca="1" si="227"/>
        <v>-2541.0224465480496</v>
      </c>
      <c r="I333" s="4">
        <f t="shared" ref="I333:AA333" ca="1" si="254">-D*(J283-H283)/(2*delta)</f>
        <v>-2464.4873543492859</v>
      </c>
      <c r="J333" s="4">
        <f t="shared" ca="1" si="254"/>
        <v>-2330.8643290409314</v>
      </c>
      <c r="K333" s="4">
        <f t="shared" ca="1" si="254"/>
        <v>-2234.5507202778422</v>
      </c>
      <c r="L333" s="4">
        <f t="shared" ca="1" si="254"/>
        <v>-2173.257283027021</v>
      </c>
      <c r="M333" s="4">
        <f t="shared" ca="1" si="254"/>
        <v>-2146.3775415352047</v>
      </c>
      <c r="N333" s="4">
        <f t="shared" ca="1" si="254"/>
        <v>-2154.8411829453521</v>
      </c>
      <c r="O333" s="4">
        <f t="shared" ca="1" si="254"/>
        <v>-2200.9120574305803</v>
      </c>
      <c r="P333" s="4">
        <f t="shared" ca="1" si="254"/>
        <v>-2287.7196944868615</v>
      </c>
      <c r="Q333" s="4">
        <f t="shared" ca="1" si="254"/>
        <v>-2418.1951062997923</v>
      </c>
      <c r="R333" s="4">
        <f t="shared" ca="1" si="254"/>
        <v>-2343.1009137645119</v>
      </c>
      <c r="S333" s="4">
        <f t="shared" ca="1" si="254"/>
        <v>-1808.454252843406</v>
      </c>
      <c r="T333" s="4">
        <f t="shared" ca="1" si="254"/>
        <v>-1054.1818904435472</v>
      </c>
      <c r="U333" s="4">
        <f t="shared" ca="1" si="254"/>
        <v>-315.55754867175455</v>
      </c>
      <c r="V333" s="4">
        <f t="shared" ca="1" si="254"/>
        <v>423.62755102011374</v>
      </c>
      <c r="W333" s="4">
        <f t="shared" ca="1" si="254"/>
        <v>927.60586340684517</v>
      </c>
      <c r="X333" s="4">
        <f t="shared" ca="1" si="254"/>
        <v>955.42757683274317</v>
      </c>
      <c r="Y333" s="4">
        <f t="shared" ca="1" si="254"/>
        <v>759.45239323660758</v>
      </c>
      <c r="Z333" s="4">
        <f t="shared" ca="1" si="254"/>
        <v>586.59065639996368</v>
      </c>
      <c r="AA333" s="4">
        <f t="shared" ca="1" si="254"/>
        <v>430.75689074800891</v>
      </c>
      <c r="AB333" s="10">
        <f t="shared" ca="1" si="229"/>
        <v>356.22259742604865</v>
      </c>
    </row>
    <row r="334" spans="4:28" x14ac:dyDescent="0.25">
      <c r="D334" s="17"/>
      <c r="E334" s="2">
        <f t="shared" si="226"/>
        <v>1.4000000000000001</v>
      </c>
      <c r="H334" s="10">
        <f t="shared" ca="1" si="227"/>
        <v>-2509.8073252464928</v>
      </c>
      <c r="I334" s="4">
        <f t="shared" ref="I334:AA334" ca="1" si="255">-D*(J284-H284)/(2*delta)</f>
        <v>-2434.094553699003</v>
      </c>
      <c r="J334" s="4">
        <f t="shared" ca="1" si="255"/>
        <v>-2301.727830333019</v>
      </c>
      <c r="K334" s="4">
        <f t="shared" ca="1" si="255"/>
        <v>-2205.9551540006287</v>
      </c>
      <c r="L334" s="4">
        <f t="shared" ca="1" si="255"/>
        <v>-2144.5833800856835</v>
      </c>
      <c r="M334" s="4">
        <f t="shared" ca="1" si="255"/>
        <v>-2117.0692109037004</v>
      </c>
      <c r="N334" s="4">
        <f t="shared" ca="1" si="255"/>
        <v>-2124.4307106861206</v>
      </c>
      <c r="O334" s="4">
        <f t="shared" ca="1" si="255"/>
        <v>-2169.151281866807</v>
      </c>
      <c r="P334" s="4">
        <f t="shared" ca="1" si="255"/>
        <v>-2254.8761956259527</v>
      </c>
      <c r="Q334" s="4">
        <f t="shared" ca="1" si="255"/>
        <v>-2385.5037459645064</v>
      </c>
      <c r="R334" s="4">
        <f t="shared" ca="1" si="255"/>
        <v>-2313.0664876093447</v>
      </c>
      <c r="S334" s="4">
        <f t="shared" ca="1" si="255"/>
        <v>-1784.2347444576201</v>
      </c>
      <c r="T334" s="4">
        <f t="shared" ca="1" si="255"/>
        <v>-1038.1970203413391</v>
      </c>
      <c r="U334" s="4">
        <f t="shared" ca="1" si="255"/>
        <v>-308.62208787604328</v>
      </c>
      <c r="V334" s="4">
        <f t="shared" ca="1" si="255"/>
        <v>422.44775602852781</v>
      </c>
      <c r="W334" s="4">
        <f t="shared" ca="1" si="255"/>
        <v>920.86707878752861</v>
      </c>
      <c r="X334" s="4">
        <f t="shared" ca="1" si="255"/>
        <v>946.45878556907826</v>
      </c>
      <c r="Y334" s="4">
        <f t="shared" ca="1" si="255"/>
        <v>750.97997017253624</v>
      </c>
      <c r="Z334" s="4">
        <f t="shared" ca="1" si="255"/>
        <v>580.13144312624013</v>
      </c>
      <c r="AA334" s="4">
        <f t="shared" ca="1" si="255"/>
        <v>426.91066294414219</v>
      </c>
      <c r="AB334" s="10">
        <f t="shared" ca="1" si="229"/>
        <v>353.74847143351479</v>
      </c>
    </row>
    <row r="335" spans="4:28" x14ac:dyDescent="0.25">
      <c r="D335" s="17"/>
      <c r="E335" s="2">
        <f t="shared" si="226"/>
        <v>1.3</v>
      </c>
      <c r="H335" s="10">
        <f t="shared" ca="1" si="227"/>
        <v>-2435.4801320062975</v>
      </c>
      <c r="I335" s="4">
        <f t="shared" ref="I335:AA335" ca="1" si="256">-D*(J285-H285)/(2*delta)</f>
        <v>-2363.0828614366837</v>
      </c>
      <c r="J335" s="4">
        <f t="shared" ca="1" si="256"/>
        <v>-2235.987709026258</v>
      </c>
      <c r="K335" s="4">
        <f t="shared" ca="1" si="256"/>
        <v>-2142.9463143002818</v>
      </c>
      <c r="L335" s="4">
        <f t="shared" ca="1" si="256"/>
        <v>-2082.0371116926626</v>
      </c>
      <c r="M335" s="4">
        <f t="shared" ca="1" si="256"/>
        <v>-2052.8684310938124</v>
      </c>
      <c r="N335" s="4">
        <f t="shared" ca="1" si="256"/>
        <v>-2056.6427040339472</v>
      </c>
      <c r="O335" s="4">
        <f t="shared" ca="1" si="256"/>
        <v>-2096.366322492066</v>
      </c>
      <c r="P335" s="4">
        <f t="shared" ca="1" si="256"/>
        <v>-2177.1091138084535</v>
      </c>
      <c r="Q335" s="4">
        <f t="shared" ca="1" si="256"/>
        <v>-2305.8553846121522</v>
      </c>
      <c r="R335" s="4">
        <f t="shared" ca="1" si="256"/>
        <v>-2239.4040833775125</v>
      </c>
      <c r="S335" s="4">
        <f t="shared" ca="1" si="256"/>
        <v>-1727.198278685677</v>
      </c>
      <c r="T335" s="4">
        <f t="shared" ca="1" si="256"/>
        <v>-1005.7260886540312</v>
      </c>
      <c r="U335" s="4">
        <f t="shared" ca="1" si="256"/>
        <v>-303.15804531581665</v>
      </c>
      <c r="V335" s="4">
        <f t="shared" ca="1" si="256"/>
        <v>403.94212817499124</v>
      </c>
      <c r="W335" s="4">
        <f t="shared" ca="1" si="256"/>
        <v>886.97967900167737</v>
      </c>
      <c r="X335" s="4">
        <f t="shared" ca="1" si="256"/>
        <v>908.58442208610825</v>
      </c>
      <c r="Y335" s="4">
        <f t="shared" ca="1" si="256"/>
        <v>717.90136259131896</v>
      </c>
      <c r="Z335" s="4">
        <f t="shared" ca="1" si="256"/>
        <v>556.0688985386646</v>
      </c>
      <c r="AA335" s="4">
        <f t="shared" ca="1" si="256"/>
        <v>413.20189890988962</v>
      </c>
      <c r="AB335" s="10">
        <f t="shared" ca="1" si="229"/>
        <v>345.31746072529108</v>
      </c>
    </row>
    <row r="336" spans="4:28" x14ac:dyDescent="0.25">
      <c r="D336" s="17"/>
      <c r="E336" s="2">
        <f t="shared" si="226"/>
        <v>1.2</v>
      </c>
      <c r="H336" s="10">
        <f t="shared" ca="1" si="227"/>
        <v>-2321.3480657170767</v>
      </c>
      <c r="I336" s="4">
        <f t="shared" ref="I336:AA336" ca="1" si="257">-D*(J286-H286)/(2*delta)</f>
        <v>-2254.4654890130619</v>
      </c>
      <c r="J336" s="4">
        <f t="shared" ca="1" si="257"/>
        <v>-2136.1846844514421</v>
      </c>
      <c r="K336" s="4">
        <f t="shared" ca="1" si="257"/>
        <v>-2047.7934677650426</v>
      </c>
      <c r="L336" s="4">
        <f t="shared" ca="1" si="257"/>
        <v>-1987.7362247508115</v>
      </c>
      <c r="M336" s="4">
        <f t="shared" ca="1" si="257"/>
        <v>-1955.7086728173219</v>
      </c>
      <c r="N336" s="4">
        <f t="shared" ca="1" si="257"/>
        <v>-1952.8877200157292</v>
      </c>
      <c r="O336" s="4">
        <f t="shared" ca="1" si="257"/>
        <v>-1982.5432422581039</v>
      </c>
      <c r="P336" s="4">
        <f t="shared" ca="1" si="257"/>
        <v>-2051.3185490961851</v>
      </c>
      <c r="Q336" s="4">
        <f t="shared" ca="1" si="257"/>
        <v>-2171.3837673685175</v>
      </c>
      <c r="R336" s="4">
        <f t="shared" ca="1" si="257"/>
        <v>-2111.4747308305314</v>
      </c>
      <c r="S336" s="4">
        <f t="shared" ca="1" si="257"/>
        <v>-1629.406292307893</v>
      </c>
      <c r="T336" s="4">
        <f t="shared" ca="1" si="257"/>
        <v>-954.32878755819854</v>
      </c>
      <c r="U336" s="4">
        <f t="shared" ca="1" si="257"/>
        <v>-302.20369685025082</v>
      </c>
      <c r="V336" s="4">
        <f t="shared" ca="1" si="257"/>
        <v>359.52170505828366</v>
      </c>
      <c r="W336" s="4">
        <f t="shared" ca="1" si="257"/>
        <v>814.54778643578243</v>
      </c>
      <c r="X336" s="4">
        <f t="shared" ca="1" si="257"/>
        <v>833.0206912782985</v>
      </c>
      <c r="Y336" s="4">
        <f t="shared" ca="1" si="257"/>
        <v>655.99517891820028</v>
      </c>
      <c r="Z336" s="4">
        <f t="shared" ca="1" si="257"/>
        <v>513.06420638538623</v>
      </c>
      <c r="AA336" s="4">
        <f t="shared" ca="1" si="257"/>
        <v>389.63907284136411</v>
      </c>
      <c r="AB336" s="10">
        <f t="shared" ca="1" si="229"/>
        <v>331.35107330924512</v>
      </c>
    </row>
    <row r="337" spans="4:28" x14ac:dyDescent="0.25">
      <c r="D337" s="17"/>
      <c r="E337" s="2">
        <f t="shared" si="226"/>
        <v>1.0999999999999999</v>
      </c>
      <c r="H337" s="10">
        <f t="shared" ca="1" si="227"/>
        <v>-2172.7855975330126</v>
      </c>
      <c r="I337" s="4">
        <f t="shared" ref="I337:AA337" ca="1" si="258">-D*(J287-H287)/(2*delta)</f>
        <v>-2113.1449163949333</v>
      </c>
      <c r="J337" s="4">
        <f t="shared" ca="1" si="258"/>
        <v>-2006.483412168209</v>
      </c>
      <c r="K337" s="4">
        <f t="shared" ca="1" si="258"/>
        <v>-1924.2954612019087</v>
      </c>
      <c r="L337" s="4">
        <f t="shared" ca="1" si="258"/>
        <v>-1865.3923003872155</v>
      </c>
      <c r="M337" s="4">
        <f t="shared" ca="1" si="258"/>
        <v>-1829.3271435865126</v>
      </c>
      <c r="N337" s="4">
        <f t="shared" ca="1" si="258"/>
        <v>-1816.6395679137672</v>
      </c>
      <c r="O337" s="4">
        <f t="shared" ca="1" si="258"/>
        <v>-1829.5824383889885</v>
      </c>
      <c r="P337" s="4">
        <f t="shared" ca="1" si="258"/>
        <v>-1874.2191347221699</v>
      </c>
      <c r="Q337" s="4">
        <f t="shared" ca="1" si="258"/>
        <v>-1966.8666860669994</v>
      </c>
      <c r="R337" s="4">
        <f t="shared" ca="1" si="258"/>
        <v>-1905.6844707238281</v>
      </c>
      <c r="S337" s="4">
        <f t="shared" ca="1" si="258"/>
        <v>-1474.6026325430446</v>
      </c>
      <c r="T337" s="4">
        <f t="shared" ca="1" si="258"/>
        <v>-879.95803280661085</v>
      </c>
      <c r="U337" s="4">
        <f t="shared" ca="1" si="258"/>
        <v>-310.82841789513498</v>
      </c>
      <c r="V337" s="4">
        <f t="shared" ca="1" si="258"/>
        <v>271.82198249975033</v>
      </c>
      <c r="W337" s="4">
        <f t="shared" ca="1" si="258"/>
        <v>678.69056166903965</v>
      </c>
      <c r="X337" s="4">
        <f t="shared" ca="1" si="258"/>
        <v>702.97699262834874</v>
      </c>
      <c r="Y337" s="4">
        <f t="shared" ca="1" si="258"/>
        <v>560.01624950229461</v>
      </c>
      <c r="Z337" s="4">
        <f t="shared" ca="1" si="258"/>
        <v>450.57575084012512</v>
      </c>
      <c r="AA337" s="4">
        <f t="shared" ca="1" si="258"/>
        <v>356.7878282710542</v>
      </c>
      <c r="AB337" s="10">
        <f t="shared" ca="1" si="229"/>
        <v>312.48386976989804</v>
      </c>
    </row>
    <row r="338" spans="4:28" x14ac:dyDescent="0.25">
      <c r="D338" s="17"/>
      <c r="E338" s="2">
        <f t="shared" si="226"/>
        <v>0.99999999999999989</v>
      </c>
      <c r="H338" s="10">
        <f t="shared" ca="1" si="227"/>
        <v>-1996.7377137431054</v>
      </c>
      <c r="I338" s="4">
        <f t="shared" ref="I338:AA338" ca="1" si="259">-D*(J288-H288)/(2*delta)</f>
        <v>-1945.4583542459231</v>
      </c>
      <c r="J338" s="4">
        <f t="shared" ca="1" si="259"/>
        <v>-1852.3004652556974</v>
      </c>
      <c r="K338" s="4">
        <f t="shared" ca="1" si="259"/>
        <v>-1777.5021746145412</v>
      </c>
      <c r="L338" s="4">
        <f t="shared" ca="1" si="259"/>
        <v>-1720.1978571778789</v>
      </c>
      <c r="M338" s="4">
        <f t="shared" ca="1" si="259"/>
        <v>-1679.5538069783372</v>
      </c>
      <c r="N338" s="4">
        <f t="shared" ca="1" si="259"/>
        <v>-1654.7453172092175</v>
      </c>
      <c r="O338" s="4">
        <f t="shared" ca="1" si="259"/>
        <v>-1644.9109879959356</v>
      </c>
      <c r="P338" s="4">
        <f t="shared" ca="1" si="259"/>
        <v>-1649.0911078306526</v>
      </c>
      <c r="Q338" s="4">
        <f t="shared" ca="1" si="259"/>
        <v>-1666.1608819885776</v>
      </c>
      <c r="R338" s="4">
        <f t="shared" ca="1" si="259"/>
        <v>-1569.7747901145033</v>
      </c>
      <c r="S338" s="4">
        <f t="shared" ca="1" si="259"/>
        <v>-1233.3422876880231</v>
      </c>
      <c r="T338" s="4">
        <f t="shared" ca="1" si="259"/>
        <v>-780.05256521673573</v>
      </c>
      <c r="U338" s="4">
        <f t="shared" ca="1" si="259"/>
        <v>-332.95400684190969</v>
      </c>
      <c r="V338" s="4">
        <f t="shared" ca="1" si="259"/>
        <v>109.92412854528816</v>
      </c>
      <c r="W338" s="4">
        <f t="shared" ca="1" si="259"/>
        <v>425.43563685912773</v>
      </c>
      <c r="X338" s="4">
        <f t="shared" ca="1" si="259"/>
        <v>490.2007358282217</v>
      </c>
      <c r="Y338" s="4">
        <f t="shared" ca="1" si="259"/>
        <v>430.53751132260925</v>
      </c>
      <c r="Z338" s="4">
        <f t="shared" ca="1" si="259"/>
        <v>372.45541872917738</v>
      </c>
      <c r="AA338" s="4">
        <f t="shared" ca="1" si="259"/>
        <v>316.70705490955339</v>
      </c>
      <c r="AB338" s="10">
        <f t="shared" ca="1" si="229"/>
        <v>289.49675862318628</v>
      </c>
    </row>
    <row r="339" spans="4:28" x14ac:dyDescent="0.25">
      <c r="D339" s="17"/>
      <c r="E339" s="2">
        <f t="shared" si="226"/>
        <v>0.89999999999999991</v>
      </c>
      <c r="H339" s="10">
        <f t="shared" ca="1" si="227"/>
        <v>-1800.9843609383274</v>
      </c>
      <c r="I339" s="4">
        <f t="shared" ref="I339:AA339" ca="1" si="260">-D*(J289-H289)/(2*delta)</f>
        <v>-1758.5150514235027</v>
      </c>
      <c r="J339" s="4">
        <f t="shared" ca="1" si="260"/>
        <v>-1679.7503864334267</v>
      </c>
      <c r="K339" s="4">
        <f t="shared" ca="1" si="260"/>
        <v>-1613.2051852009533</v>
      </c>
      <c r="L339" s="4">
        <f t="shared" ca="1" si="260"/>
        <v>-1558.331539523474</v>
      </c>
      <c r="M339" s="4">
        <f t="shared" ca="1" si="260"/>
        <v>-1513.9317158279143</v>
      </c>
      <c r="N339" s="4">
        <f t="shared" ca="1" si="260"/>
        <v>-1477.8623893635008</v>
      </c>
      <c r="O339" s="4">
        <f t="shared" ca="1" si="260"/>
        <v>-1446.2094886971324</v>
      </c>
      <c r="P339" s="4">
        <f t="shared" ca="1" si="260"/>
        <v>-1411.0569580122883</v>
      </c>
      <c r="Q339" s="4">
        <f t="shared" ca="1" si="260"/>
        <v>-1353.8937965605046</v>
      </c>
      <c r="R339" s="4">
        <f t="shared" ca="1" si="260"/>
        <v>-1223.8938590155294</v>
      </c>
      <c r="S339" s="4">
        <f t="shared" ca="1" si="260"/>
        <v>-983.92112778165392</v>
      </c>
      <c r="T339" s="4">
        <f t="shared" ca="1" si="260"/>
        <v>-673.93763744229432</v>
      </c>
      <c r="U339" s="4">
        <f t="shared" ca="1" si="260"/>
        <v>-350.84070083920096</v>
      </c>
      <c r="V339" s="4">
        <f t="shared" ca="1" si="260"/>
        <v>-49.588505923543174</v>
      </c>
      <c r="W339" s="4">
        <f t="shared" ca="1" si="260"/>
        <v>172.94581066886866</v>
      </c>
      <c r="X339" s="4">
        <f t="shared" ca="1" si="260"/>
        <v>276.87159942127477</v>
      </c>
      <c r="Y339" s="4">
        <f t="shared" ca="1" si="260"/>
        <v>299.49659388223256</v>
      </c>
      <c r="Z339" s="4">
        <f t="shared" ca="1" si="260"/>
        <v>292.02055507054951</v>
      </c>
      <c r="AA339" s="4">
        <f t="shared" ca="1" si="260"/>
        <v>273.72256967486578</v>
      </c>
      <c r="AB339" s="10">
        <f t="shared" ca="1" si="229"/>
        <v>263.33841917300202</v>
      </c>
    </row>
    <row r="340" spans="4:28" x14ac:dyDescent="0.25">
      <c r="D340" s="17"/>
      <c r="E340" s="2">
        <f t="shared" si="226"/>
        <v>0.79999999999999993</v>
      </c>
      <c r="H340" s="10">
        <f t="shared" ca="1" si="227"/>
        <v>-1593.2615191045522</v>
      </c>
      <c r="I340" s="4">
        <f t="shared" ref="I340:AA340" ca="1" si="261">-D*(J290-H290)/(2*delta)</f>
        <v>-1559.4101406534426</v>
      </c>
      <c r="J340" s="4">
        <f t="shared" ca="1" si="261"/>
        <v>-1494.9739437820042</v>
      </c>
      <c r="K340" s="4">
        <f t="shared" ca="1" si="261"/>
        <v>-1437.2277298970575</v>
      </c>
      <c r="L340" s="4">
        <f t="shared" ca="1" si="261"/>
        <v>-1385.9807707737286</v>
      </c>
      <c r="M340" s="4">
        <f t="shared" ca="1" si="261"/>
        <v>-1339.9670456184406</v>
      </c>
      <c r="N340" s="4">
        <f t="shared" ca="1" si="261"/>
        <v>-1296.5497432256711</v>
      </c>
      <c r="O340" s="4">
        <f t="shared" ca="1" si="261"/>
        <v>-1250.9933352207315</v>
      </c>
      <c r="P340" s="4">
        <f t="shared" ca="1" si="261"/>
        <v>-1195.0183594389371</v>
      </c>
      <c r="Q340" s="4">
        <f t="shared" ca="1" si="261"/>
        <v>-1114.4477862714596</v>
      </c>
      <c r="R340" s="4">
        <f t="shared" ca="1" si="261"/>
        <v>-987.96955036921713</v>
      </c>
      <c r="S340" s="4">
        <f t="shared" ca="1" si="261"/>
        <v>-804.4942132578351</v>
      </c>
      <c r="T340" s="4">
        <f t="shared" ca="1" si="261"/>
        <v>-580.9194032129642</v>
      </c>
      <c r="U340" s="4">
        <f t="shared" ca="1" si="261"/>
        <v>-346.86573934731069</v>
      </c>
      <c r="V340" s="4">
        <f t="shared" ca="1" si="261"/>
        <v>-130.36623791345457</v>
      </c>
      <c r="W340" s="4">
        <f t="shared" ca="1" si="261"/>
        <v>39.081625238259868</v>
      </c>
      <c r="X340" s="4">
        <f t="shared" ca="1" si="261"/>
        <v>144.86046884116661</v>
      </c>
      <c r="Y340" s="4">
        <f t="shared" ca="1" si="261"/>
        <v>198.57406386000252</v>
      </c>
      <c r="Z340" s="4">
        <f t="shared" ca="1" si="261"/>
        <v>222.42521602109875</v>
      </c>
      <c r="AA340" s="4">
        <f t="shared" ca="1" si="261"/>
        <v>232.1123086708289</v>
      </c>
      <c r="AB340" s="10">
        <f t="shared" ca="1" si="229"/>
        <v>234.97018181760217</v>
      </c>
    </row>
    <row r="341" spans="4:28" x14ac:dyDescent="0.25">
      <c r="D341" s="17"/>
      <c r="E341" s="2">
        <f t="shared" si="226"/>
        <v>0.7</v>
      </c>
      <c r="H341" s="10">
        <f t="shared" ca="1" si="227"/>
        <v>-1380.4316271436871</v>
      </c>
      <c r="I341" s="4">
        <f t="shared" ref="I341:AA341" ca="1" si="262">-D*(J291-H291)/(2*delta)</f>
        <v>-1354.4825197594394</v>
      </c>
      <c r="J341" s="4">
        <f t="shared" ca="1" si="262"/>
        <v>-1303.5012933133773</v>
      </c>
      <c r="K341" s="4">
        <f t="shared" ca="1" si="262"/>
        <v>-1254.7429827394963</v>
      </c>
      <c r="L341" s="4">
        <f t="shared" ca="1" si="262"/>
        <v>-1208.3871814458723</v>
      </c>
      <c r="M341" s="4">
        <f t="shared" ca="1" si="262"/>
        <v>-1163.3950563624405</v>
      </c>
      <c r="N341" s="4">
        <f t="shared" ca="1" si="262"/>
        <v>-1117.3642149459301</v>
      </c>
      <c r="O341" s="4">
        <f t="shared" ca="1" si="262"/>
        <v>-1066.1828676938399</v>
      </c>
      <c r="P341" s="4">
        <f t="shared" ca="1" si="262"/>
        <v>-1003.5617593888051</v>
      </c>
      <c r="Q341" s="4">
        <f t="shared" ca="1" si="262"/>
        <v>-920.89527958972417</v>
      </c>
      <c r="R341" s="4">
        <f t="shared" ca="1" si="262"/>
        <v>-809.02775979950718</v>
      </c>
      <c r="S341" s="4">
        <f t="shared" ca="1" si="262"/>
        <v>-665.15187973008119</v>
      </c>
      <c r="T341" s="4">
        <f t="shared" ca="1" si="262"/>
        <v>-498.36491535060111</v>
      </c>
      <c r="U341" s="4">
        <f t="shared" ca="1" si="262"/>
        <v>-325.32136268358931</v>
      </c>
      <c r="V341" s="4">
        <f t="shared" ca="1" si="262"/>
        <v>-164.0769793107734</v>
      </c>
      <c r="W341" s="4">
        <f t="shared" ca="1" si="262"/>
        <v>-31.098108220583924</v>
      </c>
      <c r="X341" s="4">
        <f t="shared" ca="1" si="262"/>
        <v>64.930108268053672</v>
      </c>
      <c r="Y341" s="4">
        <f t="shared" ca="1" si="262"/>
        <v>127.52962676866751</v>
      </c>
      <c r="Z341" s="4">
        <f t="shared" ca="1" si="262"/>
        <v>167.00978842484005</v>
      </c>
      <c r="AA341" s="4">
        <f t="shared" ca="1" si="262"/>
        <v>193.79000087812869</v>
      </c>
      <c r="AB341" s="10">
        <f t="shared" ca="1" si="229"/>
        <v>205.21918260283613</v>
      </c>
    </row>
    <row r="342" spans="4:28" x14ac:dyDescent="0.25">
      <c r="D342" s="17"/>
      <c r="E342" s="2">
        <f t="shared" si="226"/>
        <v>0.6</v>
      </c>
      <c r="H342" s="10">
        <f t="shared" ca="1" si="227"/>
        <v>-1167.8937529903942</v>
      </c>
      <c r="I342" s="4">
        <f t="shared" ref="I342:AA342" ca="1" si="263">-D*(J292-H292)/(2*delta)</f>
        <v>-1148.7815946196513</v>
      </c>
      <c r="J342" s="4">
        <f t="shared" ca="1" si="263"/>
        <v>-1109.8002149632846</v>
      </c>
      <c r="K342" s="4">
        <f t="shared" ca="1" si="263"/>
        <v>-1069.84861101924</v>
      </c>
      <c r="L342" s="4">
        <f t="shared" ca="1" si="263"/>
        <v>-1029.4214297782221</v>
      </c>
      <c r="M342" s="4">
        <f t="shared" ca="1" si="263"/>
        <v>-987.85213864458967</v>
      </c>
      <c r="N342" s="4">
        <f t="shared" ca="1" si="263"/>
        <v>-943.31858208545293</v>
      </c>
      <c r="O342" s="4">
        <f t="shared" ca="1" si="263"/>
        <v>-892.8007598240273</v>
      </c>
      <c r="P342" s="4">
        <f t="shared" ca="1" si="263"/>
        <v>-832.13849508159751</v>
      </c>
      <c r="Q342" s="4">
        <f t="shared" ca="1" si="263"/>
        <v>-756.53128148491203</v>
      </c>
      <c r="R342" s="4">
        <f t="shared" ca="1" si="263"/>
        <v>-662.08142297713152</v>
      </c>
      <c r="S342" s="4">
        <f t="shared" ca="1" si="263"/>
        <v>-548.7074507717881</v>
      </c>
      <c r="T342" s="4">
        <f t="shared" ca="1" si="263"/>
        <v>-422.05364534167137</v>
      </c>
      <c r="U342" s="4">
        <f t="shared" ca="1" si="263"/>
        <v>-291.96431770702065</v>
      </c>
      <c r="V342" s="4">
        <f t="shared" ca="1" si="263"/>
        <v>-169.50862124788588</v>
      </c>
      <c r="W342" s="4">
        <f t="shared" ca="1" si="263"/>
        <v>-64.313528924277804</v>
      </c>
      <c r="X342" s="4">
        <f t="shared" ca="1" si="263"/>
        <v>18.442182687511163</v>
      </c>
      <c r="Y342" s="4">
        <f t="shared" ca="1" si="263"/>
        <v>79.618397463588991</v>
      </c>
      <c r="Z342" s="4">
        <f t="shared" ca="1" si="263"/>
        <v>124.30833966882427</v>
      </c>
      <c r="AA342" s="4">
        <f t="shared" ca="1" si="263"/>
        <v>159.07412089544758</v>
      </c>
      <c r="AB342" s="10">
        <f t="shared" ca="1" si="229"/>
        <v>174.82320195527436</v>
      </c>
    </row>
    <row r="343" spans="4:28" x14ac:dyDescent="0.25">
      <c r="D343" s="17"/>
      <c r="E343" s="2">
        <f t="shared" si="226"/>
        <v>0.5</v>
      </c>
      <c r="H343" s="10">
        <f t="shared" ca="1" si="227"/>
        <v>-959.31921198671807</v>
      </c>
      <c r="I343" s="4">
        <f t="shared" ref="I343:AA343" ca="1" si="264">-D*(J293-H293)/(2*delta)</f>
        <v>-945.81738833647933</v>
      </c>
      <c r="J343" s="4">
        <f t="shared" ca="1" si="264"/>
        <v>-917.06459490972418</v>
      </c>
      <c r="K343" s="4">
        <f t="shared" ca="1" si="264"/>
        <v>-885.42366602298284</v>
      </c>
      <c r="L343" s="4">
        <f t="shared" ca="1" si="264"/>
        <v>-851.59045356823356</v>
      </c>
      <c r="M343" s="4">
        <f t="shared" ca="1" si="264"/>
        <v>-815.26515130140069</v>
      </c>
      <c r="N343" s="4">
        <f t="shared" ca="1" si="264"/>
        <v>-775.24804598489038</v>
      </c>
      <c r="O343" s="4">
        <f t="shared" ca="1" si="264"/>
        <v>-729.55324242957715</v>
      </c>
      <c r="P343" s="4">
        <f t="shared" ca="1" si="264"/>
        <v>-675.64977982956316</v>
      </c>
      <c r="Q343" s="4">
        <f t="shared" ca="1" si="264"/>
        <v>-610.99910047613446</v>
      </c>
      <c r="R343" s="4">
        <f t="shared" ca="1" si="264"/>
        <v>-534.04804811755719</v>
      </c>
      <c r="S343" s="4">
        <f t="shared" ca="1" si="264"/>
        <v>-445.53146737824801</v>
      </c>
      <c r="T343" s="4">
        <f t="shared" ca="1" si="264"/>
        <v>-349.16634519495955</v>
      </c>
      <c r="U343" s="4">
        <f t="shared" ca="1" si="264"/>
        <v>-250.96197813806151</v>
      </c>
      <c r="V343" s="4">
        <f t="shared" ca="1" si="264"/>
        <v>-157.66791943201468</v>
      </c>
      <c r="W343" s="4">
        <f t="shared" ca="1" si="264"/>
        <v>-75.077767903141279</v>
      </c>
      <c r="X343" s="4">
        <f t="shared" ca="1" si="264"/>
        <v>-6.4543768044679588</v>
      </c>
      <c r="Y343" s="4">
        <f t="shared" ca="1" si="264"/>
        <v>48.205408548692617</v>
      </c>
      <c r="Z343" s="4">
        <f t="shared" ca="1" si="264"/>
        <v>91.543174213739633</v>
      </c>
      <c r="AA343" s="4">
        <f t="shared" ca="1" si="264"/>
        <v>127.61705291217919</v>
      </c>
      <c r="AB343" s="10">
        <f t="shared" ca="1" si="229"/>
        <v>144.39739019175306</v>
      </c>
    </row>
    <row r="344" spans="4:28" x14ac:dyDescent="0.25">
      <c r="D344" s="17"/>
      <c r="E344" s="2">
        <f t="shared" si="226"/>
        <v>0.4</v>
      </c>
      <c r="H344" s="10">
        <f t="shared" ca="1" si="227"/>
        <v>-756.68037254696719</v>
      </c>
      <c r="I344" s="4">
        <f t="shared" ref="I344:AA344" ca="1" si="265">-D*(J294-H294)/(2*delta)</f>
        <v>-747.56849459027092</v>
      </c>
      <c r="J344" s="4">
        <f t="shared" ca="1" si="265"/>
        <v>-727.21311897326302</v>
      </c>
      <c r="K344" s="4">
        <f t="shared" ca="1" si="265"/>
        <v>-703.18585572660049</v>
      </c>
      <c r="L344" s="4">
        <f t="shared" ca="1" si="265"/>
        <v>-676.24542859445432</v>
      </c>
      <c r="M344" s="4">
        <f t="shared" ca="1" si="265"/>
        <v>-646.36299193950504</v>
      </c>
      <c r="N344" s="4">
        <f t="shared" ca="1" si="265"/>
        <v>-612.84753596355438</v>
      </c>
      <c r="O344" s="4">
        <f t="shared" ca="1" si="265"/>
        <v>-574.50614093925185</v>
      </c>
      <c r="P344" s="4">
        <f t="shared" ca="1" si="265"/>
        <v>-529.8995803064447</v>
      </c>
      <c r="Q344" s="4">
        <f t="shared" ca="1" si="265"/>
        <v>-477.75823370031799</v>
      </c>
      <c r="R344" s="4">
        <f t="shared" ca="1" si="265"/>
        <v>-417.57087214082151</v>
      </c>
      <c r="S344" s="4">
        <f t="shared" ca="1" si="265"/>
        <v>-350.19449875230708</v>
      </c>
      <c r="T344" s="4">
        <f t="shared" ca="1" si="265"/>
        <v>-278.10862559714974</v>
      </c>
      <c r="U344" s="4">
        <f t="shared" ca="1" si="265"/>
        <v>-205.03957302745775</v>
      </c>
      <c r="V344" s="4">
        <f t="shared" ca="1" si="265"/>
        <v>-135.11348948855405</v>
      </c>
      <c r="W344" s="4">
        <f t="shared" ca="1" si="265"/>
        <v>-71.865374060947431</v>
      </c>
      <c r="X344" s="4">
        <f t="shared" ca="1" si="265"/>
        <v>-17.377400936941481</v>
      </c>
      <c r="Y344" s="4">
        <f t="shared" ca="1" si="265"/>
        <v>28.124451574392175</v>
      </c>
      <c r="Z344" s="4">
        <f t="shared" ca="1" si="265"/>
        <v>66.052037420407643</v>
      </c>
      <c r="AA344" s="4">
        <f t="shared" ca="1" si="265"/>
        <v>98.878705101054024</v>
      </c>
      <c r="AB344" s="10">
        <f t="shared" ca="1" si="229"/>
        <v>114.37238958609346</v>
      </c>
    </row>
    <row r="345" spans="4:28" x14ac:dyDescent="0.25">
      <c r="D345" s="17"/>
      <c r="E345" s="2">
        <f t="shared" si="226"/>
        <v>0.30000000000000004</v>
      </c>
      <c r="H345" s="10">
        <f t="shared" ca="1" si="227"/>
        <v>-560.4748623106907</v>
      </c>
      <c r="I345" s="4">
        <f t="shared" ref="I345:AA345" ca="1" si="266">-D*(J295-H295)/(2*delta)</f>
        <v>-554.66653712011509</v>
      </c>
      <c r="J345" s="4">
        <f t="shared" ca="1" si="266"/>
        <v>-541.03033788258199</v>
      </c>
      <c r="K345" s="4">
        <f t="shared" ca="1" si="266"/>
        <v>-523.8570930451034</v>
      </c>
      <c r="L345" s="4">
        <f t="shared" ca="1" si="266"/>
        <v>-503.83750730416699</v>
      </c>
      <c r="M345" s="4">
        <f t="shared" ca="1" si="266"/>
        <v>-481.08827875861152</v>
      </c>
      <c r="N345" s="4">
        <f t="shared" ca="1" si="266"/>
        <v>-455.26683579442096</v>
      </c>
      <c r="O345" s="4">
        <f t="shared" ca="1" si="266"/>
        <v>-425.71762043883683</v>
      </c>
      <c r="P345" s="4">
        <f t="shared" ca="1" si="266"/>
        <v>-391.67721695901679</v>
      </c>
      <c r="Q345" s="4">
        <f t="shared" ca="1" si="266"/>
        <v>-352.5561467948873</v>
      </c>
      <c r="R345" s="4">
        <f t="shared" ca="1" si="266"/>
        <v>-308.27525704162287</v>
      </c>
      <c r="S345" s="4">
        <f t="shared" ca="1" si="266"/>
        <v>-259.55942173042143</v>
      </c>
      <c r="T345" s="4">
        <f t="shared" ca="1" si="266"/>
        <v>-208.02636749966445</v>
      </c>
      <c r="U345" s="4">
        <f t="shared" ca="1" si="266"/>
        <v>-155.96640689615251</v>
      </c>
      <c r="V345" s="4">
        <f t="shared" ca="1" si="266"/>
        <v>-105.87324852710375</v>
      </c>
      <c r="W345" s="4">
        <f t="shared" ca="1" si="266"/>
        <v>-59.88495384213789</v>
      </c>
      <c r="X345" s="4">
        <f t="shared" ca="1" si="266"/>
        <v>-19.306374511746402</v>
      </c>
      <c r="Y345" s="4">
        <f t="shared" ca="1" si="266"/>
        <v>15.625757455614879</v>
      </c>
      <c r="Z345" s="4">
        <f t="shared" ca="1" si="266"/>
        <v>45.669918663131249</v>
      </c>
      <c r="AA345" s="4">
        <f t="shared" ca="1" si="266"/>
        <v>72.293868698368399</v>
      </c>
      <c r="AB345" s="10">
        <f t="shared" ca="1" si="229"/>
        <v>84.967651080511288</v>
      </c>
    </row>
    <row r="346" spans="4:28" x14ac:dyDescent="0.25">
      <c r="D346" s="17"/>
      <c r="E346" s="2">
        <f t="shared" si="226"/>
        <v>0.2</v>
      </c>
      <c r="H346" s="10">
        <f t="shared" ca="1" si="227"/>
        <v>-370.04090852887754</v>
      </c>
      <c r="I346" s="4">
        <f t="shared" ref="I346:AA346" ca="1" si="267">-D*(J296-H296)/(2*delta)</f>
        <v>-366.66890308905391</v>
      </c>
      <c r="J346" s="4">
        <f t="shared" ca="1" si="267"/>
        <v>-358.38222723919927</v>
      </c>
      <c r="K346" s="4">
        <f t="shared" ca="1" si="267"/>
        <v>-347.3716122257166</v>
      </c>
      <c r="L346" s="4">
        <f t="shared" ca="1" si="267"/>
        <v>-334.15558511383085</v>
      </c>
      <c r="M346" s="4">
        <f t="shared" ca="1" si="267"/>
        <v>-318.88164222126153</v>
      </c>
      <c r="N346" s="4">
        <f t="shared" ca="1" si="267"/>
        <v>-301.40935859247594</v>
      </c>
      <c r="O346" s="4">
        <f t="shared" ca="1" si="267"/>
        <v>-281.41540154347962</v>
      </c>
      <c r="P346" s="4">
        <f t="shared" ca="1" si="267"/>
        <v>-258.53036352890376</v>
      </c>
      <c r="Q346" s="4">
        <f t="shared" ca="1" si="267"/>
        <v>-232.50851163285958</v>
      </c>
      <c r="R346" s="4">
        <f t="shared" ca="1" si="267"/>
        <v>-203.40905997259739</v>
      </c>
      <c r="S346" s="4">
        <f t="shared" ca="1" si="267"/>
        <v>-171.73591982961318</v>
      </c>
      <c r="T346" s="4">
        <f t="shared" ca="1" si="267"/>
        <v>-138.46529080613541</v>
      </c>
      <c r="U346" s="4">
        <f t="shared" ca="1" si="267"/>
        <v>-104.92065874555557</v>
      </c>
      <c r="V346" s="4">
        <f t="shared" ca="1" si="267"/>
        <v>-72.52232634438576</v>
      </c>
      <c r="W346" s="4">
        <f t="shared" ca="1" si="267"/>
        <v>-42.488970092758258</v>
      </c>
      <c r="X346" s="4">
        <f t="shared" ca="1" si="267"/>
        <v>-15.583018295044273</v>
      </c>
      <c r="Y346" s="4">
        <f t="shared" ca="1" si="267"/>
        <v>8.0209660131244345</v>
      </c>
      <c r="Z346" s="4">
        <f t="shared" ca="1" si="267"/>
        <v>28.714020361066819</v>
      </c>
      <c r="AA346" s="4">
        <f t="shared" ca="1" si="267"/>
        <v>47.310695351771315</v>
      </c>
      <c r="AB346" s="10">
        <f t="shared" ca="1" si="229"/>
        <v>56.207411561084051</v>
      </c>
    </row>
    <row r="347" spans="4:28" x14ac:dyDescent="0.25">
      <c r="D347" s="17"/>
      <c r="E347" s="2">
        <f t="shared" si="226"/>
        <v>0.1</v>
      </c>
      <c r="H347" s="10">
        <f t="shared" ca="1" si="227"/>
        <v>-183.88751309674817</v>
      </c>
      <c r="I347" s="4">
        <f t="shared" ref="I347:AA347" ca="1" si="268">-D*(J297-H297)/(2*delta)</f>
        <v>-182.35355991238353</v>
      </c>
      <c r="J347" s="4">
        <f t="shared" ca="1" si="268"/>
        <v>-178.45651238356652</v>
      </c>
      <c r="K347" s="4">
        <f t="shared" ca="1" si="268"/>
        <v>-173.08955994772211</v>
      </c>
      <c r="L347" s="4">
        <f t="shared" ca="1" si="268"/>
        <v>-166.52921891199384</v>
      </c>
      <c r="M347" s="4">
        <f t="shared" ca="1" si="268"/>
        <v>-158.87066877170739</v>
      </c>
      <c r="N347" s="4">
        <f t="shared" ca="1" si="268"/>
        <v>-150.07061241248539</v>
      </c>
      <c r="O347" s="4">
        <f t="shared" ca="1" si="268"/>
        <v>-140.00110449336384</v>
      </c>
      <c r="P347" s="4">
        <f t="shared" ca="1" si="268"/>
        <v>-128.51699118834952</v>
      </c>
      <c r="Q347" s="4">
        <f t="shared" ca="1" si="268"/>
        <v>-115.53500786154935</v>
      </c>
      <c r="R347" s="4">
        <f t="shared" ca="1" si="268"/>
        <v>-101.11298049755214</v>
      </c>
      <c r="S347" s="4">
        <f t="shared" ca="1" si="268"/>
        <v>-85.506261308291457</v>
      </c>
      <c r="T347" s="4">
        <f t="shared" ca="1" si="268"/>
        <v>-69.174519566486126</v>
      </c>
      <c r="U347" s="4">
        <f t="shared" ca="1" si="268"/>
        <v>-52.724878143414337</v>
      </c>
      <c r="V347" s="4">
        <f t="shared" ca="1" si="268"/>
        <v>-36.802670872925148</v>
      </c>
      <c r="W347" s="4">
        <f t="shared" ca="1" si="268"/>
        <v>-21.961804828636328</v>
      </c>
      <c r="X347" s="4">
        <f t="shared" ca="1" si="268"/>
        <v>-8.5538950941538836</v>
      </c>
      <c r="Y347" s="4">
        <f t="shared" ca="1" si="268"/>
        <v>3.3309364869333344</v>
      </c>
      <c r="Z347" s="4">
        <f t="shared" ca="1" si="268"/>
        <v>13.858384031040819</v>
      </c>
      <c r="AA347" s="4">
        <f t="shared" ca="1" si="268"/>
        <v>23.390311982104357</v>
      </c>
      <c r="AB347" s="10">
        <f t="shared" ca="1" si="229"/>
        <v>27.962353293630439</v>
      </c>
    </row>
    <row r="348" spans="4:28" x14ac:dyDescent="0.25">
      <c r="D348" s="17"/>
      <c r="E348" s="2">
        <v>0</v>
      </c>
      <c r="H348" s="10">
        <f t="shared" ca="1" si="227"/>
        <v>0</v>
      </c>
      <c r="I348" s="3">
        <f t="shared" ref="I348:AA348" ca="1" si="269">-D*(J298-H298)/(2*delta)</f>
        <v>0</v>
      </c>
      <c r="J348" s="3">
        <f t="shared" ca="1" si="269"/>
        <v>0</v>
      </c>
      <c r="K348" s="3">
        <f t="shared" ca="1" si="269"/>
        <v>0</v>
      </c>
      <c r="L348" s="3">
        <f t="shared" ca="1" si="269"/>
        <v>0</v>
      </c>
      <c r="M348" s="3">
        <f t="shared" ca="1" si="269"/>
        <v>0</v>
      </c>
      <c r="N348" s="3">
        <f t="shared" ca="1" si="269"/>
        <v>0</v>
      </c>
      <c r="O348" s="3">
        <f t="shared" ca="1" si="269"/>
        <v>0</v>
      </c>
      <c r="P348" s="3">
        <f t="shared" ca="1" si="269"/>
        <v>0</v>
      </c>
      <c r="Q348" s="3">
        <f t="shared" ca="1" si="269"/>
        <v>0</v>
      </c>
      <c r="R348" s="3">
        <f t="shared" ca="1" si="269"/>
        <v>0</v>
      </c>
      <c r="S348" s="3">
        <f t="shared" ca="1" si="269"/>
        <v>0</v>
      </c>
      <c r="T348" s="3">
        <f t="shared" ca="1" si="269"/>
        <v>0</v>
      </c>
      <c r="U348" s="3">
        <f t="shared" ca="1" si="269"/>
        <v>0</v>
      </c>
      <c r="V348" s="3">
        <f t="shared" ca="1" si="269"/>
        <v>0</v>
      </c>
      <c r="W348" s="3">
        <f t="shared" ca="1" si="269"/>
        <v>0</v>
      </c>
      <c r="X348" s="3">
        <f t="shared" ca="1" si="269"/>
        <v>0</v>
      </c>
      <c r="Y348" s="3">
        <f t="shared" ca="1" si="269"/>
        <v>0</v>
      </c>
      <c r="Z348" s="3">
        <f t="shared" ca="1" si="269"/>
        <v>0</v>
      </c>
      <c r="AA348" s="3">
        <f t="shared" ca="1" si="269"/>
        <v>0</v>
      </c>
      <c r="AB348" s="10">
        <f t="shared" ca="1" si="229"/>
        <v>0</v>
      </c>
    </row>
    <row r="353" spans="5:28" ht="18.75" x14ac:dyDescent="0.3">
      <c r="E353" s="1" t="s">
        <v>30</v>
      </c>
    </row>
    <row r="354" spans="5:28" x14ac:dyDescent="0.25">
      <c r="H354" s="16" t="s">
        <v>17</v>
      </c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</row>
    <row r="355" spans="5:28" x14ac:dyDescent="0.25">
      <c r="H355" s="2">
        <v>0</v>
      </c>
      <c r="I355" s="2">
        <f t="shared" ref="I355:AB355" si="270">+H355+delta</f>
        <v>0.1</v>
      </c>
      <c r="J355" s="2">
        <f t="shared" si="270"/>
        <v>0.2</v>
      </c>
      <c r="K355" s="2">
        <f t="shared" si="270"/>
        <v>0.30000000000000004</v>
      </c>
      <c r="L355" s="2">
        <f t="shared" si="270"/>
        <v>0.4</v>
      </c>
      <c r="M355" s="2">
        <f t="shared" si="270"/>
        <v>0.5</v>
      </c>
      <c r="N355" s="2">
        <f t="shared" si="270"/>
        <v>0.6</v>
      </c>
      <c r="O355" s="2">
        <f t="shared" si="270"/>
        <v>0.7</v>
      </c>
      <c r="P355" s="2">
        <f t="shared" si="270"/>
        <v>0.79999999999999993</v>
      </c>
      <c r="Q355" s="2">
        <f t="shared" si="270"/>
        <v>0.89999999999999991</v>
      </c>
      <c r="R355" s="2">
        <f t="shared" si="270"/>
        <v>0.99999999999999989</v>
      </c>
      <c r="S355" s="2">
        <f t="shared" si="270"/>
        <v>1.0999999999999999</v>
      </c>
      <c r="T355" s="2">
        <f t="shared" si="270"/>
        <v>1.2</v>
      </c>
      <c r="U355" s="2">
        <f t="shared" si="270"/>
        <v>1.3</v>
      </c>
      <c r="V355" s="2">
        <f t="shared" si="270"/>
        <v>1.4000000000000001</v>
      </c>
      <c r="W355" s="2">
        <f t="shared" si="270"/>
        <v>1.5000000000000002</v>
      </c>
      <c r="X355" s="2">
        <f t="shared" si="270"/>
        <v>1.6000000000000003</v>
      </c>
      <c r="Y355" s="2">
        <f t="shared" si="270"/>
        <v>1.7000000000000004</v>
      </c>
      <c r="Z355" s="2">
        <f t="shared" si="270"/>
        <v>1.8000000000000005</v>
      </c>
      <c r="AA355" s="2">
        <f t="shared" si="270"/>
        <v>1.9000000000000006</v>
      </c>
      <c r="AB355" s="2">
        <f t="shared" si="270"/>
        <v>2.0000000000000004</v>
      </c>
    </row>
    <row r="358" spans="5:28" x14ac:dyDescent="0.25">
      <c r="E358" s="2">
        <f t="shared" ref="E358:E397" si="271">E359+delta</f>
        <v>4.0000000000000018</v>
      </c>
      <c r="H358" s="10">
        <f t="shared" ref="H358:AB358" ca="1" si="272">-D*(H258-H259)/delta</f>
        <v>-610.26585323522806</v>
      </c>
      <c r="I358" s="10">
        <f t="shared" ca="1" si="272"/>
        <v>-568.17127677288067</v>
      </c>
      <c r="J358" s="10">
        <f t="shared" ca="1" si="272"/>
        <v>-523.38050267096446</v>
      </c>
      <c r="K358" s="10">
        <f t="shared" ca="1" si="272"/>
        <v>-476.81185164671524</v>
      </c>
      <c r="L358" s="10">
        <f t="shared" ca="1" si="272"/>
        <v>-429.33724931730876</v>
      </c>
      <c r="M358" s="10">
        <f t="shared" ca="1" si="272"/>
        <v>-381.77342933810934</v>
      </c>
      <c r="N358" s="10">
        <f t="shared" ca="1" si="272"/>
        <v>-334.87567664913189</v>
      </c>
      <c r="O358" s="10">
        <f t="shared" ca="1" si="272"/>
        <v>-289.33330907426591</v>
      </c>
      <c r="P358" s="10">
        <f t="shared" ca="1" si="272"/>
        <v>-245.76627136405955</v>
      </c>
      <c r="Q358" s="10">
        <f t="shared" ca="1" si="272"/>
        <v>-204.72245400105885</v>
      </c>
      <c r="R358" s="10">
        <f t="shared" ca="1" si="272"/>
        <v>-166.67560001949897</v>
      </c>
      <c r="S358" s="10">
        <f t="shared" ca="1" si="272"/>
        <v>-132.02387878334707</v>
      </c>
      <c r="T358" s="10">
        <f t="shared" ca="1" si="272"/>
        <v>-101.08934530285175</v>
      </c>
      <c r="U358" s="10">
        <f t="shared" ca="1" si="272"/>
        <v>-74.118540508056384</v>
      </c>
      <c r="V358" s="10">
        <f t="shared" ca="1" si="272"/>
        <v>-51.284416063417211</v>
      </c>
      <c r="W358" s="10">
        <f t="shared" ca="1" si="272"/>
        <v>-32.689605367168852</v>
      </c>
      <c r="X358" s="10">
        <f t="shared" ca="1" si="272"/>
        <v>-18.37085114816561</v>
      </c>
      <c r="Y358" s="10">
        <f t="shared" ca="1" si="272"/>
        <v>-8.3041939863902368</v>
      </c>
      <c r="Z358" s="10">
        <f t="shared" ca="1" si="272"/>
        <v>-2.4103807012173437</v>
      </c>
      <c r="AA358" s="10">
        <f t="shared" ca="1" si="272"/>
        <v>-0.55991202067844248</v>
      </c>
      <c r="AB358" s="10">
        <f t="shared" ca="1" si="272"/>
        <v>-2.5772481325988252</v>
      </c>
    </row>
    <row r="359" spans="5:28" x14ac:dyDescent="0.25">
      <c r="E359" s="2">
        <f t="shared" si="271"/>
        <v>3.9000000000000021</v>
      </c>
      <c r="H359" s="3">
        <f t="shared" ref="H359:AB359" ca="1" si="273">-D*(H258-H260)/(2*delta)</f>
        <v>-612.09019036219968</v>
      </c>
      <c r="I359" s="4">
        <f t="shared" ca="1" si="273"/>
        <v>-569.5195869627056</v>
      </c>
      <c r="J359" s="4">
        <f t="shared" ca="1" si="273"/>
        <v>-524.27007033069299</v>
      </c>
      <c r="K359" s="4">
        <f t="shared" ca="1" si="273"/>
        <v>-477.26603862789818</v>
      </c>
      <c r="L359" s="4">
        <f t="shared" ca="1" si="273"/>
        <v>-429.38379272040589</v>
      </c>
      <c r="M359" s="4">
        <f t="shared" ca="1" si="273"/>
        <v>-381.44317349790708</v>
      </c>
      <c r="N359" s="4">
        <f t="shared" ca="1" si="273"/>
        <v>-334.20170585327077</v>
      </c>
      <c r="O359" s="4">
        <f t="shared" ca="1" si="273"/>
        <v>-288.3503931329293</v>
      </c>
      <c r="P359" s="4">
        <f t="shared" ca="1" si="273"/>
        <v>-244.51050495559147</v>
      </c>
      <c r="Q359" s="4">
        <f t="shared" ca="1" si="273"/>
        <v>-203.23096436012278</v>
      </c>
      <c r="R359" s="4">
        <f t="shared" ca="1" si="273"/>
        <v>-164.98621515269272</v>
      </c>
      <c r="S359" s="4">
        <f t="shared" ca="1" si="273"/>
        <v>-130.17468642317854</v>
      </c>
      <c r="T359" s="4">
        <f t="shared" ca="1" si="273"/>
        <v>-99.118124207515322</v>
      </c>
      <c r="U359" s="4">
        <f t="shared" ca="1" si="273"/>
        <v>-72.062100052286226</v>
      </c>
      <c r="V359" s="4">
        <f t="shared" ca="1" si="273"/>
        <v>-49.177925114858425</v>
      </c>
      <c r="W359" s="4">
        <f t="shared" ca="1" si="273"/>
        <v>-30.566016094373403</v>
      </c>
      <c r="X359" s="4">
        <f t="shared" ca="1" si="273"/>
        <v>-16.260520829617302</v>
      </c>
      <c r="Y359" s="4">
        <f t="shared" ca="1" si="273"/>
        <v>-6.2347775453130465</v>
      </c>
      <c r="Z359" s="4">
        <f t="shared" ca="1" si="273"/>
        <v>-0.40701377024128405</v>
      </c>
      <c r="AA359" s="4">
        <f t="shared" ca="1" si="273"/>
        <v>1.3543650151458821</v>
      </c>
      <c r="AB359" s="3">
        <f t="shared" ca="1" si="273"/>
        <v>-0.77352742980599942</v>
      </c>
    </row>
    <row r="360" spans="5:28" x14ac:dyDescent="0.25">
      <c r="E360" s="2">
        <f t="shared" si="271"/>
        <v>3.800000000000002</v>
      </c>
      <c r="H360" s="3">
        <f t="shared" ref="H360:AB360" ca="1" si="274">-D*(H259-H261)/(2*delta)</f>
        <v>-617.55411339807802</v>
      </c>
      <c r="I360" s="4">
        <f t="shared" ca="1" si="274"/>
        <v>-573.54722935450923</v>
      </c>
      <c r="J360" s="4">
        <f t="shared" ca="1" si="274"/>
        <v>-526.915349163325</v>
      </c>
      <c r="K360" s="4">
        <f t="shared" ca="1" si="274"/>
        <v>-478.60071117204325</v>
      </c>
      <c r="L360" s="4">
        <f t="shared" ca="1" si="274"/>
        <v>-429.4923120105712</v>
      </c>
      <c r="M360" s="4">
        <f t="shared" ca="1" si="274"/>
        <v>-380.41891736905097</v>
      </c>
      <c r="N360" s="4">
        <f t="shared" ca="1" si="274"/>
        <v>-332.14446263920991</v>
      </c>
      <c r="O360" s="4">
        <f t="shared" ca="1" si="274"/>
        <v>-285.36481713378413</v>
      </c>
      <c r="P360" s="4">
        <f t="shared" ca="1" si="274"/>
        <v>-240.70515960506958</v>
      </c>
      <c r="Q360" s="4">
        <f t="shared" ca="1" si="274"/>
        <v>-198.71755281037153</v>
      </c>
      <c r="R360" s="4">
        <f t="shared" ca="1" si="274"/>
        <v>-159.87865441763827</v>
      </c>
      <c r="S360" s="4">
        <f t="shared" ca="1" si="274"/>
        <v>-124.58780233830662</v>
      </c>
      <c r="T360" s="4">
        <f t="shared" ca="1" si="274"/>
        <v>-93.165909082294405</v>
      </c>
      <c r="U360" s="4">
        <f t="shared" ca="1" si="274"/>
        <v>-65.855650132964186</v>
      </c>
      <c r="V360" s="4">
        <f t="shared" ca="1" si="274"/>
        <v>-42.823321238286958</v>
      </c>
      <c r="W360" s="4">
        <f t="shared" ca="1" si="274"/>
        <v>-24.162491687554343</v>
      </c>
      <c r="X360" s="4">
        <f t="shared" ca="1" si="274"/>
        <v>-9.8992542338597307</v>
      </c>
      <c r="Y360" s="4">
        <f t="shared" ca="1" si="274"/>
        <v>1.4505928546147886E-3</v>
      </c>
      <c r="Z360" s="4">
        <f t="shared" ca="1" si="274"/>
        <v>5.6291946687940548</v>
      </c>
      <c r="AA360" s="4">
        <f t="shared" ca="1" si="274"/>
        <v>7.1219565672458982</v>
      </c>
      <c r="AB360" s="3">
        <f t="shared" ca="1" si="274"/>
        <v>4.6613280134840576</v>
      </c>
    </row>
    <row r="361" spans="5:28" x14ac:dyDescent="0.25">
      <c r="E361" s="2">
        <f t="shared" si="271"/>
        <v>3.700000000000002</v>
      </c>
      <c r="H361" s="3">
        <f t="shared" ref="H361:AB361" ca="1" si="275">-D*(H260-H262)/(2*delta)</f>
        <v>-626.62796208951113</v>
      </c>
      <c r="I361" s="4">
        <f t="shared" ca="1" si="275"/>
        <v>-580.20028050042129</v>
      </c>
      <c r="J361" s="4">
        <f t="shared" ca="1" si="275"/>
        <v>-531.24451201831801</v>
      </c>
      <c r="K361" s="4">
        <f t="shared" ca="1" si="275"/>
        <v>-480.7312504788996</v>
      </c>
      <c r="L361" s="4">
        <f t="shared" ca="1" si="275"/>
        <v>-429.56913980239824</v>
      </c>
      <c r="M361" s="4">
        <f t="shared" ca="1" si="275"/>
        <v>-378.60043546078134</v>
      </c>
      <c r="N361" s="4">
        <f t="shared" ca="1" si="275"/>
        <v>-328.59868783598802</v>
      </c>
      <c r="O361" s="4">
        <f t="shared" ca="1" si="275"/>
        <v>-280.2672283277887</v>
      </c>
      <c r="P361" s="4">
        <f t="shared" ca="1" si="275"/>
        <v>-234.23754472317151</v>
      </c>
      <c r="Q361" s="4">
        <f t="shared" ca="1" si="275"/>
        <v>-191.06710583903242</v>
      </c>
      <c r="R361" s="4">
        <f t="shared" ca="1" si="275"/>
        <v>-151.23667790586958</v>
      </c>
      <c r="S361" s="4">
        <f t="shared" ca="1" si="275"/>
        <v>-115.14759617107796</v>
      </c>
      <c r="T361" s="4">
        <f t="shared" ca="1" si="275"/>
        <v>-83.119737045387623</v>
      </c>
      <c r="U361" s="4">
        <f t="shared" ca="1" si="275"/>
        <v>-55.391011530395261</v>
      </c>
      <c r="V361" s="4">
        <f t="shared" ca="1" si="275"/>
        <v>-32.119038814360046</v>
      </c>
      <c r="W361" s="4">
        <f t="shared" ca="1" si="275"/>
        <v>-13.385286462637733</v>
      </c>
      <c r="X361" s="4">
        <f t="shared" ca="1" si="275"/>
        <v>0.79853280673559568</v>
      </c>
      <c r="Y361" s="4">
        <f t="shared" ca="1" si="275"/>
        <v>10.482512528320104</v>
      </c>
      <c r="Z361" s="4">
        <f t="shared" ca="1" si="275"/>
        <v>15.770121779635456</v>
      </c>
      <c r="AA361" s="4">
        <f t="shared" ca="1" si="275"/>
        <v>16.810503904567089</v>
      </c>
      <c r="AB361" s="3">
        <f t="shared" ca="1" si="275"/>
        <v>13.792599140275206</v>
      </c>
    </row>
    <row r="362" spans="5:28" x14ac:dyDescent="0.25">
      <c r="E362" s="2">
        <f t="shared" si="271"/>
        <v>3.6000000000000019</v>
      </c>
      <c r="H362" s="3">
        <f t="shared" ref="H362:AB362" ca="1" si="276">-D*(H261-H263)/(2*delta)</f>
        <v>-639.25428484672011</v>
      </c>
      <c r="I362" s="4">
        <f t="shared" ca="1" si="276"/>
        <v>-589.38182465904401</v>
      </c>
      <c r="J362" s="4">
        <f t="shared" ca="1" si="276"/>
        <v>-537.13227543838286</v>
      </c>
      <c r="K362" s="4">
        <f t="shared" ca="1" si="276"/>
        <v>-483.51270896359836</v>
      </c>
      <c r="L362" s="4">
        <f t="shared" ca="1" si="276"/>
        <v>-429.45581794661479</v>
      </c>
      <c r="M362" s="4">
        <f t="shared" ca="1" si="276"/>
        <v>-375.81963050662137</v>
      </c>
      <c r="N362" s="4">
        <f t="shared" ca="1" si="276"/>
        <v>-323.38879516415602</v>
      </c>
      <c r="O362" s="4">
        <f t="shared" ca="1" si="276"/>
        <v>-272.87570216818114</v>
      </c>
      <c r="P362" s="4">
        <f t="shared" ca="1" si="276"/>
        <v>-224.92029860681313</v>
      </c>
      <c r="Q362" s="4">
        <f t="shared" ca="1" si="276"/>
        <v>-180.08812061452099</v>
      </c>
      <c r="R362" s="4">
        <f t="shared" ca="1" si="276"/>
        <v>-138.86675176001231</v>
      </c>
      <c r="S362" s="4">
        <f t="shared" ca="1" si="276"/>
        <v>-101.66153564784939</v>
      </c>
      <c r="T362" s="4">
        <f t="shared" ca="1" si="276"/>
        <v>-68.791805208510866</v>
      </c>
      <c r="U362" s="4">
        <f t="shared" ca="1" si="276"/>
        <v>-40.489022433181908</v>
      </c>
      <c r="V362" s="4">
        <f t="shared" ca="1" si="276"/>
        <v>-16.897982020782443</v>
      </c>
      <c r="W362" s="4">
        <f t="shared" ca="1" si="276"/>
        <v>1.9183512811801879</v>
      </c>
      <c r="X362" s="4">
        <f t="shared" ca="1" si="276"/>
        <v>15.970594011719227</v>
      </c>
      <c r="Y362" s="4">
        <f t="shared" ca="1" si="276"/>
        <v>25.332301109646011</v>
      </c>
      <c r="Z362" s="4">
        <f t="shared" ca="1" si="276"/>
        <v>30.128532376713796</v>
      </c>
      <c r="AA362" s="4">
        <f t="shared" ca="1" si="276"/>
        <v>30.525460752225289</v>
      </c>
      <c r="AB362" s="3">
        <f t="shared" ca="1" si="276"/>
        <v>26.722677185930731</v>
      </c>
    </row>
    <row r="363" spans="5:28" x14ac:dyDescent="0.25">
      <c r="E363" s="2">
        <f t="shared" si="271"/>
        <v>3.5000000000000018</v>
      </c>
      <c r="H363" s="3">
        <f t="shared" ref="H363:AB363" ca="1" si="277">-D*(H262-H264)/(2*delta)</f>
        <v>-655.33508802938366</v>
      </c>
      <c r="I363" s="4">
        <f t="shared" ca="1" si="277"/>
        <v>-600.94085491367275</v>
      </c>
      <c r="J363" s="4">
        <f t="shared" ca="1" si="277"/>
        <v>-544.39113790956242</v>
      </c>
      <c r="K363" s="4">
        <f t="shared" ca="1" si="277"/>
        <v>-486.73351341579934</v>
      </c>
      <c r="L363" s="4">
        <f t="shared" ca="1" si="277"/>
        <v>-428.92497233080189</v>
      </c>
      <c r="M363" s="4">
        <f t="shared" ca="1" si="277"/>
        <v>-371.83799746595963</v>
      </c>
      <c r="N363" s="4">
        <f t="shared" ca="1" si="277"/>
        <v>-316.26718414943343</v>
      </c>
      <c r="O363" s="4">
        <f t="shared" ca="1" si="277"/>
        <v>-262.93413916837625</v>
      </c>
      <c r="P363" s="4">
        <f t="shared" ca="1" si="277"/>
        <v>-212.48921221404891</v>
      </c>
      <c r="Q363" s="4">
        <f t="shared" ca="1" si="277"/>
        <v>-165.50952652824648</v>
      </c>
      <c r="R363" s="4">
        <f t="shared" ca="1" si="277"/>
        <v>-122.49375126460104</v>
      </c>
      <c r="S363" s="4">
        <f t="shared" ca="1" si="277"/>
        <v>-83.854992661380734</v>
      </c>
      <c r="T363" s="4">
        <f t="shared" ca="1" si="277"/>
        <v>-49.913886817968432</v>
      </c>
      <c r="U363" s="4">
        <f t="shared" ca="1" si="277"/>
        <v>-20.894232391665906</v>
      </c>
      <c r="V363" s="4">
        <f t="shared" ca="1" si="277"/>
        <v>3.0768453004880936</v>
      </c>
      <c r="W363" s="4">
        <f t="shared" ca="1" si="277"/>
        <v>21.963137214671306</v>
      </c>
      <c r="X363" s="4">
        <f t="shared" ca="1" si="277"/>
        <v>35.808232658681099</v>
      </c>
      <c r="Y363" s="4">
        <f t="shared" ca="1" si="277"/>
        <v>44.720578232496713</v>
      </c>
      <c r="Z363" s="4">
        <f t="shared" ca="1" si="277"/>
        <v>48.857208654181804</v>
      </c>
      <c r="AA363" s="4">
        <f t="shared" ca="1" si="277"/>
        <v>48.409009387534589</v>
      </c>
      <c r="AB363" s="3">
        <f t="shared" ca="1" si="277"/>
        <v>43.59008566077194</v>
      </c>
    </row>
    <row r="364" spans="5:28" x14ac:dyDescent="0.25">
      <c r="E364" s="2">
        <f t="shared" si="271"/>
        <v>3.4000000000000017</v>
      </c>
      <c r="H364" s="3">
        <f t="shared" ref="H364:AB364" ca="1" si="278">-D*(H263-H265)/(2*delta)</f>
        <v>-674.71208861846299</v>
      </c>
      <c r="I364" s="4">
        <f t="shared" ca="1" si="278"/>
        <v>-614.65575456815338</v>
      </c>
      <c r="J364" s="4">
        <f t="shared" ca="1" si="278"/>
        <v>-552.75895716561843</v>
      </c>
      <c r="K364" s="4">
        <f t="shared" ca="1" si="278"/>
        <v>-490.10719458609657</v>
      </c>
      <c r="L364" s="4">
        <f t="shared" ca="1" si="278"/>
        <v>-427.67564349878808</v>
      </c>
      <c r="M364" s="4">
        <f t="shared" ca="1" si="278"/>
        <v>-366.344588867548</v>
      </c>
      <c r="N364" s="4">
        <f t="shared" ca="1" si="278"/>
        <v>-306.91364480927774</v>
      </c>
      <c r="O364" s="4">
        <f t="shared" ca="1" si="278"/>
        <v>-250.11187684444897</v>
      </c>
      <c r="P364" s="4">
        <f t="shared" ca="1" si="278"/>
        <v>-196.6019828846438</v>
      </c>
      <c r="Q364" s="4">
        <f t="shared" ca="1" si="278"/>
        <v>-146.97787976530549</v>
      </c>
      <c r="R364" s="4">
        <f t="shared" ca="1" si="278"/>
        <v>-101.75641248912295</v>
      </c>
      <c r="S364" s="4">
        <f t="shared" ca="1" si="278"/>
        <v>-61.365341225482361</v>
      </c>
      <c r="T364" s="4">
        <f t="shared" ca="1" si="278"/>
        <v>-26.130959344987861</v>
      </c>
      <c r="U364" s="4">
        <f t="shared" ca="1" si="278"/>
        <v>3.7307722796451404</v>
      </c>
      <c r="V364" s="4">
        <f t="shared" ca="1" si="278"/>
        <v>28.116162105088584</v>
      </c>
      <c r="W364" s="4">
        <f t="shared" ca="1" si="278"/>
        <v>47.026878807554716</v>
      </c>
      <c r="X364" s="4">
        <f t="shared" ca="1" si="278"/>
        <v>60.554426141103761</v>
      </c>
      <c r="Y364" s="4">
        <f t="shared" ca="1" si="278"/>
        <v>68.858408378061426</v>
      </c>
      <c r="Z364" s="4">
        <f t="shared" ca="1" si="278"/>
        <v>72.142565257576493</v>
      </c>
      <c r="AA364" s="4">
        <f t="shared" ca="1" si="278"/>
        <v>70.633113967062798</v>
      </c>
      <c r="AB364" s="3">
        <f t="shared" ca="1" si="278"/>
        <v>64.563433715602756</v>
      </c>
    </row>
    <row r="365" spans="5:28" x14ac:dyDescent="0.25">
      <c r="E365" s="2">
        <f t="shared" si="271"/>
        <v>3.3000000000000016</v>
      </c>
      <c r="H365" s="3">
        <f t="shared" ref="H365:AB365" ca="1" si="279">-D*(H264-H266)/(2*delta)</f>
        <v>-697.13812781245872</v>
      </c>
      <c r="I365" s="4">
        <f t="shared" ca="1" si="279"/>
        <v>-630.21148912747049</v>
      </c>
      <c r="J365" s="4">
        <f t="shared" ca="1" si="279"/>
        <v>-561.88275184271845</v>
      </c>
      <c r="K365" s="4">
        <f t="shared" ca="1" si="279"/>
        <v>-493.26255085971712</v>
      </c>
      <c r="L365" s="4">
        <f t="shared" ca="1" si="279"/>
        <v>-425.32878516436188</v>
      </c>
      <c r="M365" s="4">
        <f t="shared" ca="1" si="279"/>
        <v>-358.95529030307813</v>
      </c>
      <c r="N365" s="4">
        <f t="shared" ca="1" si="279"/>
        <v>-294.9365489662826</v>
      </c>
      <c r="O365" s="4">
        <f t="shared" ca="1" si="279"/>
        <v>-234.00487906348891</v>
      </c>
      <c r="P365" s="4">
        <f t="shared" ca="1" si="279"/>
        <v>-176.83771736061064</v>
      </c>
      <c r="Q365" s="4">
        <f t="shared" ca="1" si="279"/>
        <v>-124.05404469556922</v>
      </c>
      <c r="R365" s="4">
        <f t="shared" ca="1" si="279"/>
        <v>-76.200877059667917</v>
      </c>
      <c r="S365" s="4">
        <f t="shared" ca="1" si="279"/>
        <v>-33.732995199044261</v>
      </c>
      <c r="T365" s="4">
        <f t="shared" ca="1" si="279"/>
        <v>3.0087972517436721</v>
      </c>
      <c r="U365" s="4">
        <f t="shared" ca="1" si="279"/>
        <v>33.814450325835189</v>
      </c>
      <c r="V365" s="4">
        <f t="shared" ca="1" si="279"/>
        <v>58.610622419081778</v>
      </c>
      <c r="W365" s="4">
        <f t="shared" ca="1" si="279"/>
        <v>77.452389016074719</v>
      </c>
      <c r="X365" s="4">
        <f t="shared" ca="1" si="279"/>
        <v>90.500903479676708</v>
      </c>
      <c r="Y365" s="4">
        <f t="shared" ca="1" si="279"/>
        <v>97.990889787437723</v>
      </c>
      <c r="Z365" s="4">
        <f t="shared" ca="1" si="279"/>
        <v>100.19444374921837</v>
      </c>
      <c r="AA365" s="4">
        <f t="shared" ca="1" si="279"/>
        <v>97.388418411891166</v>
      </c>
      <c r="AB365" s="3">
        <f t="shared" ca="1" si="279"/>
        <v>89.831699096385023</v>
      </c>
    </row>
    <row r="366" spans="5:28" x14ac:dyDescent="0.25">
      <c r="E366" s="2">
        <f t="shared" si="271"/>
        <v>3.2000000000000015</v>
      </c>
      <c r="H366" s="3">
        <f t="shared" ref="H366:AB366" ca="1" si="280">-D*(H265-H267)/(2*delta)</f>
        <v>-722.2374955566421</v>
      </c>
      <c r="I366" s="4">
        <f t="shared" ca="1" si="280"/>
        <v>-647.16967757304553</v>
      </c>
      <c r="J366" s="4">
        <f t="shared" ca="1" si="280"/>
        <v>-571.29897513802894</v>
      </c>
      <c r="K366" s="4">
        <f t="shared" ca="1" si="280"/>
        <v>-495.73327319421372</v>
      </c>
      <c r="L366" s="4">
        <f t="shared" ca="1" si="280"/>
        <v>-421.42448847360367</v>
      </c>
      <c r="M366" s="4">
        <f t="shared" ca="1" si="280"/>
        <v>-349.21526722659343</v>
      </c>
      <c r="N366" s="4">
        <f t="shared" ca="1" si="280"/>
        <v>-279.87774596257486</v>
      </c>
      <c r="O366" s="4">
        <f t="shared" ca="1" si="280"/>
        <v>-214.14018714873421</v>
      </c>
      <c r="P366" s="4">
        <f t="shared" ca="1" si="280"/>
        <v>-152.69831940231165</v>
      </c>
      <c r="Q366" s="4">
        <f t="shared" ca="1" si="280"/>
        <v>-96.209677062180475</v>
      </c>
      <c r="R366" s="4">
        <f t="shared" ca="1" si="280"/>
        <v>-45.271700465136973</v>
      </c>
      <c r="S366" s="4">
        <f t="shared" ca="1" si="280"/>
        <v>-0.38791817245389232</v>
      </c>
      <c r="T366" s="4">
        <f t="shared" ca="1" si="280"/>
        <v>38.06959148368145</v>
      </c>
      <c r="U366" s="4">
        <f t="shared" ca="1" si="280"/>
        <v>69.890744253108181</v>
      </c>
      <c r="V366" s="4">
        <f t="shared" ca="1" si="280"/>
        <v>95.040846481478241</v>
      </c>
      <c r="W366" s="4">
        <f t="shared" ca="1" si="280"/>
        <v>113.65072344686966</v>
      </c>
      <c r="X366" s="4">
        <f t="shared" ca="1" si="280"/>
        <v>125.9836859746532</v>
      </c>
      <c r="Y366" s="4">
        <f t="shared" ca="1" si="280"/>
        <v>132.38577366889768</v>
      </c>
      <c r="Z366" s="4">
        <f t="shared" ca="1" si="280"/>
        <v>133.23004637411893</v>
      </c>
      <c r="AA366" s="4">
        <f t="shared" ca="1" si="280"/>
        <v>128.86670722899893</v>
      </c>
      <c r="AB366" s="3">
        <f t="shared" ca="1" si="280"/>
        <v>119.58879985213055</v>
      </c>
    </row>
    <row r="367" spans="5:28" x14ac:dyDescent="0.25">
      <c r="E367" s="2">
        <f t="shared" si="271"/>
        <v>3.1000000000000014</v>
      </c>
      <c r="H367" s="3">
        <f t="shared" ref="H367:AB367" ca="1" si="281">-D*(H266-H268)/(2*delta)</f>
        <v>-749.45283836942122</v>
      </c>
      <c r="I367" s="4">
        <f t="shared" ca="1" si="281"/>
        <v>-664.93108729529206</v>
      </c>
      <c r="J367" s="4">
        <f t="shared" ca="1" si="281"/>
        <v>-580.41111157535227</v>
      </c>
      <c r="K367" s="4">
        <f t="shared" ca="1" si="281"/>
        <v>-496.9487832725527</v>
      </c>
      <c r="L367" s="4">
        <f t="shared" ca="1" si="281"/>
        <v>-415.42330879918495</v>
      </c>
      <c r="M367" s="4">
        <f t="shared" ca="1" si="281"/>
        <v>-336.6073566720064</v>
      </c>
      <c r="N367" s="4">
        <f t="shared" ca="1" si="281"/>
        <v>-261.22405629164615</v>
      </c>
      <c r="O367" s="4">
        <f t="shared" ca="1" si="281"/>
        <v>-189.98625161097183</v>
      </c>
      <c r="P367" s="4">
        <f t="shared" ca="1" si="281"/>
        <v>-123.61360291915057</v>
      </c>
      <c r="Q367" s="4">
        <f t="shared" ca="1" si="281"/>
        <v>-62.824079408663899</v>
      </c>
      <c r="R367" s="4">
        <f t="shared" ca="1" si="281"/>
        <v>-8.2993474134732441</v>
      </c>
      <c r="S367" s="4">
        <f t="shared" ca="1" si="281"/>
        <v>39.370792071756391</v>
      </c>
      <c r="T367" s="4">
        <f t="shared" ca="1" si="281"/>
        <v>79.752453638730003</v>
      </c>
      <c r="U367" s="4">
        <f t="shared" ca="1" si="281"/>
        <v>112.62213123513622</v>
      </c>
      <c r="V367" s="4">
        <f t="shared" ca="1" si="281"/>
        <v>137.99365719855865</v>
      </c>
      <c r="W367" s="4">
        <f t="shared" ca="1" si="281"/>
        <v>156.10664356480049</v>
      </c>
      <c r="X367" s="4">
        <f t="shared" ca="1" si="281"/>
        <v>167.37631596286448</v>
      </c>
      <c r="Y367" s="4">
        <f t="shared" ca="1" si="281"/>
        <v>172.31573546926236</v>
      </c>
      <c r="Z367" s="4">
        <f t="shared" ca="1" si="281"/>
        <v>171.44879666798616</v>
      </c>
      <c r="AA367" s="4">
        <f t="shared" ca="1" si="281"/>
        <v>165.23334547633098</v>
      </c>
      <c r="AB367" s="3">
        <f t="shared" ca="1" si="281"/>
        <v>154.00916361015527</v>
      </c>
    </row>
    <row r="368" spans="5:28" x14ac:dyDescent="0.25">
      <c r="E368" s="2">
        <f t="shared" si="271"/>
        <v>3.0000000000000013</v>
      </c>
      <c r="H368" s="3">
        <f t="shared" ref="H368:AB368" ca="1" si="282">-D*(H267-H269)/(2*delta)</f>
        <v>-777.9769072278973</v>
      </c>
      <c r="I368" s="4">
        <f t="shared" ca="1" si="282"/>
        <v>-682.69103795605281</v>
      </c>
      <c r="J368" s="4">
        <f t="shared" ca="1" si="282"/>
        <v>-588.46645732199761</v>
      </c>
      <c r="K368" s="4">
        <f t="shared" ca="1" si="282"/>
        <v>-496.22903761533252</v>
      </c>
      <c r="L368" s="4">
        <f t="shared" ca="1" si="282"/>
        <v>-406.7151187802242</v>
      </c>
      <c r="M368" s="4">
        <f t="shared" ca="1" si="282"/>
        <v>-320.57036689240607</v>
      </c>
      <c r="N368" s="4">
        <f t="shared" ca="1" si="282"/>
        <v>-238.4296269540184</v>
      </c>
      <c r="O368" s="4">
        <f t="shared" ca="1" si="282"/>
        <v>-160.97320119357457</v>
      </c>
      <c r="P368" s="4">
        <f t="shared" ca="1" si="282"/>
        <v>-88.953169703260372</v>
      </c>
      <c r="Q368" s="4">
        <f t="shared" ca="1" si="282"/>
        <v>-23.182531087890673</v>
      </c>
      <c r="R368" s="5">
        <f t="shared" ca="1" si="282"/>
        <v>35.517274947203276</v>
      </c>
      <c r="S368" s="5">
        <f t="shared" ca="1" si="282"/>
        <v>86.406137687276711</v>
      </c>
      <c r="T368" s="5">
        <f t="shared" ca="1" si="282"/>
        <v>128.93391162595614</v>
      </c>
      <c r="U368" s="5">
        <f t="shared" ca="1" si="282"/>
        <v>162.83671831059962</v>
      </c>
      <c r="V368" s="5">
        <f t="shared" ca="1" si="282"/>
        <v>188.18848074043061</v>
      </c>
      <c r="W368" s="5">
        <f t="shared" ca="1" si="282"/>
        <v>205.38776717912916</v>
      </c>
      <c r="X368" s="4">
        <f t="shared" ca="1" si="282"/>
        <v>215.07949675057466</v>
      </c>
      <c r="Y368" s="4">
        <f t="shared" ca="1" si="282"/>
        <v>218.03075143855352</v>
      </c>
      <c r="Z368" s="4">
        <f t="shared" ca="1" si="282"/>
        <v>214.99313692315744</v>
      </c>
      <c r="AA368" s="4">
        <f t="shared" ca="1" si="282"/>
        <v>206.58414797028919</v>
      </c>
      <c r="AB368" s="3">
        <f t="shared" ca="1" si="282"/>
        <v>193.20906566254956</v>
      </c>
    </row>
    <row r="369" spans="5:28" x14ac:dyDescent="0.25">
      <c r="E369" s="2">
        <f t="shared" si="271"/>
        <v>2.9000000000000012</v>
      </c>
      <c r="H369" s="3">
        <f t="shared" ref="H369:AB369" ca="1" si="283">-D*(H268-H270)/(2*delta)</f>
        <v>-806.669204045225</v>
      </c>
      <c r="I369" s="4">
        <f t="shared" ca="1" si="283"/>
        <v>-699.38999380289181</v>
      </c>
      <c r="J369" s="4">
        <f t="shared" ca="1" si="283"/>
        <v>-594.53543671456191</v>
      </c>
      <c r="K369" s="4">
        <f t="shared" ca="1" si="283"/>
        <v>-492.78727251606483</v>
      </c>
      <c r="L369" s="4">
        <f t="shared" ca="1" si="283"/>
        <v>-394.64008993009378</v>
      </c>
      <c r="M369" s="4">
        <f t="shared" ca="1" si="283"/>
        <v>-300.53267579635713</v>
      </c>
      <c r="N369" s="4">
        <f t="shared" ca="1" si="283"/>
        <v>-210.95529055039881</v>
      </c>
      <c r="O369" s="4">
        <f t="shared" ca="1" si="283"/>
        <v>-126.52935421710535</v>
      </c>
      <c r="P369" s="4">
        <f t="shared" ca="1" si="283"/>
        <v>-48.05020816837235</v>
      </c>
      <c r="Q369" s="4">
        <f t="shared" ca="1" si="283"/>
        <v>23.521658100643901</v>
      </c>
      <c r="R369" s="5">
        <f t="shared" ca="1" si="283"/>
        <v>87.135275414668556</v>
      </c>
      <c r="S369" s="5">
        <f t="shared" ca="1" si="283"/>
        <v>141.79159913039078</v>
      </c>
      <c r="T369" s="5">
        <f t="shared" ca="1" si="283"/>
        <v>186.72793175617323</v>
      </c>
      <c r="U369" s="5">
        <f t="shared" ca="1" si="283"/>
        <v>221.58849585726475</v>
      </c>
      <c r="V369" s="5">
        <f t="shared" ca="1" si="283"/>
        <v>246.52046682980756</v>
      </c>
      <c r="W369" s="5">
        <f t="shared" ca="1" si="283"/>
        <v>262.15966669406026</v>
      </c>
      <c r="X369" s="4">
        <f t="shared" ca="1" si="283"/>
        <v>269.50489658452273</v>
      </c>
      <c r="Y369" s="4">
        <f t="shared" ca="1" si="283"/>
        <v>269.714896261832</v>
      </c>
      <c r="Z369" s="4">
        <f t="shared" ca="1" si="283"/>
        <v>263.88761173036625</v>
      </c>
      <c r="AA369" s="4">
        <f t="shared" ca="1" si="283"/>
        <v>252.87828065009086</v>
      </c>
      <c r="AB369" s="3">
        <f t="shared" ca="1" si="283"/>
        <v>237.18558270118876</v>
      </c>
    </row>
    <row r="370" spans="5:28" x14ac:dyDescent="0.25">
      <c r="E370" s="2">
        <f t="shared" si="271"/>
        <v>2.8000000000000012</v>
      </c>
      <c r="H370" s="3">
        <f t="shared" ref="H370:AB370" ca="1" si="284">-D*(H269-H271)/(2*delta)</f>
        <v>-833.96137451609093</v>
      </c>
      <c r="I370" s="4">
        <f t="shared" ca="1" si="284"/>
        <v>-713.66456606031784</v>
      </c>
      <c r="J370" s="4">
        <f t="shared" ca="1" si="284"/>
        <v>-597.498750793407</v>
      </c>
      <c r="K370" s="4">
        <f t="shared" ca="1" si="284"/>
        <v>-485.7458815331172</v>
      </c>
      <c r="L370" s="4">
        <f t="shared" ca="1" si="284"/>
        <v>-378.52742265063341</v>
      </c>
      <c r="M370" s="4">
        <f t="shared" ca="1" si="284"/>
        <v>-275.96798434449511</v>
      </c>
      <c r="N370" s="4">
        <f t="shared" ca="1" si="284"/>
        <v>-178.33353650749731</v>
      </c>
      <c r="O370" s="4">
        <f t="shared" ca="1" si="284"/>
        <v>-86.143837068159812</v>
      </c>
      <c r="P370" s="4">
        <f t="shared" ca="1" si="284"/>
        <v>-0.24624556572898784</v>
      </c>
      <c r="Q370" s="4">
        <f t="shared" ca="1" si="284"/>
        <v>78.17660374354044</v>
      </c>
      <c r="R370" s="5">
        <f t="shared" ca="1" si="284"/>
        <v>147.70182079085203</v>
      </c>
      <c r="S370" s="5">
        <f t="shared" ca="1" si="284"/>
        <v>206.88701536858406</v>
      </c>
      <c r="T370" s="5">
        <f t="shared" ca="1" si="284"/>
        <v>254.58637420537443</v>
      </c>
      <c r="U370" s="5">
        <f t="shared" ca="1" si="284"/>
        <v>290.25619525957342</v>
      </c>
      <c r="V370" s="5">
        <f t="shared" ca="1" si="284"/>
        <v>314.1312176105468</v>
      </c>
      <c r="W370" s="5">
        <f t="shared" ca="1" si="284"/>
        <v>327.21018741032202</v>
      </c>
      <c r="X370" s="4">
        <f t="shared" ca="1" si="284"/>
        <v>331.04882878171014</v>
      </c>
      <c r="Y370" s="4">
        <f t="shared" ca="1" si="284"/>
        <v>327.41826955372551</v>
      </c>
      <c r="Z370" s="4">
        <f t="shared" ca="1" si="284"/>
        <v>317.94470575033432</v>
      </c>
      <c r="AA370" s="4">
        <f t="shared" ca="1" si="284"/>
        <v>303.83495960429696</v>
      </c>
      <c r="AB370" s="3">
        <f t="shared" ca="1" si="284"/>
        <v>285.72084090720989</v>
      </c>
    </row>
    <row r="371" spans="5:28" x14ac:dyDescent="0.25">
      <c r="E371" s="2">
        <f t="shared" si="271"/>
        <v>2.7000000000000011</v>
      </c>
      <c r="H371" s="3">
        <f t="shared" ref="H371:AB371" ca="1" si="285">-D*(H270-H272)/(2*delta)</f>
        <v>-857.76183784250134</v>
      </c>
      <c r="I371" s="4">
        <f t="shared" ca="1" si="285"/>
        <v>-723.80838879923374</v>
      </c>
      <c r="J371" s="4">
        <f t="shared" ca="1" si="285"/>
        <v>-596.04977503011617</v>
      </c>
      <c r="K371" s="4">
        <f t="shared" ca="1" si="285"/>
        <v>-474.17130197005281</v>
      </c>
      <c r="L371" s="4">
        <f t="shared" ca="1" si="285"/>
        <v>-357.75765378572061</v>
      </c>
      <c r="M371" s="4">
        <f t="shared" ca="1" si="285"/>
        <v>-246.48103044929505</v>
      </c>
      <c r="N371" s="4">
        <f t="shared" ca="1" si="285"/>
        <v>-140.2706649900332</v>
      </c>
      <c r="O371" s="4">
        <f t="shared" ca="1" si="285"/>
        <v>-39.470823351645024</v>
      </c>
      <c r="P371" s="4">
        <f t="shared" ca="1" si="285"/>
        <v>55.026804569638053</v>
      </c>
      <c r="Q371" s="4">
        <f t="shared" ca="1" si="285"/>
        <v>141.72243396559784</v>
      </c>
      <c r="R371" s="5">
        <f t="shared" ca="1" si="285"/>
        <v>218.60050971505913</v>
      </c>
      <c r="S371" s="5">
        <f t="shared" ca="1" si="285"/>
        <v>283.4592288602114</v>
      </c>
      <c r="T371" s="5">
        <f t="shared" ca="1" si="285"/>
        <v>334.46413625690161</v>
      </c>
      <c r="U371" s="5">
        <f t="shared" ca="1" si="285"/>
        <v>370.70728181380633</v>
      </c>
      <c r="V371" s="5">
        <f t="shared" ca="1" si="285"/>
        <v>392.52540691402032</v>
      </c>
      <c r="W371" s="5">
        <f t="shared" ca="1" si="285"/>
        <v>401.48721353957143</v>
      </c>
      <c r="X371" s="4">
        <f t="shared" ca="1" si="285"/>
        <v>400.04692351209104</v>
      </c>
      <c r="Y371" s="4">
        <f t="shared" ca="1" si="285"/>
        <v>390.94838637740207</v>
      </c>
      <c r="Z371" s="4">
        <f t="shared" ca="1" si="285"/>
        <v>376.62048578605584</v>
      </c>
      <c r="AA371" s="4">
        <f t="shared" ca="1" si="285"/>
        <v>358.77726004721382</v>
      </c>
      <c r="AB371" s="3">
        <f t="shared" ca="1" si="285"/>
        <v>338.23395787362904</v>
      </c>
    </row>
    <row r="372" spans="5:28" x14ac:dyDescent="0.25">
      <c r="E372" s="2">
        <f t="shared" si="271"/>
        <v>2.600000000000001</v>
      </c>
      <c r="H372" s="3">
        <f t="shared" ref="H372:AB372" ca="1" si="286">-D*(H271-H273)/(2*delta)</f>
        <v>-875.38020098945049</v>
      </c>
      <c r="I372" s="4">
        <f t="shared" ca="1" si="286"/>
        <v>-727.75759256988147</v>
      </c>
      <c r="J372" s="4">
        <f t="shared" ca="1" si="286"/>
        <v>-588.721239350323</v>
      </c>
      <c r="K372" s="4">
        <f t="shared" ca="1" si="286"/>
        <v>-457.1329780189015</v>
      </c>
      <c r="L372" s="4">
        <f t="shared" ca="1" si="286"/>
        <v>-331.85255643581013</v>
      </c>
      <c r="M372" s="4">
        <f t="shared" ca="1" si="286"/>
        <v>-211.9302296998716</v>
      </c>
      <c r="N372" s="4">
        <f t="shared" ca="1" si="286"/>
        <v>-96.800478258206837</v>
      </c>
      <c r="O372" s="4">
        <f t="shared" ca="1" si="286"/>
        <v>13.500329367464561</v>
      </c>
      <c r="P372" s="4">
        <f t="shared" ca="1" si="286"/>
        <v>118.09685686268878</v>
      </c>
      <c r="Q372" s="4">
        <f t="shared" ca="1" si="286"/>
        <v>215.07985584647872</v>
      </c>
      <c r="R372" s="5">
        <f t="shared" ca="1" si="286"/>
        <v>301.51159383709916</v>
      </c>
      <c r="S372" s="5">
        <f t="shared" ca="1" si="286"/>
        <v>373.87726821164534</v>
      </c>
      <c r="T372" s="5">
        <f t="shared" ca="1" si="286"/>
        <v>429.09463196167025</v>
      </c>
      <c r="U372" s="5">
        <f t="shared" ca="1" si="286"/>
        <v>465.57330621677903</v>
      </c>
      <c r="V372" s="5">
        <f t="shared" ca="1" si="286"/>
        <v>483.76476959227006</v>
      </c>
      <c r="W372" s="5">
        <f t="shared" ca="1" si="286"/>
        <v>486.1541229539161</v>
      </c>
      <c r="X372" s="4">
        <f t="shared" ca="1" si="286"/>
        <v>476.68997834832783</v>
      </c>
      <c r="Y372" s="4">
        <f t="shared" ca="1" si="286"/>
        <v>459.69349903116569</v>
      </c>
      <c r="Z372" s="4">
        <f t="shared" ca="1" si="286"/>
        <v>438.79613187233628</v>
      </c>
      <c r="AA372" s="4">
        <f t="shared" ca="1" si="286"/>
        <v>416.4030692416402</v>
      </c>
      <c r="AB372" s="3">
        <f t="shared" ca="1" si="286"/>
        <v>393.55819210877058</v>
      </c>
    </row>
    <row r="373" spans="5:28" x14ac:dyDescent="0.25">
      <c r="E373" s="2">
        <f t="shared" si="271"/>
        <v>2.5000000000000009</v>
      </c>
      <c r="H373" s="3">
        <f t="shared" ref="H373:AB373" ca="1" si="287">-D*(H272-H274)/(2*delta)</f>
        <v>-883.50485146064511</v>
      </c>
      <c r="I373" s="4">
        <f t="shared" ca="1" si="287"/>
        <v>-723.12072878470269</v>
      </c>
      <c r="J373" s="4">
        <f t="shared" ca="1" si="287"/>
        <v>-573.94511371891269</v>
      </c>
      <c r="K373" s="4">
        <f t="shared" ca="1" si="287"/>
        <v>-433.78774701126588</v>
      </c>
      <c r="L373" s="4">
        <f t="shared" ca="1" si="287"/>
        <v>-300.59082778394071</v>
      </c>
      <c r="M373" s="4">
        <f t="shared" ca="1" si="287"/>
        <v>-172.58893318470743</v>
      </c>
      <c r="N373" s="4">
        <f t="shared" ca="1" si="287"/>
        <v>-48.504114702946985</v>
      </c>
      <c r="O373" s="4">
        <f t="shared" ca="1" si="287"/>
        <v>72.172248677508676</v>
      </c>
      <c r="P373" s="4">
        <f t="shared" ca="1" si="287"/>
        <v>188.77612967597804</v>
      </c>
      <c r="Q373" s="4">
        <f t="shared" ca="1" si="287"/>
        <v>298.98339834275873</v>
      </c>
      <c r="R373" s="5">
        <f t="shared" ca="1" si="287"/>
        <v>398.48273964172512</v>
      </c>
      <c r="S373" s="5">
        <f t="shared" ca="1" si="287"/>
        <v>481.43673304836216</v>
      </c>
      <c r="T373" s="5">
        <f t="shared" ca="1" si="287"/>
        <v>542.45603342258482</v>
      </c>
      <c r="U373" s="5">
        <f t="shared" ca="1" si="287"/>
        <v>578.71784867076133</v>
      </c>
      <c r="V373" s="5">
        <f t="shared" ca="1" si="287"/>
        <v>590.79663338089267</v>
      </c>
      <c r="W373" s="5">
        <f t="shared" ca="1" si="287"/>
        <v>582.66400035093432</v>
      </c>
      <c r="X373" s="4">
        <f t="shared" ca="1" si="287"/>
        <v>560.85391220177974</v>
      </c>
      <c r="Y373" s="4">
        <f t="shared" ca="1" si="287"/>
        <v>532.32711209677768</v>
      </c>
      <c r="Z373" s="4">
        <f t="shared" ca="1" si="287"/>
        <v>502.45414495031787</v>
      </c>
      <c r="AA373" s="4">
        <f t="shared" ca="1" si="287"/>
        <v>474.46640871196689</v>
      </c>
      <c r="AB373" s="3">
        <f t="shared" ca="1" si="287"/>
        <v>449.62160446945245</v>
      </c>
    </row>
    <row r="374" spans="5:28" x14ac:dyDescent="0.25">
      <c r="E374" s="2">
        <f t="shared" si="271"/>
        <v>2.4000000000000008</v>
      </c>
      <c r="H374" s="3">
        <f t="shared" ref="H374:AB374" ca="1" si="288">-D*(H273-H275)/(2*delta)</f>
        <v>-878.27948764793575</v>
      </c>
      <c r="I374" s="4">
        <f t="shared" ca="1" si="288"/>
        <v>-707.27551525485922</v>
      </c>
      <c r="J374" s="4">
        <f t="shared" ca="1" si="288"/>
        <v>-550.15115982160773</v>
      </c>
      <c r="K374" s="4">
        <f t="shared" ca="1" si="288"/>
        <v>-403.48284786299513</v>
      </c>
      <c r="L374" s="4">
        <f t="shared" ca="1" si="288"/>
        <v>-264.1352965047945</v>
      </c>
      <c r="M374" s="4">
        <f t="shared" ca="1" si="288"/>
        <v>-129.33229617965722</v>
      </c>
      <c r="N374" s="4">
        <f t="shared" ca="1" si="288"/>
        <v>3.1983950963872654</v>
      </c>
      <c r="O374" s="4">
        <f t="shared" ca="1" si="288"/>
        <v>134.91371899850768</v>
      </c>
      <c r="P374" s="4">
        <f t="shared" ca="1" si="288"/>
        <v>265.84842096193501</v>
      </c>
      <c r="Q374" s="4">
        <f t="shared" ca="1" si="288"/>
        <v>393.59058019188706</v>
      </c>
      <c r="R374" s="5">
        <f t="shared" ca="1" si="288"/>
        <v>511.99422680032524</v>
      </c>
      <c r="S374" s="5">
        <f t="shared" ca="1" si="288"/>
        <v>610.9251477618875</v>
      </c>
      <c r="T374" s="5">
        <f t="shared" ca="1" si="288"/>
        <v>680.56842735396981</v>
      </c>
      <c r="U374" s="5">
        <f t="shared" ca="1" si="288"/>
        <v>716.03817072246818</v>
      </c>
      <c r="V374" s="5">
        <f t="shared" ca="1" si="288"/>
        <v>718.0318998211178</v>
      </c>
      <c r="W374" s="5">
        <f t="shared" ca="1" si="288"/>
        <v>692.84254943494466</v>
      </c>
      <c r="X374" s="4">
        <f t="shared" ca="1" si="288"/>
        <v>651.72500236069948</v>
      </c>
      <c r="Y374" s="4">
        <f t="shared" ca="1" si="288"/>
        <v>606.29655931746834</v>
      </c>
      <c r="Z374" s="4">
        <f t="shared" ca="1" si="288"/>
        <v>564.21580926648687</v>
      </c>
      <c r="AA374" s="4">
        <f t="shared" ca="1" si="288"/>
        <v>529.37490116789365</v>
      </c>
      <c r="AB374" s="3">
        <f t="shared" ca="1" si="288"/>
        <v>503.03014046521764</v>
      </c>
    </row>
    <row r="375" spans="5:28" x14ac:dyDescent="0.25">
      <c r="E375" s="2">
        <f t="shared" si="271"/>
        <v>2.3000000000000007</v>
      </c>
      <c r="H375" s="3">
        <f t="shared" ref="H375:AB375" ca="1" si="289">-D*(H274-H276)/(2*delta)</f>
        <v>-855.52867835209247</v>
      </c>
      <c r="I375" s="4">
        <f t="shared" ca="1" si="289"/>
        <v>-677.55081192142973</v>
      </c>
      <c r="J375" s="4">
        <f t="shared" ca="1" si="289"/>
        <v>-515.9014982216338</v>
      </c>
      <c r="K375" s="4">
        <f t="shared" ca="1" si="289"/>
        <v>-365.85780950531358</v>
      </c>
      <c r="L375" s="4">
        <f t="shared" ca="1" si="289"/>
        <v>-223.13618743691046</v>
      </c>
      <c r="M375" s="4">
        <f t="shared" ca="1" si="289"/>
        <v>-83.80473159764712</v>
      </c>
      <c r="N375" s="4">
        <f t="shared" ca="1" si="289"/>
        <v>55.714435199309257</v>
      </c>
      <c r="O375" s="4">
        <f t="shared" ca="1" si="289"/>
        <v>198.43347940255833</v>
      </c>
      <c r="P375" s="4">
        <f t="shared" ca="1" si="289"/>
        <v>346.11039653811315</v>
      </c>
      <c r="Q375" s="4">
        <f t="shared" ca="1" si="289"/>
        <v>497.53286442226806</v>
      </c>
      <c r="R375" s="5">
        <f t="shared" ca="1" si="289"/>
        <v>644.97445815453784</v>
      </c>
      <c r="S375" s="5">
        <f t="shared" ca="1" si="289"/>
        <v>769.69663675687377</v>
      </c>
      <c r="T375" s="5">
        <f t="shared" ca="1" si="289"/>
        <v>852.84919449206279</v>
      </c>
      <c r="U375" s="5">
        <f t="shared" ca="1" si="289"/>
        <v>886.82874107443274</v>
      </c>
      <c r="V375" s="5">
        <f t="shared" ca="1" si="289"/>
        <v>872.44387212048093</v>
      </c>
      <c r="W375" s="5">
        <f t="shared" ca="1" si="289"/>
        <v>818.9423105660469</v>
      </c>
      <c r="X375" s="4">
        <f t="shared" ca="1" si="289"/>
        <v>746.89938973231847</v>
      </c>
      <c r="Y375" s="4">
        <f t="shared" ca="1" si="289"/>
        <v>676.91009669795255</v>
      </c>
      <c r="Z375" s="4">
        <f t="shared" ca="1" si="289"/>
        <v>618.72879057480338</v>
      </c>
      <c r="AA375" s="4">
        <f t="shared" ca="1" si="289"/>
        <v>575.77777135201848</v>
      </c>
      <c r="AB375" s="3">
        <f t="shared" ca="1" si="289"/>
        <v>548.6235973117997</v>
      </c>
    </row>
    <row r="376" spans="5:28" x14ac:dyDescent="0.25">
      <c r="E376" s="2">
        <f t="shared" si="271"/>
        <v>2.2000000000000006</v>
      </c>
      <c r="H376" s="3">
        <f t="shared" ref="H376:AB376" ca="1" si="290">-D*(H275-H277)/(2*delta)</f>
        <v>-811.16680657958193</v>
      </c>
      <c r="I376" s="4">
        <f t="shared" ca="1" si="290"/>
        <v>-631.49765156503918</v>
      </c>
      <c r="J376" s="4">
        <f t="shared" ca="1" si="290"/>
        <v>-470.04646113998632</v>
      </c>
      <c r="K376" s="4">
        <f t="shared" ca="1" si="290"/>
        <v>-320.91116433109721</v>
      </c>
      <c r="L376" s="4">
        <f t="shared" ca="1" si="290"/>
        <v>-178.74763096667638</v>
      </c>
      <c r="M376" s="4">
        <f t="shared" ca="1" si="290"/>
        <v>-38.465897245800683</v>
      </c>
      <c r="N376" s="4">
        <f t="shared" ca="1" si="290"/>
        <v>105.02924332055595</v>
      </c>
      <c r="O376" s="4">
        <f t="shared" ca="1" si="290"/>
        <v>256.99364813948677</v>
      </c>
      <c r="P376" s="4">
        <f t="shared" ca="1" si="290"/>
        <v>422.62471503387519</v>
      </c>
      <c r="Q376" s="4">
        <f t="shared" ca="1" si="290"/>
        <v>605.45351027513652</v>
      </c>
      <c r="R376" s="5">
        <f t="shared" ca="1" si="290"/>
        <v>800.67117157612768</v>
      </c>
      <c r="S376" s="5">
        <f t="shared" ca="1" si="290"/>
        <v>970.03438234487908</v>
      </c>
      <c r="T376" s="5">
        <f t="shared" ca="1" si="290"/>
        <v>1074.299169666549</v>
      </c>
      <c r="U376" s="5">
        <f t="shared" ca="1" si="290"/>
        <v>1105.9794797815828</v>
      </c>
      <c r="V376" s="5">
        <f t="shared" ca="1" si="290"/>
        <v>1065.96784226711</v>
      </c>
      <c r="W376" s="5">
        <f t="shared" ca="1" si="290"/>
        <v>963.5782861405429</v>
      </c>
      <c r="X376" s="4">
        <f t="shared" ca="1" si="290"/>
        <v>840.01455208714185</v>
      </c>
      <c r="Y376" s="4">
        <f t="shared" ca="1" si="290"/>
        <v>735.70959465289855</v>
      </c>
      <c r="Z376" s="4">
        <f t="shared" ca="1" si="290"/>
        <v>658.00497270807193</v>
      </c>
      <c r="AA376" s="4">
        <f t="shared" ca="1" si="290"/>
        <v>606.37681733689533</v>
      </c>
      <c r="AB376" s="3">
        <f t="shared" ca="1" si="290"/>
        <v>579.24907016115844</v>
      </c>
    </row>
    <row r="377" spans="5:28" x14ac:dyDescent="0.25">
      <c r="E377" s="2">
        <f t="shared" si="271"/>
        <v>2.1000000000000005</v>
      </c>
      <c r="H377" s="3">
        <f t="shared" ref="H377:AB377" ca="1" si="291">-D*(H276-H278)/(2*delta)</f>
        <v>-741.77697960708576</v>
      </c>
      <c r="I377" s="4">
        <f t="shared" ca="1" si="291"/>
        <v>-567.2265903353067</v>
      </c>
      <c r="J377" s="4">
        <f t="shared" ca="1" si="291"/>
        <v>-411.87569226028228</v>
      </c>
      <c r="K377" s="4">
        <f t="shared" ca="1" si="291"/>
        <v>-268.99305137816464</v>
      </c>
      <c r="L377" s="4">
        <f t="shared" ca="1" si="291"/>
        <v>-132.4777351824651</v>
      </c>
      <c r="M377" s="4">
        <f t="shared" ca="1" si="291"/>
        <v>3.6588789780719</v>
      </c>
      <c r="N377" s="4">
        <f t="shared" ca="1" si="291"/>
        <v>145.87392281627862</v>
      </c>
      <c r="O377" s="4">
        <f t="shared" ca="1" si="291"/>
        <v>301.88605898055567</v>
      </c>
      <c r="P377" s="4">
        <f t="shared" ca="1" si="291"/>
        <v>481.93996297820064</v>
      </c>
      <c r="Q377" s="4">
        <f t="shared" ca="1" si="291"/>
        <v>700.98368960629728</v>
      </c>
      <c r="R377" s="5">
        <f t="shared" ca="1" si="291"/>
        <v>982.22046762879472</v>
      </c>
      <c r="S377" s="5">
        <f t="shared" ca="1" si="291"/>
        <v>1235.4684091841234</v>
      </c>
      <c r="T377" s="5">
        <f t="shared" ca="1" si="291"/>
        <v>1368.3312006365386</v>
      </c>
      <c r="U377" s="5">
        <f t="shared" ca="1" si="291"/>
        <v>1396.819462099648</v>
      </c>
      <c r="V377" s="5">
        <f t="shared" ca="1" si="291"/>
        <v>1321.866742110185</v>
      </c>
      <c r="W377" s="5">
        <f t="shared" ca="1" si="291"/>
        <v>1129.3851641870983</v>
      </c>
      <c r="X377" s="4">
        <f t="shared" ca="1" si="291"/>
        <v>913.86737434816166</v>
      </c>
      <c r="Y377" s="4">
        <f t="shared" ca="1" si="291"/>
        <v>767.90490377555523</v>
      </c>
      <c r="Z377" s="4">
        <f t="shared" ca="1" si="291"/>
        <v>671.20054227910339</v>
      </c>
      <c r="AA377" s="4">
        <f t="shared" ca="1" si="291"/>
        <v>612.47101216017563</v>
      </c>
      <c r="AB377" s="3">
        <f t="shared" ca="1" si="291"/>
        <v>586.30316345082429</v>
      </c>
    </row>
    <row r="378" spans="5:28" x14ac:dyDescent="0.25">
      <c r="E378" s="2">
        <f t="shared" si="271"/>
        <v>2.0000000000000004</v>
      </c>
      <c r="H378" s="3">
        <f t="shared" ref="H378:AB378" ca="1" si="292">-D*(H277-H279)/(2*delta)</f>
        <v>-645.2675765548953</v>
      </c>
      <c r="I378" s="4">
        <f t="shared" ca="1" si="292"/>
        <v>-483.7560692881255</v>
      </c>
      <c r="J378" s="4">
        <f t="shared" ca="1" si="292"/>
        <v>-341.23673945235043</v>
      </c>
      <c r="K378" s="4">
        <f t="shared" ca="1" si="292"/>
        <v>-210.70774365026</v>
      </c>
      <c r="L378" s="4">
        <f t="shared" ca="1" si="292"/>
        <v>-85.829336720537697</v>
      </c>
      <c r="M378" s="4">
        <f t="shared" ca="1" si="292"/>
        <v>39.704945741310617</v>
      </c>
      <c r="N378" s="4">
        <f t="shared" ca="1" si="292"/>
        <v>172.92114048191414</v>
      </c>
      <c r="O378" s="4">
        <f t="shared" ca="1" si="292"/>
        <v>322.73623501058734</v>
      </c>
      <c r="P378" s="4">
        <f t="shared" ca="1" si="292"/>
        <v>502.26481749442411</v>
      </c>
      <c r="Q378" s="4">
        <f t="shared" ca="1" si="292"/>
        <v>734.3201378426412</v>
      </c>
      <c r="R378" s="5">
        <f t="shared" ca="1" si="292"/>
        <v>1066.75780758067</v>
      </c>
      <c r="S378" s="5">
        <f t="shared" ca="1" si="292"/>
        <v>1371.2866776960589</v>
      </c>
      <c r="T378" s="5">
        <f t="shared" ca="1" si="292"/>
        <v>1516.7367351225785</v>
      </c>
      <c r="U378" s="5">
        <f t="shared" ca="1" si="292"/>
        <v>1541.0992798174802</v>
      </c>
      <c r="V378" s="5">
        <f t="shared" ca="1" si="292"/>
        <v>1445.2932331980821</v>
      </c>
      <c r="W378" s="5">
        <f t="shared" ca="1" si="292"/>
        <v>1193.2268660630411</v>
      </c>
      <c r="X378" s="4">
        <f t="shared" ca="1" si="292"/>
        <v>918.16336719882429</v>
      </c>
      <c r="Y378" s="4">
        <f t="shared" ca="1" si="292"/>
        <v>750.84047085408326</v>
      </c>
      <c r="Z378" s="4">
        <f t="shared" ca="1" si="292"/>
        <v>646.41952359518393</v>
      </c>
      <c r="AA378" s="4">
        <f t="shared" ca="1" si="292"/>
        <v>586.00164313802281</v>
      </c>
      <c r="AB378" s="3">
        <f t="shared" ca="1" si="292"/>
        <v>561.83106503735974</v>
      </c>
    </row>
    <row r="379" spans="5:28" x14ac:dyDescent="0.25">
      <c r="E379" s="2">
        <f t="shared" si="271"/>
        <v>1.9000000000000006</v>
      </c>
      <c r="H379" s="3">
        <f t="shared" ref="H379:AB379" ca="1" si="293">-D*(H278-H280)/(2*delta)</f>
        <v>-521.43558145182737</v>
      </c>
      <c r="I379" s="4">
        <f t="shared" ca="1" si="293"/>
        <v>-381.29336970737842</v>
      </c>
      <c r="J379" s="4">
        <f t="shared" ca="1" si="293"/>
        <v>-258.60743700005571</v>
      </c>
      <c r="K379" s="4">
        <f t="shared" ca="1" si="293"/>
        <v>-146.77181064362367</v>
      </c>
      <c r="L379" s="4">
        <f t="shared" ca="1" si="293"/>
        <v>-39.836751314824077</v>
      </c>
      <c r="M379" s="4">
        <f t="shared" ca="1" si="293"/>
        <v>68.069193154593208</v>
      </c>
      <c r="N379" s="4">
        <f t="shared" ca="1" si="293"/>
        <v>183.369585330631</v>
      </c>
      <c r="O379" s="4">
        <f t="shared" ca="1" si="293"/>
        <v>313.87308699082649</v>
      </c>
      <c r="P379" s="4">
        <f t="shared" ca="1" si="293"/>
        <v>470.06313726203115</v>
      </c>
      <c r="Q379" s="4">
        <f t="shared" ca="1" si="293"/>
        <v>667.27448075181451</v>
      </c>
      <c r="R379" s="4">
        <f t="shared" ca="1" si="293"/>
        <v>929.20423344199867</v>
      </c>
      <c r="S379" s="4">
        <f t="shared" ca="1" si="293"/>
        <v>1166.1840882905917</v>
      </c>
      <c r="T379" s="4">
        <f t="shared" ca="1" si="293"/>
        <v>1286.2301554112839</v>
      </c>
      <c r="U379" s="4">
        <f t="shared" ca="1" si="293"/>
        <v>1305.5481059314475</v>
      </c>
      <c r="V379" s="4">
        <f t="shared" ca="1" si="293"/>
        <v>1224.9805060795518</v>
      </c>
      <c r="W379" s="4">
        <f t="shared" ca="1" si="293"/>
        <v>1030.06620526236</v>
      </c>
      <c r="X379" s="4">
        <f t="shared" ca="1" si="293"/>
        <v>814.71930760493478</v>
      </c>
      <c r="Y379" s="4">
        <f t="shared" ca="1" si="293"/>
        <v>670.87468372426258</v>
      </c>
      <c r="Z379" s="4">
        <f t="shared" ca="1" si="293"/>
        <v>577.63607839476322</v>
      </c>
      <c r="AA379" s="4">
        <f t="shared" ca="1" si="293"/>
        <v>523.28565849146423</v>
      </c>
      <c r="AB379" s="3">
        <f t="shared" ca="1" si="293"/>
        <v>502.20347056088531</v>
      </c>
    </row>
    <row r="380" spans="5:28" x14ac:dyDescent="0.25">
      <c r="E380" s="2">
        <f t="shared" si="271"/>
        <v>1.8000000000000005</v>
      </c>
      <c r="H380" s="3">
        <f t="shared" ref="H380:AB380" ca="1" si="294">-D*(H279-H281)/(2*delta)</f>
        <v>-372.25112272515457</v>
      </c>
      <c r="I380" s="4">
        <f t="shared" ca="1" si="294"/>
        <v>-261.37435756069829</v>
      </c>
      <c r="J380" s="4">
        <f t="shared" ca="1" si="294"/>
        <v>-165.12772393675039</v>
      </c>
      <c r="K380" s="4">
        <f t="shared" ca="1" si="294"/>
        <v>-77.935108348906937</v>
      </c>
      <c r="L380" s="4">
        <f t="shared" ca="1" si="294"/>
        <v>5.1852725073774293</v>
      </c>
      <c r="M380" s="4">
        <f t="shared" ca="1" si="294"/>
        <v>89.03945741305418</v>
      </c>
      <c r="N380" s="4">
        <f t="shared" ca="1" si="294"/>
        <v>178.61554268438411</v>
      </c>
      <c r="O380" s="4">
        <f t="shared" ca="1" si="294"/>
        <v>279.32418329633259</v>
      </c>
      <c r="P380" s="4">
        <f t="shared" ca="1" si="294"/>
        <v>396.84113857247013</v>
      </c>
      <c r="Q380" s="4">
        <f t="shared" ca="1" si="294"/>
        <v>535.51157959245722</v>
      </c>
      <c r="R380" s="4">
        <f t="shared" ca="1" si="294"/>
        <v>691.60191914977713</v>
      </c>
      <c r="S380" s="4">
        <f t="shared" ca="1" si="294"/>
        <v>828.01685024989217</v>
      </c>
      <c r="T380" s="4">
        <f t="shared" ca="1" si="294"/>
        <v>906.45346088990811</v>
      </c>
      <c r="U380" s="4">
        <f t="shared" ca="1" si="294"/>
        <v>919.88445816088984</v>
      </c>
      <c r="V380" s="4">
        <f t="shared" ca="1" si="294"/>
        <v>869.01666424547125</v>
      </c>
      <c r="W380" s="4">
        <f t="shared" ca="1" si="294"/>
        <v>762.34053520557052</v>
      </c>
      <c r="X380" s="4">
        <f t="shared" ca="1" si="294"/>
        <v>639.77557871178783</v>
      </c>
      <c r="Y380" s="4">
        <f t="shared" ca="1" si="294"/>
        <v>540.30569449558129</v>
      </c>
      <c r="Z380" s="4">
        <f t="shared" ca="1" si="294"/>
        <v>469.96747848460546</v>
      </c>
      <c r="AA380" s="4">
        <f t="shared" ca="1" si="294"/>
        <v>427.3046905682769</v>
      </c>
      <c r="AB380" s="3">
        <f t="shared" ca="1" si="294"/>
        <v>410.30585431769481</v>
      </c>
    </row>
    <row r="381" spans="5:28" x14ac:dyDescent="0.25">
      <c r="E381" s="2">
        <f t="shared" si="271"/>
        <v>1.7000000000000004</v>
      </c>
      <c r="H381" s="3">
        <f t="shared" ref="H381:AB381" ca="1" si="295">-D*(H280-H282)/(2*delta)</f>
        <v>-201.77256009766069</v>
      </c>
      <c r="I381" s="4">
        <f t="shared" ca="1" si="295"/>
        <v>-126.82514817342205</v>
      </c>
      <c r="J381" s="4">
        <f t="shared" ca="1" si="295"/>
        <v>-62.593800699546314</v>
      </c>
      <c r="K381" s="4">
        <f t="shared" ca="1" si="295"/>
        <v>-5.0258046916034038</v>
      </c>
      <c r="L381" s="4">
        <f t="shared" ca="1" si="295"/>
        <v>49.474074558423368</v>
      </c>
      <c r="M381" s="4">
        <f t="shared" ca="1" si="295"/>
        <v>104.28865410614821</v>
      </c>
      <c r="N381" s="4">
        <f t="shared" ca="1" si="295"/>
        <v>162.7300572028405</v>
      </c>
      <c r="O381" s="4">
        <f t="shared" ca="1" si="295"/>
        <v>227.96838118357903</v>
      </c>
      <c r="P381" s="4">
        <f t="shared" ca="1" si="295"/>
        <v>302.46739353190264</v>
      </c>
      <c r="Q381" s="4">
        <f t="shared" ca="1" si="295"/>
        <v>386.33085773326383</v>
      </c>
      <c r="R381" s="4">
        <f t="shared" ca="1" si="295"/>
        <v>473.67744128388273</v>
      </c>
      <c r="S381" s="4">
        <f t="shared" ca="1" si="295"/>
        <v>547.83071937706461</v>
      </c>
      <c r="T381" s="4">
        <f t="shared" ca="1" si="295"/>
        <v>591.68553123310892</v>
      </c>
      <c r="U381" s="4">
        <f t="shared" ca="1" si="295"/>
        <v>598.52312191837655</v>
      </c>
      <c r="V381" s="4">
        <f t="shared" ca="1" si="295"/>
        <v>568.86504937470113</v>
      </c>
      <c r="W381" s="4">
        <f t="shared" ca="1" si="295"/>
        <v>510.50795783107372</v>
      </c>
      <c r="X381" s="4">
        <f t="shared" ca="1" si="295"/>
        <v>441.74141795998383</v>
      </c>
      <c r="Y381" s="4">
        <f t="shared" ca="1" si="295"/>
        <v>380.61005514599532</v>
      </c>
      <c r="Z381" s="4">
        <f t="shared" ca="1" si="295"/>
        <v>334.62885019078146</v>
      </c>
      <c r="AA381" s="4">
        <f t="shared" ca="1" si="295"/>
        <v>305.66555866373153</v>
      </c>
      <c r="AB381" s="3">
        <f t="shared" ca="1" si="295"/>
        <v>293.58324666785035</v>
      </c>
    </row>
    <row r="382" spans="5:28" x14ac:dyDescent="0.25">
      <c r="E382" s="2">
        <f t="shared" si="271"/>
        <v>1.6000000000000003</v>
      </c>
      <c r="H382" s="3">
        <f t="shared" ref="H382:AB382" ca="1" si="296">-D*(H281-H283)/(2*delta)</f>
        <v>-15.753519989559736</v>
      </c>
      <c r="I382" s="4">
        <f t="shared" ca="1" si="296"/>
        <v>18.440223083080493</v>
      </c>
      <c r="J382" s="4">
        <f t="shared" ca="1" si="296"/>
        <v>46.603752707199554</v>
      </c>
      <c r="K382" s="4">
        <f t="shared" ca="1" si="296"/>
        <v>70.952144234067347</v>
      </c>
      <c r="L382" s="4">
        <f t="shared" ca="1" si="296"/>
        <v>93.449013362043942</v>
      </c>
      <c r="M382" s="4">
        <f t="shared" ca="1" si="296"/>
        <v>115.91222266634306</v>
      </c>
      <c r="N382" s="4">
        <f t="shared" ca="1" si="296"/>
        <v>140.04924634864605</v>
      </c>
      <c r="O382" s="4">
        <f t="shared" ca="1" si="296"/>
        <v>167.35392071178418</v>
      </c>
      <c r="P382" s="4">
        <f t="shared" ca="1" si="296"/>
        <v>198.7316889566423</v>
      </c>
      <c r="Q382" s="4">
        <f t="shared" ca="1" si="296"/>
        <v>233.6699931027093</v>
      </c>
      <c r="R382" s="4">
        <f t="shared" ca="1" si="296"/>
        <v>268.94974651592196</v>
      </c>
      <c r="S382" s="4">
        <f t="shared" ca="1" si="296"/>
        <v>297.94704584112492</v>
      </c>
      <c r="T382" s="4">
        <f t="shared" ca="1" si="296"/>
        <v>313.93933605359422</v>
      </c>
      <c r="U382" s="4">
        <f t="shared" ca="1" si="296"/>
        <v>313.66249030156564</v>
      </c>
      <c r="V382" s="4">
        <f t="shared" ca="1" si="296"/>
        <v>297.41802686652318</v>
      </c>
      <c r="W382" s="4">
        <f t="shared" ca="1" si="296"/>
        <v>269.09093686346102</v>
      </c>
      <c r="X382" s="4">
        <f t="shared" ca="1" si="296"/>
        <v>236.07872556109743</v>
      </c>
      <c r="Y382" s="4">
        <f t="shared" ca="1" si="296"/>
        <v>205.7714442037319</v>
      </c>
      <c r="Z382" s="4">
        <f t="shared" ca="1" si="296"/>
        <v>182.28004118972626</v>
      </c>
      <c r="AA382" s="4">
        <f t="shared" ca="1" si="296"/>
        <v>167.1537353448048</v>
      </c>
      <c r="AB382" s="3">
        <f t="shared" ca="1" si="296"/>
        <v>160.63799344875756</v>
      </c>
    </row>
    <row r="383" spans="5:28" x14ac:dyDescent="0.25">
      <c r="E383" s="2">
        <f t="shared" si="271"/>
        <v>1.5000000000000002</v>
      </c>
      <c r="H383" s="3">
        <f t="shared" ref="H383:AB383" ca="1" si="297">-D*(H282-H284)/(2*delta)</f>
        <v>178.90785257027866</v>
      </c>
      <c r="I383" s="4">
        <f t="shared" ca="1" si="297"/>
        <v>169.73593627841271</v>
      </c>
      <c r="J383" s="4">
        <f t="shared" ca="1" si="297"/>
        <v>159.61680763975963</v>
      </c>
      <c r="K383" s="4">
        <f t="shared" ca="1" si="297"/>
        <v>148.78230246476272</v>
      </c>
      <c r="L383" s="4">
        <f t="shared" ca="1" si="297"/>
        <v>137.45869830605079</v>
      </c>
      <c r="M383" s="4">
        <f t="shared" ca="1" si="297"/>
        <v>125.86352702685647</v>
      </c>
      <c r="N383" s="4">
        <f t="shared" ca="1" si="297"/>
        <v>114.2028528626706</v>
      </c>
      <c r="O383" s="4">
        <f t="shared" ca="1" si="297"/>
        <v>102.66899682651507</v>
      </c>
      <c r="P383" s="4">
        <f t="shared" ca="1" si="297"/>
        <v>91.438677412836299</v>
      </c>
      <c r="Q383" s="4">
        <f t="shared" ca="1" si="297"/>
        <v>80.671535061224347</v>
      </c>
      <c r="R383" s="4">
        <f t="shared" ca="1" si="297"/>
        <v>70.509010432244708</v>
      </c>
      <c r="S383" s="4">
        <f t="shared" ca="1" si="297"/>
        <v>61.073550863904806</v>
      </c>
      <c r="T383" s="4">
        <f t="shared" ca="1" si="297"/>
        <v>52.468122522310807</v>
      </c>
      <c r="U383" s="4">
        <f t="shared" ca="1" si="297"/>
        <v>44.776005971963023</v>
      </c>
      <c r="V383" s="4">
        <f t="shared" ca="1" si="297"/>
        <v>38.060849517584138</v>
      </c>
      <c r="W383" s="4">
        <f t="shared" ca="1" si="297"/>
        <v>32.366948378105725</v>
      </c>
      <c r="X383" s="4">
        <f t="shared" ca="1" si="297"/>
        <v>27.719710395674099</v>
      </c>
      <c r="Y383" s="4">
        <f t="shared" ca="1" si="297"/>
        <v>24.12626264754838</v>
      </c>
      <c r="Z383" s="4">
        <f t="shared" ca="1" si="297"/>
        <v>21.576150491706169</v>
      </c>
      <c r="AA383" s="4">
        <f t="shared" ca="1" si="297"/>
        <v>20.042082774963063</v>
      </c>
      <c r="AB383" s="3">
        <f t="shared" ca="1" si="297"/>
        <v>19.480684862203397</v>
      </c>
    </row>
    <row r="384" spans="5:28" x14ac:dyDescent="0.25">
      <c r="E384" s="2">
        <f t="shared" si="271"/>
        <v>1.4000000000000001</v>
      </c>
      <c r="H384" s="3">
        <f t="shared" ref="H384:AB384" ca="1" si="298">-D*(H283-H285)/(2*delta)</f>
        <v>374.75017781638945</v>
      </c>
      <c r="I384" s="4">
        <f t="shared" ca="1" si="298"/>
        <v>321.97902054551338</v>
      </c>
      <c r="J384" s="4">
        <f t="shared" ca="1" si="298"/>
        <v>273.34568490378734</v>
      </c>
      <c r="K384" s="4">
        <f t="shared" ca="1" si="298"/>
        <v>227.10240053084016</v>
      </c>
      <c r="L384" s="4">
        <f t="shared" ca="1" si="298"/>
        <v>181.74127892622684</v>
      </c>
      <c r="M384" s="4">
        <f t="shared" ca="1" si="298"/>
        <v>135.88222919648186</v>
      </c>
      <c r="N384" s="4">
        <f t="shared" ca="1" si="298"/>
        <v>88.232168484834872</v>
      </c>
      <c r="O384" s="4">
        <f t="shared" ca="1" si="298"/>
        <v>37.683750285076975</v>
      </c>
      <c r="P384" s="4">
        <f t="shared" ca="1" si="298"/>
        <v>-16.313566453679584</v>
      </c>
      <c r="Q384" s="4">
        <f t="shared" ca="1" si="298"/>
        <v>-72.926830393330803</v>
      </c>
      <c r="R384" s="4">
        <f t="shared" ca="1" si="298"/>
        <v>-128.65328814131962</v>
      </c>
      <c r="S384" s="4">
        <f t="shared" ca="1" si="298"/>
        <v>-176.62366078033023</v>
      </c>
      <c r="T384" s="4">
        <f t="shared" ca="1" si="298"/>
        <v>-209.90926229904863</v>
      </c>
      <c r="U384" s="4">
        <f t="shared" ca="1" si="298"/>
        <v>-225.0794625698461</v>
      </c>
      <c r="V384" s="4">
        <f t="shared" ca="1" si="298"/>
        <v>-222.30876565498653</v>
      </c>
      <c r="W384" s="4">
        <f t="shared" ca="1" si="298"/>
        <v>-205.39403972472357</v>
      </c>
      <c r="X384" s="4">
        <f t="shared" ca="1" si="298"/>
        <v>-181.68258124981867</v>
      </c>
      <c r="Y384" s="4">
        <f t="shared" ca="1" si="298"/>
        <v>-158.55088497808867</v>
      </c>
      <c r="Z384" s="4">
        <f t="shared" ca="1" si="298"/>
        <v>-140.13155060453016</v>
      </c>
      <c r="AA384" s="4">
        <f t="shared" ca="1" si="298"/>
        <v>-128.02912711678965</v>
      </c>
      <c r="AB384" s="3">
        <f t="shared" ca="1" si="298"/>
        <v>-122.57655876641088</v>
      </c>
    </row>
    <row r="385" spans="5:28" x14ac:dyDescent="0.25">
      <c r="E385" s="2">
        <f t="shared" si="271"/>
        <v>1.3</v>
      </c>
      <c r="H385" s="3">
        <f t="shared" ref="H385:AB385" ca="1" si="299">-D*(H284-H286)/(2*delta)</f>
        <v>564.3141008868713</v>
      </c>
      <c r="I385" s="4">
        <f t="shared" ca="1" si="299"/>
        <v>470.08447112216305</v>
      </c>
      <c r="J385" s="4">
        <f t="shared" ca="1" si="299"/>
        <v>384.68503620093037</v>
      </c>
      <c r="K385" s="4">
        <f t="shared" ca="1" si="299"/>
        <v>304.54132524058593</v>
      </c>
      <c r="L385" s="4">
        <f t="shared" ca="1" si="299"/>
        <v>226.52334996534427</v>
      </c>
      <c r="M385" s="4">
        <f t="shared" ca="1" si="299"/>
        <v>147.69416990571438</v>
      </c>
      <c r="N385" s="4">
        <f t="shared" ca="1" si="299"/>
        <v>65.162811878965897</v>
      </c>
      <c r="O385" s="4">
        <f t="shared" ca="1" si="299"/>
        <v>-23.848820764677139</v>
      </c>
      <c r="P385" s="4">
        <f t="shared" ca="1" si="299"/>
        <v>-121.44522772973774</v>
      </c>
      <c r="Q385" s="4">
        <f t="shared" ca="1" si="299"/>
        <v>-227.40646729444455</v>
      </c>
      <c r="R385" s="4">
        <f t="shared" ca="1" si="299"/>
        <v>-335.56520632572619</v>
      </c>
      <c r="S385" s="4">
        <f t="shared" ca="1" si="299"/>
        <v>-428.99822407325775</v>
      </c>
      <c r="T385" s="4">
        <f t="shared" ca="1" si="299"/>
        <v>-490.39365847545344</v>
      </c>
      <c r="U385" s="4">
        <f t="shared" ca="1" si="299"/>
        <v>-512.86645685639837</v>
      </c>
      <c r="V385" s="4">
        <f t="shared" ca="1" si="299"/>
        <v>-496.81204950124595</v>
      </c>
      <c r="W385" s="4">
        <f t="shared" ca="1" si="299"/>
        <v>-449.94040588615422</v>
      </c>
      <c r="X385" s="4">
        <f t="shared" ca="1" si="299"/>
        <v>-390.49275714949988</v>
      </c>
      <c r="Y385" s="4">
        <f t="shared" ca="1" si="299"/>
        <v>-336.50231159537452</v>
      </c>
      <c r="Z385" s="4">
        <f t="shared" ca="1" si="299"/>
        <v>-295.50796589516386</v>
      </c>
      <c r="AA385" s="4">
        <f t="shared" ca="1" si="299"/>
        <v>-269.43507485452056</v>
      </c>
      <c r="AB385" s="3">
        <f t="shared" ca="1" si="299"/>
        <v>-258.23637579238573</v>
      </c>
    </row>
    <row r="386" spans="5:28" x14ac:dyDescent="0.25">
      <c r="E386" s="2">
        <f t="shared" si="271"/>
        <v>1.2</v>
      </c>
      <c r="H386" s="3">
        <f t="shared" ref="H386:AB386" ca="1" si="300">-D*(H285-H287)/(2*delta)</f>
        <v>740.70721004622237</v>
      </c>
      <c r="I386" s="4">
        <f t="shared" ca="1" si="300"/>
        <v>609.35994280957982</v>
      </c>
      <c r="J386" s="4">
        <f t="shared" ca="1" si="300"/>
        <v>490.76926500447212</v>
      </c>
      <c r="K386" s="4">
        <f t="shared" ca="1" si="300"/>
        <v>379.8556459515309</v>
      </c>
      <c r="L386" s="4">
        <f t="shared" ca="1" si="300"/>
        <v>272.1184119060988</v>
      </c>
      <c r="M386" s="4">
        <f t="shared" ca="1" si="300"/>
        <v>163.21083464608387</v>
      </c>
      <c r="N386" s="4">
        <f t="shared" ca="1" si="300"/>
        <v>48.577124398798851</v>
      </c>
      <c r="O386" s="4">
        <f t="shared" ca="1" si="300"/>
        <v>-76.792301474096035</v>
      </c>
      <c r="P386" s="4">
        <f t="shared" ca="1" si="300"/>
        <v>-218.20675970427885</v>
      </c>
      <c r="Q386" s="4">
        <f t="shared" ca="1" si="300"/>
        <v>-379.68228056037975</v>
      </c>
      <c r="R386" s="4">
        <f t="shared" ca="1" si="300"/>
        <v>-557.19545824943145</v>
      </c>
      <c r="S386" s="4">
        <f t="shared" ca="1" si="300"/>
        <v>-713.40189321406422</v>
      </c>
      <c r="T386" s="4">
        <f t="shared" ca="1" si="300"/>
        <v>-809.7911043920642</v>
      </c>
      <c r="U386" s="4">
        <f t="shared" ca="1" si="300"/>
        <v>-839.16994906148454</v>
      </c>
      <c r="V386" s="4">
        <f t="shared" ca="1" si="300"/>
        <v>-802.12073181274582</v>
      </c>
      <c r="W386" s="4">
        <f t="shared" ca="1" si="300"/>
        <v>-707.04980338624375</v>
      </c>
      <c r="X386" s="4">
        <f t="shared" ca="1" si="300"/>
        <v>-593.8316144801081</v>
      </c>
      <c r="Y386" s="4">
        <f t="shared" ca="1" si="300"/>
        <v>-501.44237392848436</v>
      </c>
      <c r="Z386" s="4">
        <f t="shared" ca="1" si="300"/>
        <v>-435.9465013910837</v>
      </c>
      <c r="AA386" s="4">
        <f t="shared" ca="1" si="300"/>
        <v>-395.94922622994477</v>
      </c>
      <c r="AB386" s="3">
        <f t="shared" ca="1" si="300"/>
        <v>-379.53243075224833</v>
      </c>
    </row>
    <row r="387" spans="5:28" x14ac:dyDescent="0.25">
      <c r="E387" s="2">
        <f t="shared" si="271"/>
        <v>1.0999999999999999</v>
      </c>
      <c r="H387" s="3">
        <f t="shared" ref="H387:AB387" ca="1" si="301">-D*(H286-H288)/(2*delta)</f>
        <v>898.18424365486192</v>
      </c>
      <c r="I387" s="4">
        <f t="shared" ca="1" si="301"/>
        <v>735.87906766787626</v>
      </c>
      <c r="J387" s="4">
        <f t="shared" ca="1" si="301"/>
        <v>589.17710888772297</v>
      </c>
      <c r="K387" s="4">
        <f t="shared" ca="1" si="301"/>
        <v>451.99484847213171</v>
      </c>
      <c r="L387" s="4">
        <f t="shared" ca="1" si="301"/>
        <v>318.88581573722149</v>
      </c>
      <c r="M387" s="4">
        <f t="shared" ca="1" si="301"/>
        <v>184.45648089919888</v>
      </c>
      <c r="N387" s="4">
        <f t="shared" ca="1" si="301"/>
        <v>42.730949898236773</v>
      </c>
      <c r="O387" s="4">
        <f t="shared" ca="1" si="301"/>
        <v>-113.68592190731296</v>
      </c>
      <c r="P387" s="4">
        <f t="shared" ca="1" si="301"/>
        <v>-294.90130436393133</v>
      </c>
      <c r="Q387" s="4">
        <f t="shared" ca="1" si="301"/>
        <v>-515.91336317284549</v>
      </c>
      <c r="R387" s="4">
        <f t="shared" ca="1" si="301"/>
        <v>-800.12418974387151</v>
      </c>
      <c r="S387" s="4">
        <f t="shared" ca="1" si="301"/>
        <v>-1057.613303888874</v>
      </c>
      <c r="T387" s="4">
        <f t="shared" ca="1" si="301"/>
        <v>-1196.1881943637416</v>
      </c>
      <c r="U387" s="4">
        <f t="shared" ca="1" si="301"/>
        <v>-1231.8895262303367</v>
      </c>
      <c r="V387" s="4">
        <f t="shared" ca="1" si="301"/>
        <v>-1165.4378843720826</v>
      </c>
      <c r="W387" s="4">
        <f t="shared" ca="1" si="301"/>
        <v>-982.29194971734125</v>
      </c>
      <c r="X387" s="4">
        <f t="shared" ca="1" si="301"/>
        <v>-776.32573479542782</v>
      </c>
      <c r="Y387" s="4">
        <f t="shared" ca="1" si="301"/>
        <v>-639.47199426726434</v>
      </c>
      <c r="Z387" s="4">
        <f t="shared" ca="1" si="301"/>
        <v>-550.86806719983679</v>
      </c>
      <c r="AA387" s="4">
        <f t="shared" ca="1" si="301"/>
        <v>-498.86320661105555</v>
      </c>
      <c r="AB387" s="3">
        <f t="shared" ca="1" si="301"/>
        <v>-477.93604926802612</v>
      </c>
    </row>
    <row r="388" spans="5:28" x14ac:dyDescent="0.25">
      <c r="E388" s="2">
        <f t="shared" si="271"/>
        <v>0.99999999999999989</v>
      </c>
      <c r="H388" s="3">
        <f t="shared" ref="H388:AB388" ca="1" si="302">-D*(H287-H289)/(2*delta)</f>
        <v>1032.695861339633</v>
      </c>
      <c r="I388" s="4">
        <f t="shared" ca="1" si="302"/>
        <v>846.79524304229028</v>
      </c>
      <c r="J388" s="4">
        <f t="shared" ca="1" si="302"/>
        <v>678.06599636820249</v>
      </c>
      <c r="K388" s="4">
        <f t="shared" ca="1" si="302"/>
        <v>520.06221730750815</v>
      </c>
      <c r="L388" s="4">
        <f t="shared" ca="1" si="302"/>
        <v>366.97572036724711</v>
      </c>
      <c r="M388" s="4">
        <f t="shared" ca="1" si="302"/>
        <v>213.00145644376656</v>
      </c>
      <c r="N388" s="4">
        <f t="shared" ca="1" si="302"/>
        <v>51.580292608648875</v>
      </c>
      <c r="O388" s="4">
        <f t="shared" ca="1" si="302"/>
        <v>-125.77572210649983</v>
      </c>
      <c r="P388" s="4">
        <f t="shared" ca="1" si="302"/>
        <v>-331.79265708320725</v>
      </c>
      <c r="Q388" s="4">
        <f t="shared" ca="1" si="302"/>
        <v>-588.93789881638133</v>
      </c>
      <c r="R388" s="4">
        <f t="shared" ca="1" si="302"/>
        <v>-944.76554658970224</v>
      </c>
      <c r="S388" s="4">
        <f t="shared" ca="1" si="302"/>
        <v>-1270.7285105246797</v>
      </c>
      <c r="T388" s="4">
        <f t="shared" ca="1" si="302"/>
        <v>-1435.4470513510928</v>
      </c>
      <c r="U388" s="4">
        <f t="shared" ca="1" si="302"/>
        <v>-1476.7489058889964</v>
      </c>
      <c r="V388" s="4">
        <f t="shared" ca="1" si="302"/>
        <v>-1395.4347684070267</v>
      </c>
      <c r="W388" s="4">
        <f t="shared" ca="1" si="302"/>
        <v>-1155.3384174657031</v>
      </c>
      <c r="X388" s="4">
        <f t="shared" ca="1" si="302"/>
        <v>-889.69001740685576</v>
      </c>
      <c r="Y388" s="4">
        <f t="shared" ca="1" si="302"/>
        <v>-729.23302425862892</v>
      </c>
      <c r="Z388" s="4">
        <f t="shared" ca="1" si="302"/>
        <v>-629.17036178679382</v>
      </c>
      <c r="AA388" s="4">
        <f t="shared" ca="1" si="302"/>
        <v>-570.67782848905335</v>
      </c>
      <c r="AB388" s="3">
        <f t="shared" ca="1" si="302"/>
        <v>-546.10510319060529</v>
      </c>
    </row>
    <row r="389" spans="5:28" x14ac:dyDescent="0.25">
      <c r="E389" s="2">
        <f t="shared" si="271"/>
        <v>0.89999999999999991</v>
      </c>
      <c r="H389" s="3">
        <f t="shared" ref="H389:AB389" ca="1" si="303">-D*(H288-H290)/(2*delta)</f>
        <v>1142.2784352790241</v>
      </c>
      <c r="I389" s="4">
        <f t="shared" ca="1" si="303"/>
        <v>940.54033795974772</v>
      </c>
      <c r="J389" s="4">
        <f t="shared" ca="1" si="303"/>
        <v>756.23022168654381</v>
      </c>
      <c r="K389" s="4">
        <f t="shared" ca="1" si="303"/>
        <v>583.21381648605438</v>
      </c>
      <c r="L389" s="4">
        <f t="shared" ca="1" si="303"/>
        <v>415.9557769690602</v>
      </c>
      <c r="M389" s="4">
        <f t="shared" ca="1" si="303"/>
        <v>248.99673008190399</v>
      </c>
      <c r="N389" s="4">
        <f t="shared" ca="1" si="303"/>
        <v>76.369015609163313</v>
      </c>
      <c r="O389" s="4">
        <f t="shared" ca="1" si="303"/>
        <v>-109.1988439016425</v>
      </c>
      <c r="P389" s="4">
        <f t="shared" ca="1" si="303"/>
        <v>-317.54863716604103</v>
      </c>
      <c r="Q389" s="4">
        <f t="shared" ca="1" si="303"/>
        <v>-563.2715922933578</v>
      </c>
      <c r="R389" s="4">
        <f t="shared" ca="1" si="303"/>
        <v>-869.26173288315886</v>
      </c>
      <c r="S389" s="4">
        <f t="shared" ca="1" si="303"/>
        <v>-1145.0768320386437</v>
      </c>
      <c r="T389" s="4">
        <f t="shared" ca="1" si="303"/>
        <v>-1298.1098073133469</v>
      </c>
      <c r="U389" s="4">
        <f t="shared" ca="1" si="303"/>
        <v>-1344.2099940424152</v>
      </c>
      <c r="V389" s="4">
        <f t="shared" ca="1" si="303"/>
        <v>-1284.1980748079459</v>
      </c>
      <c r="W389" s="4">
        <f t="shared" ca="1" si="303"/>
        <v>-1103.9196275836725</v>
      </c>
      <c r="X389" s="4">
        <f t="shared" ca="1" si="303"/>
        <v>-897.84406318707806</v>
      </c>
      <c r="Y389" s="4">
        <f t="shared" ca="1" si="303"/>
        <v>-758.57936059661745</v>
      </c>
      <c r="Z389" s="4">
        <f t="shared" ca="1" si="303"/>
        <v>-665.88061572447123</v>
      </c>
      <c r="AA389" s="4">
        <f t="shared" ca="1" si="303"/>
        <v>-608.54915788853884</v>
      </c>
      <c r="AB389" s="3">
        <f t="shared" ca="1" si="303"/>
        <v>-581.28586948574684</v>
      </c>
    </row>
    <row r="390" spans="5:28" x14ac:dyDescent="0.25">
      <c r="E390" s="2">
        <f t="shared" si="271"/>
        <v>0.79999999999999993</v>
      </c>
      <c r="H390" s="3">
        <f t="shared" ref="H390:AB390" ca="1" si="304">-D*(H289-H291)/(2*delta)</f>
        <v>1227.1341315222685</v>
      </c>
      <c r="I390" s="4">
        <f t="shared" ca="1" si="304"/>
        <v>1016.8577646249483</v>
      </c>
      <c r="J390" s="4">
        <f t="shared" ca="1" si="304"/>
        <v>823.10159985820519</v>
      </c>
      <c r="K390" s="4">
        <f t="shared" ca="1" si="304"/>
        <v>640.60867150489889</v>
      </c>
      <c r="L390" s="4">
        <f t="shared" ca="1" si="304"/>
        <v>464.63939739674811</v>
      </c>
      <c r="M390" s="4">
        <f t="shared" ca="1" si="304"/>
        <v>290.66431342729703</v>
      </c>
      <c r="N390" s="4">
        <f t="shared" ca="1" si="304"/>
        <v>114.10273793127412</v>
      </c>
      <c r="O390" s="4">
        <f t="shared" ca="1" si="304"/>
        <v>-69.833860990273635</v>
      </c>
      <c r="P390" s="4">
        <f t="shared" ca="1" si="304"/>
        <v>-265.92388307201838</v>
      </c>
      <c r="Q390" s="4">
        <f t="shared" ca="1" si="304"/>
        <v>-477.3290596137569</v>
      </c>
      <c r="R390" s="4">
        <f t="shared" ca="1" si="304"/>
        <v>-698.92240004279881</v>
      </c>
      <c r="S390" s="4">
        <f t="shared" ca="1" si="304"/>
        <v>-892.19515882977907</v>
      </c>
      <c r="T390" s="4">
        <f t="shared" ca="1" si="304"/>
        <v>-1017.6916480943715</v>
      </c>
      <c r="U390" s="4">
        <f t="shared" ca="1" si="304"/>
        <v>-1067.7678809214722</v>
      </c>
      <c r="V390" s="4">
        <f t="shared" ca="1" si="304"/>
        <v>-1043.2109862499833</v>
      </c>
      <c r="W390" s="4">
        <f t="shared" ca="1" si="304"/>
        <v>-953.27940753424207</v>
      </c>
      <c r="X390" s="4">
        <f t="shared" ca="1" si="304"/>
        <v>-839.16706736053072</v>
      </c>
      <c r="Y390" s="4">
        <f t="shared" ca="1" si="304"/>
        <v>-741.33791638102093</v>
      </c>
      <c r="Z390" s="4">
        <f t="shared" ca="1" si="304"/>
        <v>-667.20010024696558</v>
      </c>
      <c r="AA390" s="4">
        <f t="shared" ca="1" si="304"/>
        <v>-616.32714973531142</v>
      </c>
      <c r="AB390" s="3">
        <f t="shared" ca="1" si="304"/>
        <v>-587.26753145022849</v>
      </c>
    </row>
    <row r="391" spans="5:28" x14ac:dyDescent="0.25">
      <c r="E391" s="2">
        <f t="shared" si="271"/>
        <v>0.7</v>
      </c>
      <c r="H391" s="3">
        <f t="shared" ref="H391:AB391" ca="1" si="305">-D*(H290-H292)/(2*delta)</f>
        <v>1289.3392046958995</v>
      </c>
      <c r="I391" s="4">
        <f t="shared" ca="1" si="305"/>
        <v>1076.6553216388206</v>
      </c>
      <c r="J391" s="4">
        <f t="shared" ca="1" si="305"/>
        <v>878.71065866210836</v>
      </c>
      <c r="K391" s="4">
        <f t="shared" ca="1" si="305"/>
        <v>691.48159282010113</v>
      </c>
      <c r="L391" s="4">
        <f t="shared" ca="1" si="305"/>
        <v>511.3315397842909</v>
      </c>
      <c r="M391" s="4">
        <f t="shared" ca="1" si="305"/>
        <v>334.92225182459464</v>
      </c>
      <c r="N391" s="4">
        <f t="shared" ca="1" si="305"/>
        <v>159.2166328104399</v>
      </c>
      <c r="O391" s="4">
        <f t="shared" ca="1" si="305"/>
        <v>-18.308909315623456</v>
      </c>
      <c r="P391" s="4">
        <f t="shared" ca="1" si="305"/>
        <v>-198.97594258626427</v>
      </c>
      <c r="Q391" s="4">
        <f t="shared" ca="1" si="305"/>
        <v>-381.18877367296324</v>
      </c>
      <c r="R391" s="4">
        <f t="shared" ca="1" si="305"/>
        <v>-556.89244737281194</v>
      </c>
      <c r="S391" s="4">
        <f t="shared" ca="1" si="305"/>
        <v>-707.0769010650489</v>
      </c>
      <c r="T391" s="4">
        <f t="shared" ca="1" si="305"/>
        <v>-812.67920985885905</v>
      </c>
      <c r="U391" s="4">
        <f t="shared" ca="1" si="305"/>
        <v>-865.94265893634167</v>
      </c>
      <c r="V391" s="4">
        <f t="shared" ca="1" si="305"/>
        <v>-867.58063149914915</v>
      </c>
      <c r="W391" s="4">
        <f t="shared" ca="1" si="305"/>
        <v>-826.80027560191047</v>
      </c>
      <c r="X391" s="4">
        <f t="shared" ca="1" si="305"/>
        <v>-764.18547733661137</v>
      </c>
      <c r="Y391" s="4">
        <f t="shared" ca="1" si="305"/>
        <v>-700.3819894482549</v>
      </c>
      <c r="Z391" s="4">
        <f t="shared" ca="1" si="305"/>
        <v>-645.22981094019781</v>
      </c>
      <c r="AA391" s="4">
        <f t="shared" ca="1" si="305"/>
        <v>-602.2651130959805</v>
      </c>
      <c r="AB391" s="3">
        <f t="shared" ca="1" si="305"/>
        <v>-572.19162316481652</v>
      </c>
    </row>
    <row r="392" spans="5:28" x14ac:dyDescent="0.25">
      <c r="E392" s="2">
        <f t="shared" si="271"/>
        <v>0.6</v>
      </c>
      <c r="H392" s="3">
        <f t="shared" ref="H392:AB392" ca="1" si="306">-D*(H291-H293)/(2*delta)</f>
        <v>1332.2702162604985</v>
      </c>
      <c r="I392" s="4">
        <f t="shared" ca="1" si="306"/>
        <v>1121.7140086820141</v>
      </c>
      <c r="J392" s="4">
        <f t="shared" ca="1" si="306"/>
        <v>923.60508483753858</v>
      </c>
      <c r="K392" s="4">
        <f t="shared" ca="1" si="306"/>
        <v>735.27731027836091</v>
      </c>
      <c r="L392" s="4">
        <f t="shared" ca="1" si="306"/>
        <v>554.28576812102506</v>
      </c>
      <c r="M392" s="4">
        <f t="shared" ca="1" si="306"/>
        <v>378.4805824007222</v>
      </c>
      <c r="N392" s="4">
        <f t="shared" ca="1" si="306"/>
        <v>206.15586305998522</v>
      </c>
      <c r="O392" s="4">
        <f t="shared" ca="1" si="306"/>
        <v>36.36441343968211</v>
      </c>
      <c r="P392" s="4">
        <f t="shared" ca="1" si="306"/>
        <v>-130.47376220427753</v>
      </c>
      <c r="Q392" s="4">
        <f t="shared" ca="1" si="306"/>
        <v>-291.54756611955975</v>
      </c>
      <c r="R392" s="4">
        <f t="shared" ca="1" si="306"/>
        <v>-440.3699413178673</v>
      </c>
      <c r="S392" s="4">
        <f t="shared" ca="1" si="306"/>
        <v>-566.52727780150985</v>
      </c>
      <c r="T392" s="4">
        <f t="shared" ca="1" si="306"/>
        <v>-659.99035366970043</v>
      </c>
      <c r="U392" s="4">
        <f t="shared" ca="1" si="306"/>
        <v>-715.72584795715136</v>
      </c>
      <c r="V392" s="4">
        <f t="shared" ca="1" si="306"/>
        <v>-734.34973821522829</v>
      </c>
      <c r="W392" s="4">
        <f t="shared" ca="1" si="306"/>
        <v>-722.1349078359101</v>
      </c>
      <c r="X392" s="4">
        <f t="shared" ca="1" si="306"/>
        <v>-690.37007853267096</v>
      </c>
      <c r="Y392" s="4">
        <f t="shared" ca="1" si="306"/>
        <v>-650.75042276338843</v>
      </c>
      <c r="Z392" s="4">
        <f t="shared" ca="1" si="306"/>
        <v>-611.04586031269605</v>
      </c>
      <c r="AA392" s="4">
        <f t="shared" ca="1" si="306"/>
        <v>-575.28380855228806</v>
      </c>
      <c r="AB392" s="3">
        <f t="shared" ca="1" si="306"/>
        <v>-544.87291234674649</v>
      </c>
    </row>
    <row r="393" spans="5:28" x14ac:dyDescent="0.25">
      <c r="E393" s="2">
        <f t="shared" si="271"/>
        <v>0.5</v>
      </c>
      <c r="H393" s="3">
        <f t="shared" ref="H393:AB393" ca="1" si="307">-D*(H292-H294)/(2*delta)</f>
        <v>1359.9324677992572</v>
      </c>
      <c r="I393" s="4">
        <f t="shared" ca="1" si="307"/>
        <v>1154.3257775775437</v>
      </c>
      <c r="J393" s="4">
        <f t="shared" ca="1" si="307"/>
        <v>958.71936776987661</v>
      </c>
      <c r="K393" s="4">
        <f t="shared" ca="1" si="307"/>
        <v>771.73868158752214</v>
      </c>
      <c r="L393" s="4">
        <f t="shared" ca="1" si="307"/>
        <v>592.05661247723708</v>
      </c>
      <c r="M393" s="4">
        <f t="shared" ca="1" si="307"/>
        <v>418.56268040375437</v>
      </c>
      <c r="N393" s="4">
        <f t="shared" ca="1" si="307"/>
        <v>250.56746577215256</v>
      </c>
      <c r="O393" s="4">
        <f t="shared" ca="1" si="307"/>
        <v>88.091634281855747</v>
      </c>
      <c r="P393" s="4">
        <f t="shared" ca="1" si="307"/>
        <v>-67.727153112622858</v>
      </c>
      <c r="Q393" s="4">
        <f t="shared" ca="1" si="307"/>
        <v>-214.14728049329705</v>
      </c>
      <c r="R393" s="4">
        <f t="shared" ca="1" si="307"/>
        <v>-346.50020089721681</v>
      </c>
      <c r="S393" s="4">
        <f t="shared" ca="1" si="307"/>
        <v>-458.65783132960706</v>
      </c>
      <c r="T393" s="4">
        <f t="shared" ca="1" si="307"/>
        <v>-545.01315291669789</v>
      </c>
      <c r="U393" s="4">
        <f t="shared" ca="1" si="307"/>
        <v>-602.60285107412869</v>
      </c>
      <c r="V393" s="4">
        <f t="shared" ca="1" si="307"/>
        <v>-631.93789759626077</v>
      </c>
      <c r="W393" s="4">
        <f t="shared" ca="1" si="307"/>
        <v>-636.99798283346047</v>
      </c>
      <c r="X393" s="4">
        <f t="shared" ca="1" si="307"/>
        <v>-624.38605245959116</v>
      </c>
      <c r="Y393" s="4">
        <f t="shared" ca="1" si="307"/>
        <v>-601.17839920900792</v>
      </c>
      <c r="Z393" s="4">
        <f t="shared" ca="1" si="307"/>
        <v>-572.89210657039439</v>
      </c>
      <c r="AA393" s="4">
        <f t="shared" ca="1" si="307"/>
        <v>-542.92209696059126</v>
      </c>
      <c r="AB393" s="3">
        <f t="shared" ca="1" si="307"/>
        <v>-512.69669077600076</v>
      </c>
    </row>
    <row r="394" spans="5:28" x14ac:dyDescent="0.25">
      <c r="E394" s="2">
        <f t="shared" si="271"/>
        <v>0.4</v>
      </c>
      <c r="H394" s="3">
        <f t="shared" ref="H394:AB394" ca="1" si="308">-D*(H293-H295)/(2*delta)</f>
        <v>1376.3598197226345</v>
      </c>
      <c r="I394" s="4">
        <f t="shared" ca="1" si="308"/>
        <v>1176.9376448846208</v>
      </c>
      <c r="J394" s="4">
        <f t="shared" ca="1" si="308"/>
        <v>985.20896850627037</v>
      </c>
      <c r="K394" s="4">
        <f t="shared" ca="1" si="308"/>
        <v>800.90338785747861</v>
      </c>
      <c r="L394" s="4">
        <f t="shared" ca="1" si="308"/>
        <v>623.64239552839092</v>
      </c>
      <c r="M394" s="4">
        <f t="shared" ca="1" si="308"/>
        <v>453.1504415934121</v>
      </c>
      <c r="N394" s="4">
        <f t="shared" ca="1" si="308"/>
        <v>289.46552298560169</v>
      </c>
      <c r="O394" s="4">
        <f t="shared" ca="1" si="308"/>
        <v>133.16923140294284</v>
      </c>
      <c r="P394" s="4">
        <f t="shared" ca="1" si="308"/>
        <v>-14.370099005138529</v>
      </c>
      <c r="Q394" s="4">
        <f t="shared" ca="1" si="308"/>
        <v>-150.80333146760358</v>
      </c>
      <c r="R394" s="4">
        <f t="shared" ca="1" si="308"/>
        <v>-272.81305268638573</v>
      </c>
      <c r="S394" s="4">
        <f t="shared" ca="1" si="308"/>
        <v>-376.57612254353785</v>
      </c>
      <c r="T394" s="4">
        <f t="shared" ca="1" si="308"/>
        <v>-458.78509833421231</v>
      </c>
      <c r="U394" s="4">
        <f t="shared" ca="1" si="308"/>
        <v>-517.71610023883295</v>
      </c>
      <c r="V394" s="4">
        <f t="shared" ca="1" si="308"/>
        <v>-553.78066957612134</v>
      </c>
      <c r="W394" s="4">
        <f t="shared" ca="1" si="308"/>
        <v>-569.51077114374391</v>
      </c>
      <c r="X394" s="4">
        <f t="shared" ca="1" si="308"/>
        <v>-568.97348363712467</v>
      </c>
      <c r="Y394" s="4">
        <f t="shared" ca="1" si="308"/>
        <v>-556.65877343646548</v>
      </c>
      <c r="Z394" s="4">
        <f t="shared" ca="1" si="308"/>
        <v>-536.39383254404697</v>
      </c>
      <c r="AA394" s="4">
        <f t="shared" ca="1" si="308"/>
        <v>-510.78551788585702</v>
      </c>
      <c r="AB394" s="3">
        <f t="shared" ca="1" si="308"/>
        <v>-481.07064833023617</v>
      </c>
    </row>
    <row r="395" spans="5:28" x14ac:dyDescent="0.25">
      <c r="E395" s="2">
        <f t="shared" si="271"/>
        <v>0.30000000000000004</v>
      </c>
      <c r="H395" s="3">
        <f t="shared" ref="H395:AB395" ca="1" si="309">-D*(H294-H296)/(2*delta)</f>
        <v>1385.1761355008114</v>
      </c>
      <c r="I395" s="4">
        <f t="shared" ca="1" si="309"/>
        <v>1191.8564034917663</v>
      </c>
      <c r="J395" s="4">
        <f t="shared" ca="1" si="309"/>
        <v>1004.2765439995942</v>
      </c>
      <c r="K395" s="4">
        <f t="shared" ca="1" si="309"/>
        <v>823.02551175770259</v>
      </c>
      <c r="L395" s="4">
        <f t="shared" ca="1" si="309"/>
        <v>648.46230049871031</v>
      </c>
      <c r="M395" s="4">
        <f t="shared" ca="1" si="309"/>
        <v>480.93566827707906</v>
      </c>
      <c r="N395" s="4">
        <f t="shared" ca="1" si="309"/>
        <v>320.9809507804668</v>
      </c>
      <c r="O395" s="4">
        <f t="shared" ca="1" si="309"/>
        <v>169.49749090600065</v>
      </c>
      <c r="P395" s="4">
        <f t="shared" ca="1" si="309"/>
        <v>27.89021138469451</v>
      </c>
      <c r="Q395" s="4">
        <f t="shared" ca="1" si="309"/>
        <v>-101.87172587154026</v>
      </c>
      <c r="R395" s="4">
        <f t="shared" ca="1" si="309"/>
        <v>-217.35951068276384</v>
      </c>
      <c r="S395" s="4">
        <f t="shared" ca="1" si="309"/>
        <v>-316.03353803976438</v>
      </c>
      <c r="T395" s="4">
        <f t="shared" ca="1" si="309"/>
        <v>-395.81808960545777</v>
      </c>
      <c r="U395" s="4">
        <f t="shared" ca="1" si="309"/>
        <v>-455.67687283077873</v>
      </c>
      <c r="V395" s="4">
        <f t="shared" ca="1" si="309"/>
        <v>-495.93700388735994</v>
      </c>
      <c r="W395" s="4">
        <f t="shared" ca="1" si="309"/>
        <v>-518.268035974947</v>
      </c>
      <c r="X395" s="4">
        <f t="shared" ca="1" si="309"/>
        <v>-525.31340785554914</v>
      </c>
      <c r="Y395" s="4">
        <f t="shared" ca="1" si="309"/>
        <v>-520.06241861684418</v>
      </c>
      <c r="Z395" s="4">
        <f t="shared" ca="1" si="309"/>
        <v>-505.20992229428145</v>
      </c>
      <c r="AA395" s="4">
        <f t="shared" ca="1" si="309"/>
        <v>-482.72440155750343</v>
      </c>
      <c r="AB395" s="3">
        <f t="shared" ca="1" si="309"/>
        <v>-453.64191254499872</v>
      </c>
    </row>
    <row r="396" spans="5:28" x14ac:dyDescent="0.25">
      <c r="E396" s="2">
        <f t="shared" si="271"/>
        <v>0.2</v>
      </c>
      <c r="H396" s="3">
        <f t="shared" ref="H396:AB396" ca="1" si="310">-D*(H295-H297)/(2*delta)</f>
        <v>1389.3293625269041</v>
      </c>
      <c r="I396" s="4">
        <f t="shared" ca="1" si="310"/>
        <v>1201.0356879199328</v>
      </c>
      <c r="J396" s="4">
        <f t="shared" ca="1" si="310"/>
        <v>1017.0163853191725</v>
      </c>
      <c r="K396" s="4">
        <f t="shared" ca="1" si="310"/>
        <v>838.46186242091733</v>
      </c>
      <c r="L396" s="4">
        <f t="shared" ca="1" si="310"/>
        <v>666.24885222179114</v>
      </c>
      <c r="M396" s="4">
        <f t="shared" ca="1" si="310"/>
        <v>501.15357402874412</v>
      </c>
      <c r="N396" s="4">
        <f t="shared" ca="1" si="310"/>
        <v>344.03124223488709</v>
      </c>
      <c r="O396" s="4">
        <f t="shared" ca="1" si="310"/>
        <v>195.95735064680858</v>
      </c>
      <c r="P396" s="4">
        <f t="shared" ca="1" si="310"/>
        <v>58.314726289414025</v>
      </c>
      <c r="Q396" s="4">
        <f t="shared" ca="1" si="310"/>
        <v>-67.202875123858703</v>
      </c>
      <c r="R396" s="4">
        <f t="shared" ca="1" si="310"/>
        <v>-178.70641264392393</v>
      </c>
      <c r="S396" s="4">
        <f t="shared" ca="1" si="310"/>
        <v>-274.36515166792947</v>
      </c>
      <c r="T396" s="4">
        <f t="shared" ca="1" si="310"/>
        <v>-352.75957306605392</v>
      </c>
      <c r="U396" s="4">
        <f t="shared" ca="1" si="310"/>
        <v>-413.21699960110783</v>
      </c>
      <c r="V396" s="4">
        <f t="shared" ca="1" si="310"/>
        <v>-456.00110181879205</v>
      </c>
      <c r="W396" s="4">
        <f t="shared" ca="1" si="310"/>
        <v>-482.28757725528635</v>
      </c>
      <c r="X396" s="4">
        <f t="shared" ca="1" si="310"/>
        <v>-493.92425083229358</v>
      </c>
      <c r="Y396" s="4">
        <f t="shared" ca="1" si="310"/>
        <v>-493.04005667287885</v>
      </c>
      <c r="Z396" s="4">
        <f t="shared" ca="1" si="310"/>
        <v>-481.62942986361207</v>
      </c>
      <c r="AA396" s="4">
        <f t="shared" ca="1" si="310"/>
        <v>-461.22852204078845</v>
      </c>
      <c r="AB396" s="3">
        <f t="shared" ca="1" si="310"/>
        <v>-432.72587314734807</v>
      </c>
    </row>
    <row r="397" spans="5:28" x14ac:dyDescent="0.25">
      <c r="E397" s="2">
        <f t="shared" si="271"/>
        <v>0.1</v>
      </c>
      <c r="H397" s="3">
        <f t="shared" ref="H397:AB397" ca="1" si="311">-D*(H296-H298)/(2*delta)</f>
        <v>1390.961459133008</v>
      </c>
      <c r="I397" s="4">
        <f t="shared" ca="1" si="311"/>
        <v>1205.9410048685693</v>
      </c>
      <c r="J397" s="4">
        <f t="shared" ca="1" si="311"/>
        <v>1024.2925560439539</v>
      </c>
      <c r="K397" s="4">
        <f t="shared" ca="1" si="311"/>
        <v>847.55877762936996</v>
      </c>
      <c r="L397" s="4">
        <f t="shared" ca="1" si="311"/>
        <v>676.92094381823745</v>
      </c>
      <c r="M397" s="4">
        <f t="shared" ca="1" si="311"/>
        <v>513.4031925155391</v>
      </c>
      <c r="N397" s="4">
        <f t="shared" ca="1" si="311"/>
        <v>358.03930159697592</v>
      </c>
      <c r="O397" s="4">
        <f t="shared" ca="1" si="311"/>
        <v>211.99383392306322</v>
      </c>
      <c r="P397" s="4">
        <f t="shared" ca="1" si="311"/>
        <v>76.623900053496314</v>
      </c>
      <c r="Q397" s="4">
        <f t="shared" ca="1" si="311"/>
        <v>-46.536529605840542</v>
      </c>
      <c r="R397" s="4">
        <f t="shared" ca="1" si="311"/>
        <v>-155.88461157936328</v>
      </c>
      <c r="S397" s="4">
        <f t="shared" ca="1" si="311"/>
        <v>-249.94558957843793</v>
      </c>
      <c r="T397" s="4">
        <f t="shared" ca="1" si="311"/>
        <v>-327.62053140897649</v>
      </c>
      <c r="U397" s="4">
        <f t="shared" ca="1" si="311"/>
        <v>-388.41088038457332</v>
      </c>
      <c r="V397" s="4">
        <f t="shared" ca="1" si="311"/>
        <v>-432.54119015453205</v>
      </c>
      <c r="W397" s="4">
        <f t="shared" ca="1" si="311"/>
        <v>-460.93320672895914</v>
      </c>
      <c r="X397" s="4">
        <f t="shared" ca="1" si="311"/>
        <v>-475.03016024729027</v>
      </c>
      <c r="Y397" s="4">
        <f t="shared" ca="1" si="311"/>
        <v>-476.51622502400335</v>
      </c>
      <c r="Z397" s="4">
        <f t="shared" ca="1" si="311"/>
        <v>-467.00919423416582</v>
      </c>
      <c r="AA397" s="4">
        <f t="shared" ca="1" si="311"/>
        <v>-447.80220466293656</v>
      </c>
      <c r="AB397" s="3">
        <f t="shared" ca="1" si="311"/>
        <v>-419.69849888239452</v>
      </c>
    </row>
    <row r="398" spans="5:28" x14ac:dyDescent="0.25">
      <c r="E398" s="2">
        <v>0</v>
      </c>
      <c r="H398" s="10">
        <f t="shared" ref="H398:AB398" ca="1" si="312">-D*(H297-H298)/delta</f>
        <v>1391.3622520670658</v>
      </c>
      <c r="I398" s="10">
        <f t="shared" ca="1" si="312"/>
        <v>1207.4747389703175</v>
      </c>
      <c r="J398" s="10">
        <f t="shared" ca="1" si="312"/>
        <v>1026.6551322422988</v>
      </c>
      <c r="K398" s="10">
        <f t="shared" ca="1" si="312"/>
        <v>850.56171420318458</v>
      </c>
      <c r="L398" s="10">
        <f t="shared" ca="1" si="312"/>
        <v>680.47601234685453</v>
      </c>
      <c r="M398" s="10">
        <f t="shared" ca="1" si="312"/>
        <v>517.5032763791969</v>
      </c>
      <c r="N398" s="10">
        <f t="shared" ca="1" si="312"/>
        <v>362.73467480343982</v>
      </c>
      <c r="O398" s="10">
        <f t="shared" ca="1" si="312"/>
        <v>217.36205155422616</v>
      </c>
      <c r="P398" s="10">
        <f t="shared" ca="1" si="312"/>
        <v>82.732465816712121</v>
      </c>
      <c r="Q398" s="10">
        <f t="shared" ca="1" si="312"/>
        <v>-39.671930822472902</v>
      </c>
      <c r="R398" s="10">
        <f t="shared" ca="1" si="312"/>
        <v>-148.33754990638656</v>
      </c>
      <c r="S398" s="10">
        <f t="shared" ca="1" si="312"/>
        <v>-241.8978918175772</v>
      </c>
      <c r="T398" s="10">
        <f t="shared" ca="1" si="312"/>
        <v>-319.35007252296947</v>
      </c>
      <c r="U398" s="10">
        <f t="shared" ca="1" si="312"/>
        <v>-380.24693095054948</v>
      </c>
      <c r="V398" s="10">
        <f t="shared" ca="1" si="312"/>
        <v>-424.79982880979816</v>
      </c>
      <c r="W398" s="10">
        <f t="shared" ca="1" si="312"/>
        <v>-453.85227269639972</v>
      </c>
      <c r="X398" s="10">
        <f t="shared" ca="1" si="312"/>
        <v>-468.72343846707082</v>
      </c>
      <c r="Y398" s="10">
        <f t="shared" ca="1" si="312"/>
        <v>-470.9600628847075</v>
      </c>
      <c r="Z398" s="10">
        <f t="shared" ca="1" si="312"/>
        <v>-462.06156549320417</v>
      </c>
      <c r="AA398" s="10">
        <f t="shared" ca="1" si="312"/>
        <v>-443.2432948226259</v>
      </c>
      <c r="AB398" s="10">
        <f t="shared" ca="1" si="312"/>
        <v>-415.28094152899547</v>
      </c>
    </row>
  </sheetData>
  <mergeCells count="14">
    <mergeCell ref="D308:D348"/>
    <mergeCell ref="H354:AB354"/>
    <mergeCell ref="D107:D147"/>
    <mergeCell ref="H153:AB153"/>
    <mergeCell ref="D157:D197"/>
    <mergeCell ref="H203:AB203"/>
    <mergeCell ref="D207:D247"/>
    <mergeCell ref="H304:AB304"/>
    <mergeCell ref="H254:AB254"/>
    <mergeCell ref="H3:AB3"/>
    <mergeCell ref="D7:D47"/>
    <mergeCell ref="H53:AB53"/>
    <mergeCell ref="D57:D97"/>
    <mergeCell ref="H103:AB10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Hacer_Iteraciones">
                <anchor moveWithCells="1" siz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18</vt:i4>
      </vt:variant>
    </vt:vector>
  </HeadingPairs>
  <TitlesOfParts>
    <vt:vector size="21" baseType="lpstr">
      <vt:lpstr>Hoja1</vt:lpstr>
      <vt:lpstr>Hoja2</vt:lpstr>
      <vt:lpstr>Hoja3</vt:lpstr>
      <vt:lpstr>a</vt:lpstr>
      <vt:lpstr>b</vt:lpstr>
      <vt:lpstr>D</vt:lpstr>
      <vt:lpstr>delta</vt:lpstr>
      <vt:lpstr>desp_w</vt:lpstr>
      <vt:lpstr>E</vt:lpstr>
      <vt:lpstr>eta</vt:lpstr>
      <vt:lpstr>Mx</vt:lpstr>
      <vt:lpstr>Mxy</vt:lpstr>
      <vt:lpstr>My</vt:lpstr>
      <vt:lpstr>nu</vt:lpstr>
      <vt:lpstr>p</vt:lpstr>
      <vt:lpstr>Qx</vt:lpstr>
      <vt:lpstr>Qy</vt:lpstr>
      <vt:lpstr>t</vt:lpstr>
      <vt:lpstr>u</vt:lpstr>
      <vt:lpstr>v</vt:lpstr>
      <vt:lpstr>xi</vt:lpstr>
    </vt:vector>
  </TitlesOfParts>
  <Company>WindowsXP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XP</dc:creator>
  <cp:lastModifiedBy>User</cp:lastModifiedBy>
  <dcterms:created xsi:type="dcterms:W3CDTF">2010-05-22T19:09:40Z</dcterms:created>
  <dcterms:modified xsi:type="dcterms:W3CDTF">2017-05-11T22:58:53Z</dcterms:modified>
</cp:coreProperties>
</file>