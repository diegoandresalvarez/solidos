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51196F13-6AD0-C1B8-E2B4-A1F9AE17003E}"/>
  <workbookPr codeName="ThisWorkbook" defaultThemeVersion="124226"/>
  <bookViews>
    <workbookView xWindow="120" yWindow="0" windowWidth="21840" windowHeight="10515"/>
  </bookViews>
  <sheets>
    <sheet name="Hoja1" sheetId="1" r:id="rId1"/>
    <sheet name="Hoja2" sheetId="2" r:id="rId2"/>
    <sheet name="Hoja3" sheetId="3" r:id="rId3"/>
  </sheets>
  <definedNames>
    <definedName name="a">Hoja1!$B$8</definedName>
    <definedName name="b">Hoja1!$B$9</definedName>
    <definedName name="D">Hoja1!$B$4</definedName>
    <definedName name="delta">Hoja1!$B$18</definedName>
    <definedName name="desp_w">Hoja1!$H$57:$AB$97</definedName>
    <definedName name="E">Hoja1!$B$2</definedName>
    <definedName name="eta">Hoja1!$B$16</definedName>
    <definedName name="Mx">Hoja1!$H$107:$AB$147</definedName>
    <definedName name="Mxy">Hoja1!$H$207:$AB$247</definedName>
    <definedName name="My">Hoja1!$H$157:$AB$197</definedName>
    <definedName name="nu">Hoja1!$B$3</definedName>
    <definedName name="p">Hoja1!$B$12</definedName>
    <definedName name="Qx">Hoja1!$H$308:$AB$348</definedName>
    <definedName name="Qy">Hoja1!$H$358:$AB$398</definedName>
    <definedName name="t">Hoja1!$B$7</definedName>
    <definedName name="u">Hoja1!$B$13</definedName>
    <definedName name="v">Hoja1!$B$14</definedName>
    <definedName name="xi">Hoja1!$B$15</definedName>
  </definedNames>
  <calcPr calcId="145621" calcMode="manual" iterate="1" iterateCount="3" iterateDelta="1E-10" calcCompleted="0" calcOnSave="0"/>
</workbook>
</file>

<file path=xl/calcChain.xml><?xml version="1.0" encoding="utf-8"?>
<calcChain xmlns="http://schemas.openxmlformats.org/spreadsheetml/2006/main">
  <c r="AB258" i="1" l="1"/>
  <c r="G97" i="1" l="1"/>
  <c r="G57" i="1"/>
  <c r="H258" i="1" s="1"/>
  <c r="H98" i="1"/>
  <c r="H298" i="1" s="1"/>
  <c r="H56" i="1"/>
  <c r="E397" i="1"/>
  <c r="E396" i="1" s="1"/>
  <c r="E395" i="1" s="1"/>
  <c r="E394" i="1" s="1"/>
  <c r="E393" i="1" s="1"/>
  <c r="E392" i="1" s="1"/>
  <c r="E391" i="1" s="1"/>
  <c r="E390" i="1" s="1"/>
  <c r="E389" i="1" s="1"/>
  <c r="E388" i="1" s="1"/>
  <c r="E387" i="1" s="1"/>
  <c r="E386" i="1" s="1"/>
  <c r="E385" i="1" s="1"/>
  <c r="E384" i="1" s="1"/>
  <c r="E383" i="1" s="1"/>
  <c r="E382" i="1" s="1"/>
  <c r="E381" i="1" s="1"/>
  <c r="E380" i="1" s="1"/>
  <c r="E379" i="1" s="1"/>
  <c r="E378" i="1" s="1"/>
  <c r="E377" i="1" s="1"/>
  <c r="E376" i="1" s="1"/>
  <c r="E375" i="1" s="1"/>
  <c r="E374" i="1" s="1"/>
  <c r="E373" i="1" s="1"/>
  <c r="E372" i="1" s="1"/>
  <c r="E371" i="1" s="1"/>
  <c r="E370" i="1" s="1"/>
  <c r="E369" i="1" s="1"/>
  <c r="E368" i="1" s="1"/>
  <c r="E367" i="1" s="1"/>
  <c r="E366" i="1" s="1"/>
  <c r="E365" i="1" s="1"/>
  <c r="E364" i="1" s="1"/>
  <c r="E363" i="1" s="1"/>
  <c r="E362" i="1" s="1"/>
  <c r="E361" i="1" s="1"/>
  <c r="E360" i="1" s="1"/>
  <c r="E359" i="1" s="1"/>
  <c r="E358" i="1" s="1"/>
  <c r="E347" i="1"/>
  <c r="E346" i="1" s="1"/>
  <c r="E345" i="1" s="1"/>
  <c r="E344" i="1" s="1"/>
  <c r="E343" i="1" s="1"/>
  <c r="E342" i="1" s="1"/>
  <c r="E341" i="1" s="1"/>
  <c r="E340" i="1" s="1"/>
  <c r="E339" i="1" s="1"/>
  <c r="E338" i="1" s="1"/>
  <c r="E337" i="1" s="1"/>
  <c r="E336" i="1" s="1"/>
  <c r="E335" i="1" s="1"/>
  <c r="E334" i="1" s="1"/>
  <c r="E333" i="1" s="1"/>
  <c r="E332" i="1" s="1"/>
  <c r="E331" i="1" s="1"/>
  <c r="E330" i="1" s="1"/>
  <c r="E329" i="1" s="1"/>
  <c r="E328" i="1" s="1"/>
  <c r="E327" i="1" s="1"/>
  <c r="E326" i="1" s="1"/>
  <c r="E325" i="1" s="1"/>
  <c r="E324" i="1" s="1"/>
  <c r="E323" i="1" s="1"/>
  <c r="E322" i="1" s="1"/>
  <c r="E321" i="1" s="1"/>
  <c r="E320" i="1" s="1"/>
  <c r="E319" i="1" s="1"/>
  <c r="E318" i="1" s="1"/>
  <c r="E317" i="1" s="1"/>
  <c r="E316" i="1" s="1"/>
  <c r="E315" i="1" s="1"/>
  <c r="E314" i="1" s="1"/>
  <c r="E313" i="1" s="1"/>
  <c r="E312" i="1" s="1"/>
  <c r="E311" i="1" s="1"/>
  <c r="E310" i="1" s="1"/>
  <c r="E309" i="1" s="1"/>
  <c r="E308" i="1" s="1"/>
  <c r="E297" i="1"/>
  <c r="E296" i="1" s="1"/>
  <c r="E295" i="1" s="1"/>
  <c r="E294" i="1" s="1"/>
  <c r="E293" i="1" s="1"/>
  <c r="E292" i="1" s="1"/>
  <c r="E291" i="1" s="1"/>
  <c r="E290" i="1" s="1"/>
  <c r="E289" i="1" s="1"/>
  <c r="E288" i="1" s="1"/>
  <c r="E287" i="1" s="1"/>
  <c r="E286" i="1" s="1"/>
  <c r="E285" i="1" s="1"/>
  <c r="E284" i="1" s="1"/>
  <c r="E283" i="1" s="1"/>
  <c r="E282" i="1" s="1"/>
  <c r="E281" i="1" s="1"/>
  <c r="E280" i="1" s="1"/>
  <c r="E279" i="1" s="1"/>
  <c r="E278" i="1" s="1"/>
  <c r="E277" i="1" s="1"/>
  <c r="E276" i="1" s="1"/>
  <c r="E275" i="1" s="1"/>
  <c r="E274" i="1" s="1"/>
  <c r="E273" i="1" s="1"/>
  <c r="E272" i="1" s="1"/>
  <c r="E271" i="1" s="1"/>
  <c r="E270" i="1" s="1"/>
  <c r="E269" i="1" s="1"/>
  <c r="E268" i="1" s="1"/>
  <c r="E267" i="1" s="1"/>
  <c r="E266" i="1" s="1"/>
  <c r="E265" i="1" s="1"/>
  <c r="E264" i="1" s="1"/>
  <c r="E263" i="1" s="1"/>
  <c r="E262" i="1" s="1"/>
  <c r="E261" i="1" s="1"/>
  <c r="E260" i="1" s="1"/>
  <c r="E259" i="1" s="1"/>
  <c r="E258" i="1" s="1"/>
  <c r="E246" i="1"/>
  <c r="E245" i="1" s="1"/>
  <c r="E244" i="1" s="1"/>
  <c r="E243" i="1" s="1"/>
  <c r="E242" i="1" s="1"/>
  <c r="E241" i="1" s="1"/>
  <c r="E240" i="1" s="1"/>
  <c r="E239" i="1" s="1"/>
  <c r="E238" i="1" s="1"/>
  <c r="E237" i="1" s="1"/>
  <c r="E236" i="1" s="1"/>
  <c r="E235" i="1" s="1"/>
  <c r="E234" i="1" s="1"/>
  <c r="E233" i="1" s="1"/>
  <c r="E232" i="1" s="1"/>
  <c r="E231" i="1" s="1"/>
  <c r="E230" i="1" s="1"/>
  <c r="E229" i="1" s="1"/>
  <c r="E228" i="1" s="1"/>
  <c r="E227" i="1" s="1"/>
  <c r="E226" i="1" s="1"/>
  <c r="E225" i="1" s="1"/>
  <c r="E224" i="1" s="1"/>
  <c r="E223" i="1" s="1"/>
  <c r="E222" i="1" s="1"/>
  <c r="E221" i="1" s="1"/>
  <c r="E220" i="1" s="1"/>
  <c r="E219" i="1" s="1"/>
  <c r="E218" i="1" s="1"/>
  <c r="E217" i="1" s="1"/>
  <c r="E216" i="1" s="1"/>
  <c r="E215" i="1" s="1"/>
  <c r="E214" i="1" s="1"/>
  <c r="E213" i="1" s="1"/>
  <c r="E212" i="1" s="1"/>
  <c r="E211" i="1" s="1"/>
  <c r="E210" i="1" s="1"/>
  <c r="E209" i="1" s="1"/>
  <c r="E208" i="1" s="1"/>
  <c r="E207" i="1" s="1"/>
  <c r="E196" i="1"/>
  <c r="E195" i="1" s="1"/>
  <c r="E194" i="1" s="1"/>
  <c r="E193" i="1" s="1"/>
  <c r="E192" i="1" s="1"/>
  <c r="E191" i="1" s="1"/>
  <c r="E190" i="1" s="1"/>
  <c r="E189" i="1" s="1"/>
  <c r="E188" i="1" s="1"/>
  <c r="E187" i="1" s="1"/>
  <c r="E186" i="1" s="1"/>
  <c r="E185" i="1" s="1"/>
  <c r="E184" i="1" s="1"/>
  <c r="E183" i="1" s="1"/>
  <c r="E182" i="1" s="1"/>
  <c r="E181" i="1" s="1"/>
  <c r="E180" i="1" s="1"/>
  <c r="E179" i="1" s="1"/>
  <c r="E178" i="1" s="1"/>
  <c r="E177" i="1" s="1"/>
  <c r="E176" i="1" s="1"/>
  <c r="E175" i="1" s="1"/>
  <c r="E174" i="1" s="1"/>
  <c r="E173" i="1" s="1"/>
  <c r="E172" i="1" s="1"/>
  <c r="E171" i="1" s="1"/>
  <c r="E170" i="1" s="1"/>
  <c r="E169" i="1" s="1"/>
  <c r="E168" i="1" s="1"/>
  <c r="E167" i="1" s="1"/>
  <c r="E166" i="1" s="1"/>
  <c r="E165" i="1" s="1"/>
  <c r="E164" i="1" s="1"/>
  <c r="E163" i="1" s="1"/>
  <c r="E162" i="1" s="1"/>
  <c r="E161" i="1" s="1"/>
  <c r="E160" i="1" s="1"/>
  <c r="E159" i="1" s="1"/>
  <c r="E158" i="1" s="1"/>
  <c r="E157" i="1" s="1"/>
  <c r="E146" i="1"/>
  <c r="E145" i="1" s="1"/>
  <c r="E144" i="1" s="1"/>
  <c r="E143" i="1" s="1"/>
  <c r="E142" i="1" s="1"/>
  <c r="E141" i="1" s="1"/>
  <c r="E140" i="1" s="1"/>
  <c r="E139" i="1" s="1"/>
  <c r="E138" i="1" s="1"/>
  <c r="E137" i="1" s="1"/>
  <c r="E136" i="1" s="1"/>
  <c r="E135" i="1" s="1"/>
  <c r="E134" i="1" s="1"/>
  <c r="E133" i="1" s="1"/>
  <c r="E132" i="1" s="1"/>
  <c r="E131" i="1" s="1"/>
  <c r="E130" i="1" s="1"/>
  <c r="E129" i="1" s="1"/>
  <c r="E128" i="1" s="1"/>
  <c r="E127" i="1" s="1"/>
  <c r="E126" i="1" s="1"/>
  <c r="E125" i="1" s="1"/>
  <c r="E124" i="1" s="1"/>
  <c r="E123" i="1" s="1"/>
  <c r="E122" i="1" s="1"/>
  <c r="E121" i="1" s="1"/>
  <c r="E120" i="1" s="1"/>
  <c r="E119" i="1" s="1"/>
  <c r="E118" i="1" s="1"/>
  <c r="E117" i="1" s="1"/>
  <c r="E116" i="1" s="1"/>
  <c r="E115" i="1" s="1"/>
  <c r="E114" i="1" s="1"/>
  <c r="E113" i="1" s="1"/>
  <c r="E112" i="1" s="1"/>
  <c r="E111" i="1" s="1"/>
  <c r="E110" i="1" s="1"/>
  <c r="E109" i="1" s="1"/>
  <c r="E108" i="1" s="1"/>
  <c r="E107" i="1" s="1"/>
  <c r="E96" i="1"/>
  <c r="E95" i="1" s="1"/>
  <c r="E94" i="1" s="1"/>
  <c r="E93" i="1" s="1"/>
  <c r="E92" i="1" s="1"/>
  <c r="E91" i="1" s="1"/>
  <c r="E90" i="1" s="1"/>
  <c r="E89" i="1" s="1"/>
  <c r="E88" i="1" s="1"/>
  <c r="E87" i="1" s="1"/>
  <c r="E86" i="1" s="1"/>
  <c r="E85" i="1" s="1"/>
  <c r="E84" i="1" s="1"/>
  <c r="E83" i="1" s="1"/>
  <c r="E82" i="1" s="1"/>
  <c r="E81" i="1" s="1"/>
  <c r="E80" i="1" s="1"/>
  <c r="E79" i="1" s="1"/>
  <c r="E78" i="1" s="1"/>
  <c r="E77" i="1" s="1"/>
  <c r="E76" i="1" s="1"/>
  <c r="E75" i="1" s="1"/>
  <c r="E74" i="1" s="1"/>
  <c r="E73" i="1" s="1"/>
  <c r="E72" i="1" s="1"/>
  <c r="E71" i="1" s="1"/>
  <c r="E70" i="1" s="1"/>
  <c r="E69" i="1" s="1"/>
  <c r="E68" i="1" s="1"/>
  <c r="E67" i="1" s="1"/>
  <c r="E66" i="1" s="1"/>
  <c r="E65" i="1" s="1"/>
  <c r="E64" i="1" s="1"/>
  <c r="E63" i="1" s="1"/>
  <c r="E62" i="1" s="1"/>
  <c r="E61" i="1" s="1"/>
  <c r="E60" i="1" s="1"/>
  <c r="E59" i="1" s="1"/>
  <c r="E58" i="1" s="1"/>
  <c r="E57" i="1" s="1"/>
  <c r="E46" i="1"/>
  <c r="E45" i="1" s="1"/>
  <c r="E44" i="1" s="1"/>
  <c r="E43" i="1" s="1"/>
  <c r="E42" i="1" s="1"/>
  <c r="E41" i="1" s="1"/>
  <c r="E40" i="1" s="1"/>
  <c r="E39" i="1" s="1"/>
  <c r="E38" i="1" s="1"/>
  <c r="E37" i="1" s="1"/>
  <c r="E36" i="1" s="1"/>
  <c r="E35" i="1" s="1"/>
  <c r="E34" i="1" s="1"/>
  <c r="E33" i="1" s="1"/>
  <c r="E32" i="1" s="1"/>
  <c r="E31" i="1" s="1"/>
  <c r="E30" i="1" s="1"/>
  <c r="E29" i="1" s="1"/>
  <c r="E28" i="1" s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E17" i="1" s="1"/>
  <c r="E16" i="1" s="1"/>
  <c r="E15" i="1" s="1"/>
  <c r="E14" i="1" s="1"/>
  <c r="E13" i="1" s="1"/>
  <c r="E12" i="1" s="1"/>
  <c r="E11" i="1" s="1"/>
  <c r="E10" i="1" s="1"/>
  <c r="E9" i="1" s="1"/>
  <c r="E8" i="1" s="1"/>
  <c r="E7" i="1" s="1"/>
  <c r="I255" i="1" l="1"/>
  <c r="J255" i="1" s="1"/>
  <c r="K255" i="1" s="1"/>
  <c r="L255" i="1" s="1"/>
  <c r="M255" i="1" s="1"/>
  <c r="N255" i="1" s="1"/>
  <c r="O255" i="1" s="1"/>
  <c r="P255" i="1" s="1"/>
  <c r="Q255" i="1" s="1"/>
  <c r="R255" i="1" s="1"/>
  <c r="S255" i="1" s="1"/>
  <c r="T255" i="1" s="1"/>
  <c r="U255" i="1" s="1"/>
  <c r="V255" i="1" s="1"/>
  <c r="W255" i="1" s="1"/>
  <c r="X255" i="1" s="1"/>
  <c r="Y255" i="1" s="1"/>
  <c r="Z255" i="1" s="1"/>
  <c r="AA255" i="1" s="1"/>
  <c r="AB255" i="1" s="1"/>
  <c r="V36" i="1" l="1"/>
  <c r="U36" i="1"/>
  <c r="T36" i="1"/>
  <c r="S36" i="1"/>
  <c r="V35" i="1"/>
  <c r="U35" i="1"/>
  <c r="T35" i="1"/>
  <c r="S35" i="1"/>
  <c r="V34" i="1"/>
  <c r="U34" i="1"/>
  <c r="T34" i="1"/>
  <c r="S34" i="1"/>
  <c r="V33" i="1"/>
  <c r="U33" i="1"/>
  <c r="T33" i="1"/>
  <c r="S33" i="1"/>
  <c r="V32" i="1"/>
  <c r="U32" i="1"/>
  <c r="T32" i="1"/>
  <c r="S32" i="1"/>
  <c r="V31" i="1"/>
  <c r="U31" i="1"/>
  <c r="T31" i="1"/>
  <c r="S31" i="1"/>
  <c r="V30" i="1"/>
  <c r="U30" i="1"/>
  <c r="T30" i="1"/>
  <c r="S30" i="1"/>
  <c r="V29" i="1"/>
  <c r="U29" i="1"/>
  <c r="T29" i="1"/>
  <c r="S29" i="1"/>
  <c r="V28" i="1"/>
  <c r="U28" i="1"/>
  <c r="T28" i="1"/>
  <c r="S28" i="1"/>
  <c r="W36" i="1"/>
  <c r="W35" i="1"/>
  <c r="W34" i="1"/>
  <c r="W33" i="1"/>
  <c r="W32" i="1"/>
  <c r="W31" i="1"/>
  <c r="W30" i="1"/>
  <c r="W29" i="1"/>
  <c r="W28" i="1"/>
  <c r="R36" i="1"/>
  <c r="R35" i="1"/>
  <c r="R34" i="1"/>
  <c r="R33" i="1"/>
  <c r="R32" i="1"/>
  <c r="R31" i="1"/>
  <c r="R30" i="1"/>
  <c r="R29" i="1"/>
  <c r="R28" i="1"/>
  <c r="V37" i="1"/>
  <c r="U37" i="1"/>
  <c r="T37" i="1"/>
  <c r="S37" i="1"/>
  <c r="V27" i="1"/>
  <c r="U27" i="1"/>
  <c r="T27" i="1"/>
  <c r="S27" i="1"/>
  <c r="W27" i="1"/>
  <c r="W37" i="1"/>
  <c r="R37" i="1"/>
  <c r="R27" i="1"/>
  <c r="B4" i="1"/>
  <c r="I355" i="1"/>
  <c r="J355" i="1" s="1"/>
  <c r="K355" i="1" s="1"/>
  <c r="L355" i="1" s="1"/>
  <c r="M355" i="1" s="1"/>
  <c r="N355" i="1" s="1"/>
  <c r="O355" i="1" s="1"/>
  <c r="P355" i="1" s="1"/>
  <c r="Q355" i="1" s="1"/>
  <c r="R355" i="1" s="1"/>
  <c r="S355" i="1" s="1"/>
  <c r="T355" i="1" s="1"/>
  <c r="U355" i="1" s="1"/>
  <c r="V355" i="1" s="1"/>
  <c r="W355" i="1" s="1"/>
  <c r="X355" i="1" s="1"/>
  <c r="Y355" i="1" s="1"/>
  <c r="Z355" i="1" s="1"/>
  <c r="AA355" i="1" s="1"/>
  <c r="AB355" i="1" s="1"/>
  <c r="I305" i="1"/>
  <c r="J305" i="1" s="1"/>
  <c r="K305" i="1" s="1"/>
  <c r="L305" i="1" s="1"/>
  <c r="M305" i="1" s="1"/>
  <c r="N305" i="1" s="1"/>
  <c r="O305" i="1" s="1"/>
  <c r="P305" i="1" s="1"/>
  <c r="Q305" i="1" s="1"/>
  <c r="R305" i="1" s="1"/>
  <c r="S305" i="1" s="1"/>
  <c r="T305" i="1" s="1"/>
  <c r="U305" i="1" s="1"/>
  <c r="V305" i="1" s="1"/>
  <c r="W305" i="1" s="1"/>
  <c r="X305" i="1" s="1"/>
  <c r="Y305" i="1" s="1"/>
  <c r="Z305" i="1" s="1"/>
  <c r="AA305" i="1" s="1"/>
  <c r="AB305" i="1" s="1"/>
  <c r="I204" i="1"/>
  <c r="J204" i="1" s="1"/>
  <c r="K204" i="1" s="1"/>
  <c r="L204" i="1" s="1"/>
  <c r="M204" i="1" s="1"/>
  <c r="N204" i="1" s="1"/>
  <c r="O204" i="1" s="1"/>
  <c r="P204" i="1" s="1"/>
  <c r="Q204" i="1" s="1"/>
  <c r="R204" i="1" s="1"/>
  <c r="S204" i="1" s="1"/>
  <c r="T204" i="1" s="1"/>
  <c r="U204" i="1" s="1"/>
  <c r="V204" i="1" s="1"/>
  <c r="W204" i="1" s="1"/>
  <c r="X204" i="1" s="1"/>
  <c r="Y204" i="1" s="1"/>
  <c r="Z204" i="1" s="1"/>
  <c r="AA204" i="1" s="1"/>
  <c r="AB204" i="1" s="1"/>
  <c r="I154" i="1"/>
  <c r="J154" i="1" s="1"/>
  <c r="K154" i="1" s="1"/>
  <c r="L154" i="1" s="1"/>
  <c r="M154" i="1" s="1"/>
  <c r="N154" i="1" s="1"/>
  <c r="O154" i="1" s="1"/>
  <c r="P154" i="1" s="1"/>
  <c r="Q154" i="1" s="1"/>
  <c r="R154" i="1" s="1"/>
  <c r="S154" i="1" s="1"/>
  <c r="T154" i="1" s="1"/>
  <c r="U154" i="1" s="1"/>
  <c r="V154" i="1" s="1"/>
  <c r="W154" i="1" s="1"/>
  <c r="X154" i="1" s="1"/>
  <c r="Y154" i="1" s="1"/>
  <c r="Z154" i="1" s="1"/>
  <c r="AA154" i="1" s="1"/>
  <c r="AB154" i="1" s="1"/>
  <c r="I104" i="1"/>
  <c r="J104" i="1" s="1"/>
  <c r="K104" i="1" s="1"/>
  <c r="L104" i="1" s="1"/>
  <c r="M104" i="1" s="1"/>
  <c r="N104" i="1" s="1"/>
  <c r="O104" i="1" s="1"/>
  <c r="P104" i="1" s="1"/>
  <c r="Q104" i="1" s="1"/>
  <c r="R104" i="1" s="1"/>
  <c r="S104" i="1" s="1"/>
  <c r="T104" i="1" s="1"/>
  <c r="U104" i="1" s="1"/>
  <c r="V104" i="1" s="1"/>
  <c r="W104" i="1" s="1"/>
  <c r="X104" i="1" s="1"/>
  <c r="Y104" i="1" s="1"/>
  <c r="Z104" i="1" s="1"/>
  <c r="AA104" i="1" s="1"/>
  <c r="AB104" i="1" s="1"/>
  <c r="I54" i="1"/>
  <c r="J54" i="1" s="1"/>
  <c r="K54" i="1" s="1"/>
  <c r="L54" i="1" s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I4" i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H157" i="1" l="1"/>
  <c r="H147" i="1"/>
  <c r="H197" i="1"/>
  <c r="H107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G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G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G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G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G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G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G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G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G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G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G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G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G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G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G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G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G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G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G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G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G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G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G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G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G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G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G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G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G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G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G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G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G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G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G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G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G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G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G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X174" i="1"/>
  <c r="Y174" i="1"/>
  <c r="Z174" i="1"/>
  <c r="AA174" i="1"/>
  <c r="AB174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X182" i="1"/>
  <c r="Y182" i="1"/>
  <c r="Z182" i="1"/>
  <c r="AA182" i="1"/>
  <c r="AB182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Y220" i="1"/>
  <c r="Z220" i="1"/>
  <c r="AA220" i="1"/>
  <c r="AB220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H264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H265" i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Y265" i="1"/>
  <c r="Z265" i="1"/>
  <c r="AA265" i="1"/>
  <c r="AB265" i="1"/>
  <c r="H266" i="1"/>
  <c r="I266" i="1"/>
  <c r="J266" i="1"/>
  <c r="K266" i="1"/>
  <c r="L266" i="1"/>
  <c r="M266" i="1"/>
  <c r="N266" i="1"/>
  <c r="O266" i="1"/>
  <c r="P266" i="1"/>
  <c r="Q266" i="1"/>
  <c r="R266" i="1"/>
  <c r="S266" i="1"/>
  <c r="T266" i="1"/>
  <c r="U266" i="1"/>
  <c r="V266" i="1"/>
  <c r="W266" i="1"/>
  <c r="X266" i="1"/>
  <c r="Y266" i="1"/>
  <c r="Z266" i="1"/>
  <c r="AA266" i="1"/>
  <c r="AB266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H283" i="1"/>
  <c r="I283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W283" i="1"/>
  <c r="X283" i="1"/>
  <c r="Y283" i="1"/>
  <c r="Z283" i="1"/>
  <c r="AA283" i="1"/>
  <c r="AB283" i="1"/>
  <c r="H284" i="1"/>
  <c r="I284" i="1"/>
  <c r="J284" i="1"/>
  <c r="K284" i="1"/>
  <c r="L284" i="1"/>
  <c r="M284" i="1"/>
  <c r="N284" i="1"/>
  <c r="O284" i="1"/>
  <c r="P284" i="1"/>
  <c r="Q284" i="1"/>
  <c r="R284" i="1"/>
  <c r="S284" i="1"/>
  <c r="T284" i="1"/>
  <c r="U284" i="1"/>
  <c r="V284" i="1"/>
  <c r="W284" i="1"/>
  <c r="X284" i="1"/>
  <c r="Y284" i="1"/>
  <c r="Z284" i="1"/>
  <c r="AA284" i="1"/>
  <c r="AB284" i="1"/>
  <c r="H285" i="1"/>
  <c r="I285" i="1"/>
  <c r="J285" i="1"/>
  <c r="K285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H308" i="1"/>
  <c r="I308" i="1"/>
  <c r="J308" i="1"/>
  <c r="K308" i="1"/>
  <c r="L308" i="1"/>
  <c r="M308" i="1"/>
  <c r="N308" i="1"/>
  <c r="O308" i="1"/>
  <c r="P308" i="1"/>
  <c r="Q308" i="1"/>
  <c r="R308" i="1"/>
  <c r="S308" i="1"/>
  <c r="T308" i="1"/>
  <c r="U308" i="1"/>
  <c r="V308" i="1"/>
  <c r="W308" i="1"/>
  <c r="X308" i="1"/>
  <c r="Y308" i="1"/>
  <c r="Z308" i="1"/>
  <c r="AA308" i="1"/>
  <c r="AB308" i="1"/>
  <c r="H309" i="1"/>
  <c r="I309" i="1"/>
  <c r="J309" i="1"/>
  <c r="K309" i="1"/>
  <c r="L309" i="1"/>
  <c r="M309" i="1"/>
  <c r="N309" i="1"/>
  <c r="O309" i="1"/>
  <c r="P309" i="1"/>
  <c r="Q309" i="1"/>
  <c r="R309" i="1"/>
  <c r="S309" i="1"/>
  <c r="T309" i="1"/>
  <c r="U309" i="1"/>
  <c r="V309" i="1"/>
  <c r="W309" i="1"/>
  <c r="X309" i="1"/>
  <c r="Y309" i="1"/>
  <c r="Z309" i="1"/>
  <c r="AA309" i="1"/>
  <c r="AB309" i="1"/>
  <c r="H310" i="1"/>
  <c r="I310" i="1"/>
  <c r="J310" i="1"/>
  <c r="K310" i="1"/>
  <c r="L310" i="1"/>
  <c r="M310" i="1"/>
  <c r="N310" i="1"/>
  <c r="O310" i="1"/>
  <c r="P310" i="1"/>
  <c r="Q310" i="1"/>
  <c r="R310" i="1"/>
  <c r="S310" i="1"/>
  <c r="T310" i="1"/>
  <c r="U310" i="1"/>
  <c r="V310" i="1"/>
  <c r="W310" i="1"/>
  <c r="X310" i="1"/>
  <c r="Y310" i="1"/>
  <c r="Z310" i="1"/>
  <c r="AA310" i="1"/>
  <c r="AB310" i="1"/>
  <c r="H311" i="1"/>
  <c r="I311" i="1"/>
  <c r="J311" i="1"/>
  <c r="K311" i="1"/>
  <c r="L311" i="1"/>
  <c r="M311" i="1"/>
  <c r="N311" i="1"/>
  <c r="O311" i="1"/>
  <c r="P311" i="1"/>
  <c r="Q311" i="1"/>
  <c r="R311" i="1"/>
  <c r="S311" i="1"/>
  <c r="T311" i="1"/>
  <c r="U311" i="1"/>
  <c r="V311" i="1"/>
  <c r="W311" i="1"/>
  <c r="X311" i="1"/>
  <c r="Y311" i="1"/>
  <c r="Z311" i="1"/>
  <c r="AA311" i="1"/>
  <c r="AB311" i="1"/>
  <c r="H312" i="1"/>
  <c r="I312" i="1"/>
  <c r="J312" i="1"/>
  <c r="K312" i="1"/>
  <c r="L312" i="1"/>
  <c r="M312" i="1"/>
  <c r="N312" i="1"/>
  <c r="O312" i="1"/>
  <c r="P312" i="1"/>
  <c r="Q312" i="1"/>
  <c r="R312" i="1"/>
  <c r="S312" i="1"/>
  <c r="T312" i="1"/>
  <c r="U312" i="1"/>
  <c r="V312" i="1"/>
  <c r="W312" i="1"/>
  <c r="X312" i="1"/>
  <c r="Y312" i="1"/>
  <c r="Z312" i="1"/>
  <c r="AA312" i="1"/>
  <c r="AB312" i="1"/>
  <c r="H313" i="1"/>
  <c r="I313" i="1"/>
  <c r="J313" i="1"/>
  <c r="K313" i="1"/>
  <c r="L313" i="1"/>
  <c r="M313" i="1"/>
  <c r="N313" i="1"/>
  <c r="O313" i="1"/>
  <c r="P313" i="1"/>
  <c r="Q313" i="1"/>
  <c r="R313" i="1"/>
  <c r="S313" i="1"/>
  <c r="T313" i="1"/>
  <c r="U313" i="1"/>
  <c r="V313" i="1"/>
  <c r="W313" i="1"/>
  <c r="X313" i="1"/>
  <c r="Y313" i="1"/>
  <c r="Z313" i="1"/>
  <c r="AA313" i="1"/>
  <c r="AB313" i="1"/>
  <c r="H314" i="1"/>
  <c r="I314" i="1"/>
  <c r="J314" i="1"/>
  <c r="K314" i="1"/>
  <c r="L314" i="1"/>
  <c r="M314" i="1"/>
  <c r="N314" i="1"/>
  <c r="O314" i="1"/>
  <c r="P314" i="1"/>
  <c r="Q314" i="1"/>
  <c r="R314" i="1"/>
  <c r="S314" i="1"/>
  <c r="T314" i="1"/>
  <c r="U314" i="1"/>
  <c r="V314" i="1"/>
  <c r="W314" i="1"/>
  <c r="X314" i="1"/>
  <c r="Y314" i="1"/>
  <c r="Z314" i="1"/>
  <c r="AA314" i="1"/>
  <c r="AB314" i="1"/>
  <c r="H315" i="1"/>
  <c r="I315" i="1"/>
  <c r="J315" i="1"/>
  <c r="K315" i="1"/>
  <c r="L315" i="1"/>
  <c r="M315" i="1"/>
  <c r="N315" i="1"/>
  <c r="O315" i="1"/>
  <c r="P315" i="1"/>
  <c r="Q315" i="1"/>
  <c r="R315" i="1"/>
  <c r="S315" i="1"/>
  <c r="T315" i="1"/>
  <c r="U315" i="1"/>
  <c r="V315" i="1"/>
  <c r="W315" i="1"/>
  <c r="X315" i="1"/>
  <c r="Y315" i="1"/>
  <c r="Z315" i="1"/>
  <c r="AA315" i="1"/>
  <c r="AB315" i="1"/>
  <c r="H316" i="1"/>
  <c r="I316" i="1"/>
  <c r="J316" i="1"/>
  <c r="K316" i="1"/>
  <c r="L316" i="1"/>
  <c r="M316" i="1"/>
  <c r="N316" i="1"/>
  <c r="O316" i="1"/>
  <c r="P316" i="1"/>
  <c r="Q316" i="1"/>
  <c r="R316" i="1"/>
  <c r="S316" i="1"/>
  <c r="T316" i="1"/>
  <c r="U316" i="1"/>
  <c r="V316" i="1"/>
  <c r="W316" i="1"/>
  <c r="X316" i="1"/>
  <c r="Y316" i="1"/>
  <c r="Z316" i="1"/>
  <c r="AA316" i="1"/>
  <c r="AB316" i="1"/>
  <c r="H317" i="1"/>
  <c r="I317" i="1"/>
  <c r="J317" i="1"/>
  <c r="K317" i="1"/>
  <c r="L317" i="1"/>
  <c r="M317" i="1"/>
  <c r="N317" i="1"/>
  <c r="O317" i="1"/>
  <c r="P317" i="1"/>
  <c r="Q317" i="1"/>
  <c r="R317" i="1"/>
  <c r="S317" i="1"/>
  <c r="T317" i="1"/>
  <c r="U317" i="1"/>
  <c r="V317" i="1"/>
  <c r="W317" i="1"/>
  <c r="X317" i="1"/>
  <c r="Y317" i="1"/>
  <c r="Z317" i="1"/>
  <c r="AA317" i="1"/>
  <c r="AB317" i="1"/>
  <c r="H318" i="1"/>
  <c r="I318" i="1"/>
  <c r="J318" i="1"/>
  <c r="K318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Z318" i="1"/>
  <c r="AA318" i="1"/>
  <c r="AB318" i="1"/>
  <c r="H319" i="1"/>
  <c r="I319" i="1"/>
  <c r="J319" i="1"/>
  <c r="K319" i="1"/>
  <c r="L319" i="1"/>
  <c r="M319" i="1"/>
  <c r="N319" i="1"/>
  <c r="O319" i="1"/>
  <c r="P319" i="1"/>
  <c r="Q319" i="1"/>
  <c r="R319" i="1"/>
  <c r="S319" i="1"/>
  <c r="T319" i="1"/>
  <c r="U319" i="1"/>
  <c r="V319" i="1"/>
  <c r="W319" i="1"/>
  <c r="X319" i="1"/>
  <c r="Y319" i="1"/>
  <c r="Z319" i="1"/>
  <c r="AA319" i="1"/>
  <c r="AB319" i="1"/>
  <c r="H320" i="1"/>
  <c r="I320" i="1"/>
  <c r="J320" i="1"/>
  <c r="K320" i="1"/>
  <c r="L320" i="1"/>
  <c r="M320" i="1"/>
  <c r="N320" i="1"/>
  <c r="O320" i="1"/>
  <c r="P320" i="1"/>
  <c r="Q320" i="1"/>
  <c r="R320" i="1"/>
  <c r="S320" i="1"/>
  <c r="T320" i="1"/>
  <c r="U320" i="1"/>
  <c r="V320" i="1"/>
  <c r="W320" i="1"/>
  <c r="X320" i="1"/>
  <c r="Y320" i="1"/>
  <c r="Z320" i="1"/>
  <c r="AA320" i="1"/>
  <c r="AB320" i="1"/>
  <c r="H321" i="1"/>
  <c r="I321" i="1"/>
  <c r="J321" i="1"/>
  <c r="K321" i="1"/>
  <c r="L321" i="1"/>
  <c r="M321" i="1"/>
  <c r="N321" i="1"/>
  <c r="O321" i="1"/>
  <c r="P321" i="1"/>
  <c r="Q321" i="1"/>
  <c r="R321" i="1"/>
  <c r="S321" i="1"/>
  <c r="T321" i="1"/>
  <c r="U321" i="1"/>
  <c r="V321" i="1"/>
  <c r="W321" i="1"/>
  <c r="X321" i="1"/>
  <c r="Y321" i="1"/>
  <c r="Z321" i="1"/>
  <c r="AA321" i="1"/>
  <c r="AB321" i="1"/>
  <c r="H322" i="1"/>
  <c r="I322" i="1"/>
  <c r="J322" i="1"/>
  <c r="K322" i="1"/>
  <c r="L322" i="1"/>
  <c r="M322" i="1"/>
  <c r="N322" i="1"/>
  <c r="O322" i="1"/>
  <c r="P322" i="1"/>
  <c r="Q322" i="1"/>
  <c r="R322" i="1"/>
  <c r="S322" i="1"/>
  <c r="T322" i="1"/>
  <c r="U322" i="1"/>
  <c r="V322" i="1"/>
  <c r="W322" i="1"/>
  <c r="X322" i="1"/>
  <c r="Y322" i="1"/>
  <c r="Z322" i="1"/>
  <c r="AA322" i="1"/>
  <c r="AB322" i="1"/>
  <c r="H323" i="1"/>
  <c r="I323" i="1"/>
  <c r="J323" i="1"/>
  <c r="K323" i="1"/>
  <c r="L323" i="1"/>
  <c r="M323" i="1"/>
  <c r="N323" i="1"/>
  <c r="O323" i="1"/>
  <c r="P323" i="1"/>
  <c r="Q323" i="1"/>
  <c r="R323" i="1"/>
  <c r="S323" i="1"/>
  <c r="T323" i="1"/>
  <c r="U323" i="1"/>
  <c r="V323" i="1"/>
  <c r="W323" i="1"/>
  <c r="X323" i="1"/>
  <c r="Y323" i="1"/>
  <c r="Z323" i="1"/>
  <c r="AA323" i="1"/>
  <c r="AB323" i="1"/>
  <c r="H324" i="1"/>
  <c r="I324" i="1"/>
  <c r="J324" i="1"/>
  <c r="K324" i="1"/>
  <c r="L324" i="1"/>
  <c r="M324" i="1"/>
  <c r="N324" i="1"/>
  <c r="O324" i="1"/>
  <c r="P324" i="1"/>
  <c r="Q324" i="1"/>
  <c r="R324" i="1"/>
  <c r="S324" i="1"/>
  <c r="T324" i="1"/>
  <c r="U324" i="1"/>
  <c r="V324" i="1"/>
  <c r="W324" i="1"/>
  <c r="X324" i="1"/>
  <c r="Y324" i="1"/>
  <c r="Z324" i="1"/>
  <c r="AA324" i="1"/>
  <c r="AB324" i="1"/>
  <c r="H325" i="1"/>
  <c r="I325" i="1"/>
  <c r="J325" i="1"/>
  <c r="K325" i="1"/>
  <c r="L325" i="1"/>
  <c r="M325" i="1"/>
  <c r="N325" i="1"/>
  <c r="O325" i="1"/>
  <c r="P325" i="1"/>
  <c r="Q325" i="1"/>
  <c r="R325" i="1"/>
  <c r="S325" i="1"/>
  <c r="T325" i="1"/>
  <c r="U325" i="1"/>
  <c r="V325" i="1"/>
  <c r="W325" i="1"/>
  <c r="X325" i="1"/>
  <c r="Y325" i="1"/>
  <c r="Z325" i="1"/>
  <c r="AA325" i="1"/>
  <c r="AB325" i="1"/>
  <c r="H326" i="1"/>
  <c r="I326" i="1"/>
  <c r="J326" i="1"/>
  <c r="K326" i="1"/>
  <c r="L326" i="1"/>
  <c r="M326" i="1"/>
  <c r="N326" i="1"/>
  <c r="O326" i="1"/>
  <c r="P326" i="1"/>
  <c r="Q326" i="1"/>
  <c r="R326" i="1"/>
  <c r="S326" i="1"/>
  <c r="T326" i="1"/>
  <c r="U326" i="1"/>
  <c r="V326" i="1"/>
  <c r="W326" i="1"/>
  <c r="X326" i="1"/>
  <c r="Y326" i="1"/>
  <c r="Z326" i="1"/>
  <c r="AA326" i="1"/>
  <c r="AB326" i="1"/>
  <c r="H327" i="1"/>
  <c r="I327" i="1"/>
  <c r="J327" i="1"/>
  <c r="K327" i="1"/>
  <c r="L327" i="1"/>
  <c r="M327" i="1"/>
  <c r="N327" i="1"/>
  <c r="O327" i="1"/>
  <c r="P327" i="1"/>
  <c r="Q327" i="1"/>
  <c r="R327" i="1"/>
  <c r="S327" i="1"/>
  <c r="T327" i="1"/>
  <c r="U327" i="1"/>
  <c r="V327" i="1"/>
  <c r="W327" i="1"/>
  <c r="X327" i="1"/>
  <c r="Y327" i="1"/>
  <c r="Z327" i="1"/>
  <c r="AA327" i="1"/>
  <c r="AB327" i="1"/>
  <c r="H328" i="1"/>
  <c r="I328" i="1"/>
  <c r="J328" i="1"/>
  <c r="K328" i="1"/>
  <c r="L328" i="1"/>
  <c r="M328" i="1"/>
  <c r="N328" i="1"/>
  <c r="O328" i="1"/>
  <c r="P328" i="1"/>
  <c r="Q328" i="1"/>
  <c r="R328" i="1"/>
  <c r="S328" i="1"/>
  <c r="T328" i="1"/>
  <c r="U328" i="1"/>
  <c r="V328" i="1"/>
  <c r="W328" i="1"/>
  <c r="X328" i="1"/>
  <c r="Y328" i="1"/>
  <c r="Z328" i="1"/>
  <c r="AA328" i="1"/>
  <c r="AB328" i="1"/>
  <c r="H329" i="1"/>
  <c r="I329" i="1"/>
  <c r="J329" i="1"/>
  <c r="K329" i="1"/>
  <c r="L329" i="1"/>
  <c r="M329" i="1"/>
  <c r="N329" i="1"/>
  <c r="O329" i="1"/>
  <c r="P329" i="1"/>
  <c r="Q329" i="1"/>
  <c r="R329" i="1"/>
  <c r="S329" i="1"/>
  <c r="T329" i="1"/>
  <c r="U329" i="1"/>
  <c r="V329" i="1"/>
  <c r="W329" i="1"/>
  <c r="X329" i="1"/>
  <c r="Y329" i="1"/>
  <c r="Z329" i="1"/>
  <c r="AA329" i="1"/>
  <c r="AB329" i="1"/>
  <c r="H330" i="1"/>
  <c r="I330" i="1"/>
  <c r="J330" i="1"/>
  <c r="K330" i="1"/>
  <c r="L330" i="1"/>
  <c r="M330" i="1"/>
  <c r="N330" i="1"/>
  <c r="O330" i="1"/>
  <c r="P330" i="1"/>
  <c r="Q330" i="1"/>
  <c r="R330" i="1"/>
  <c r="S330" i="1"/>
  <c r="T330" i="1"/>
  <c r="U330" i="1"/>
  <c r="V330" i="1"/>
  <c r="W330" i="1"/>
  <c r="X330" i="1"/>
  <c r="Y330" i="1"/>
  <c r="Z330" i="1"/>
  <c r="AA330" i="1"/>
  <c r="AB330" i="1"/>
  <c r="H331" i="1"/>
  <c r="I331" i="1"/>
  <c r="J331" i="1"/>
  <c r="K331" i="1"/>
  <c r="L331" i="1"/>
  <c r="M331" i="1"/>
  <c r="N331" i="1"/>
  <c r="O331" i="1"/>
  <c r="P331" i="1"/>
  <c r="Q331" i="1"/>
  <c r="R331" i="1"/>
  <c r="S331" i="1"/>
  <c r="T331" i="1"/>
  <c r="U331" i="1"/>
  <c r="V331" i="1"/>
  <c r="W331" i="1"/>
  <c r="X331" i="1"/>
  <c r="Y331" i="1"/>
  <c r="Z331" i="1"/>
  <c r="AA331" i="1"/>
  <c r="AB331" i="1"/>
  <c r="H332" i="1"/>
  <c r="I332" i="1"/>
  <c r="J332" i="1"/>
  <c r="K332" i="1"/>
  <c r="L332" i="1"/>
  <c r="M332" i="1"/>
  <c r="N332" i="1"/>
  <c r="O332" i="1"/>
  <c r="P332" i="1"/>
  <c r="Q332" i="1"/>
  <c r="R332" i="1"/>
  <c r="S332" i="1"/>
  <c r="T332" i="1"/>
  <c r="U332" i="1"/>
  <c r="V332" i="1"/>
  <c r="W332" i="1"/>
  <c r="X332" i="1"/>
  <c r="Y332" i="1"/>
  <c r="Z332" i="1"/>
  <c r="AA332" i="1"/>
  <c r="AB332" i="1"/>
  <c r="H333" i="1"/>
  <c r="I333" i="1"/>
  <c r="J333" i="1"/>
  <c r="K333" i="1"/>
  <c r="L333" i="1"/>
  <c r="M333" i="1"/>
  <c r="N333" i="1"/>
  <c r="O333" i="1"/>
  <c r="P333" i="1"/>
  <c r="Q333" i="1"/>
  <c r="R333" i="1"/>
  <c r="S333" i="1"/>
  <c r="T333" i="1"/>
  <c r="U333" i="1"/>
  <c r="V333" i="1"/>
  <c r="W333" i="1"/>
  <c r="X333" i="1"/>
  <c r="Y333" i="1"/>
  <c r="Z333" i="1"/>
  <c r="AA333" i="1"/>
  <c r="AB333" i="1"/>
  <c r="H334" i="1"/>
  <c r="I334" i="1"/>
  <c r="J334" i="1"/>
  <c r="K334" i="1"/>
  <c r="L334" i="1"/>
  <c r="M334" i="1"/>
  <c r="N334" i="1"/>
  <c r="O334" i="1"/>
  <c r="P334" i="1"/>
  <c r="Q334" i="1"/>
  <c r="R334" i="1"/>
  <c r="S334" i="1"/>
  <c r="T334" i="1"/>
  <c r="U334" i="1"/>
  <c r="V334" i="1"/>
  <c r="W334" i="1"/>
  <c r="X334" i="1"/>
  <c r="Y334" i="1"/>
  <c r="Z334" i="1"/>
  <c r="AA334" i="1"/>
  <c r="AB334" i="1"/>
  <c r="H335" i="1"/>
  <c r="I335" i="1"/>
  <c r="J335" i="1"/>
  <c r="K335" i="1"/>
  <c r="L335" i="1"/>
  <c r="M335" i="1"/>
  <c r="N335" i="1"/>
  <c r="O335" i="1"/>
  <c r="P335" i="1"/>
  <c r="Q335" i="1"/>
  <c r="R335" i="1"/>
  <c r="S335" i="1"/>
  <c r="T335" i="1"/>
  <c r="U335" i="1"/>
  <c r="V335" i="1"/>
  <c r="W335" i="1"/>
  <c r="X335" i="1"/>
  <c r="Y335" i="1"/>
  <c r="Z335" i="1"/>
  <c r="AA335" i="1"/>
  <c r="AB335" i="1"/>
  <c r="H336" i="1"/>
  <c r="I336" i="1"/>
  <c r="J336" i="1"/>
  <c r="K336" i="1"/>
  <c r="L336" i="1"/>
  <c r="M336" i="1"/>
  <c r="N336" i="1"/>
  <c r="O336" i="1"/>
  <c r="P336" i="1"/>
  <c r="Q336" i="1"/>
  <c r="R336" i="1"/>
  <c r="S336" i="1"/>
  <c r="T336" i="1"/>
  <c r="U336" i="1"/>
  <c r="V336" i="1"/>
  <c r="W336" i="1"/>
  <c r="X336" i="1"/>
  <c r="Y336" i="1"/>
  <c r="Z336" i="1"/>
  <c r="AA336" i="1"/>
  <c r="AB336" i="1"/>
  <c r="H337" i="1"/>
  <c r="I337" i="1"/>
  <c r="J337" i="1"/>
  <c r="K337" i="1"/>
  <c r="L337" i="1"/>
  <c r="M337" i="1"/>
  <c r="N337" i="1"/>
  <c r="O337" i="1"/>
  <c r="P337" i="1"/>
  <c r="Q337" i="1"/>
  <c r="R337" i="1"/>
  <c r="S337" i="1"/>
  <c r="T337" i="1"/>
  <c r="U337" i="1"/>
  <c r="V337" i="1"/>
  <c r="W337" i="1"/>
  <c r="X337" i="1"/>
  <c r="Y337" i="1"/>
  <c r="Z337" i="1"/>
  <c r="AA337" i="1"/>
  <c r="AB337" i="1"/>
  <c r="H338" i="1"/>
  <c r="I338" i="1"/>
  <c r="J338" i="1"/>
  <c r="K338" i="1"/>
  <c r="L338" i="1"/>
  <c r="M338" i="1"/>
  <c r="N338" i="1"/>
  <c r="O338" i="1"/>
  <c r="P338" i="1"/>
  <c r="Q338" i="1"/>
  <c r="R338" i="1"/>
  <c r="S338" i="1"/>
  <c r="T338" i="1"/>
  <c r="U338" i="1"/>
  <c r="V338" i="1"/>
  <c r="W338" i="1"/>
  <c r="X338" i="1"/>
  <c r="Y338" i="1"/>
  <c r="Z338" i="1"/>
  <c r="AA338" i="1"/>
  <c r="AB338" i="1"/>
  <c r="H339" i="1"/>
  <c r="I339" i="1"/>
  <c r="J339" i="1"/>
  <c r="K339" i="1"/>
  <c r="L339" i="1"/>
  <c r="M339" i="1"/>
  <c r="N339" i="1"/>
  <c r="O339" i="1"/>
  <c r="P339" i="1"/>
  <c r="Q339" i="1"/>
  <c r="R339" i="1"/>
  <c r="S339" i="1"/>
  <c r="T339" i="1"/>
  <c r="U339" i="1"/>
  <c r="V339" i="1"/>
  <c r="W339" i="1"/>
  <c r="X339" i="1"/>
  <c r="Y339" i="1"/>
  <c r="Z339" i="1"/>
  <c r="AA339" i="1"/>
  <c r="AB339" i="1"/>
  <c r="H340" i="1"/>
  <c r="I340" i="1"/>
  <c r="J340" i="1"/>
  <c r="K340" i="1"/>
  <c r="L340" i="1"/>
  <c r="M340" i="1"/>
  <c r="N340" i="1"/>
  <c r="O340" i="1"/>
  <c r="P340" i="1"/>
  <c r="Q340" i="1"/>
  <c r="R340" i="1"/>
  <c r="S340" i="1"/>
  <c r="T340" i="1"/>
  <c r="U340" i="1"/>
  <c r="V340" i="1"/>
  <c r="W340" i="1"/>
  <c r="X340" i="1"/>
  <c r="Y340" i="1"/>
  <c r="Z340" i="1"/>
  <c r="AA340" i="1"/>
  <c r="AB340" i="1"/>
  <c r="H341" i="1"/>
  <c r="I341" i="1"/>
  <c r="J341" i="1"/>
  <c r="K341" i="1"/>
  <c r="L341" i="1"/>
  <c r="M341" i="1"/>
  <c r="N341" i="1"/>
  <c r="O341" i="1"/>
  <c r="P341" i="1"/>
  <c r="Q341" i="1"/>
  <c r="R341" i="1"/>
  <c r="S341" i="1"/>
  <c r="T341" i="1"/>
  <c r="U341" i="1"/>
  <c r="V341" i="1"/>
  <c r="W341" i="1"/>
  <c r="X341" i="1"/>
  <c r="Y341" i="1"/>
  <c r="Z341" i="1"/>
  <c r="AA341" i="1"/>
  <c r="AB341" i="1"/>
  <c r="H342" i="1"/>
  <c r="I342" i="1"/>
  <c r="J342" i="1"/>
  <c r="K342" i="1"/>
  <c r="L342" i="1"/>
  <c r="M342" i="1"/>
  <c r="N342" i="1"/>
  <c r="O342" i="1"/>
  <c r="P342" i="1"/>
  <c r="Q342" i="1"/>
  <c r="R342" i="1"/>
  <c r="S342" i="1"/>
  <c r="T342" i="1"/>
  <c r="U342" i="1"/>
  <c r="V342" i="1"/>
  <c r="W342" i="1"/>
  <c r="X342" i="1"/>
  <c r="Y342" i="1"/>
  <c r="Z342" i="1"/>
  <c r="AA342" i="1"/>
  <c r="AB342" i="1"/>
  <c r="H343" i="1"/>
  <c r="I343" i="1"/>
  <c r="J343" i="1"/>
  <c r="K343" i="1"/>
  <c r="L343" i="1"/>
  <c r="M343" i="1"/>
  <c r="N343" i="1"/>
  <c r="O343" i="1"/>
  <c r="P343" i="1"/>
  <c r="Q343" i="1"/>
  <c r="R343" i="1"/>
  <c r="S343" i="1"/>
  <c r="T343" i="1"/>
  <c r="U343" i="1"/>
  <c r="V343" i="1"/>
  <c r="W343" i="1"/>
  <c r="X343" i="1"/>
  <c r="Y343" i="1"/>
  <c r="Z343" i="1"/>
  <c r="AA343" i="1"/>
  <c r="AB343" i="1"/>
  <c r="H344" i="1"/>
  <c r="I344" i="1"/>
  <c r="J344" i="1"/>
  <c r="K344" i="1"/>
  <c r="L344" i="1"/>
  <c r="M344" i="1"/>
  <c r="N344" i="1"/>
  <c r="O344" i="1"/>
  <c r="P344" i="1"/>
  <c r="Q344" i="1"/>
  <c r="R344" i="1"/>
  <c r="S344" i="1"/>
  <c r="T344" i="1"/>
  <c r="U344" i="1"/>
  <c r="V344" i="1"/>
  <c r="W344" i="1"/>
  <c r="X344" i="1"/>
  <c r="Y344" i="1"/>
  <c r="Z344" i="1"/>
  <c r="AA344" i="1"/>
  <c r="AB344" i="1"/>
  <c r="H345" i="1"/>
  <c r="I345" i="1"/>
  <c r="J345" i="1"/>
  <c r="K345" i="1"/>
  <c r="L345" i="1"/>
  <c r="M345" i="1"/>
  <c r="N345" i="1"/>
  <c r="O345" i="1"/>
  <c r="P345" i="1"/>
  <c r="Q345" i="1"/>
  <c r="R345" i="1"/>
  <c r="S345" i="1"/>
  <c r="T345" i="1"/>
  <c r="U345" i="1"/>
  <c r="V345" i="1"/>
  <c r="W345" i="1"/>
  <c r="X345" i="1"/>
  <c r="Y345" i="1"/>
  <c r="Z345" i="1"/>
  <c r="AA345" i="1"/>
  <c r="AB345" i="1"/>
  <c r="H346" i="1"/>
  <c r="I346" i="1"/>
  <c r="J346" i="1"/>
  <c r="K346" i="1"/>
  <c r="L346" i="1"/>
  <c r="M346" i="1"/>
  <c r="N346" i="1"/>
  <c r="O346" i="1"/>
  <c r="P346" i="1"/>
  <c r="Q346" i="1"/>
  <c r="R346" i="1"/>
  <c r="S346" i="1"/>
  <c r="T346" i="1"/>
  <c r="U346" i="1"/>
  <c r="V346" i="1"/>
  <c r="W346" i="1"/>
  <c r="X346" i="1"/>
  <c r="Y346" i="1"/>
  <c r="Z346" i="1"/>
  <c r="AA346" i="1"/>
  <c r="AB346" i="1"/>
  <c r="H347" i="1"/>
  <c r="I347" i="1"/>
  <c r="J347" i="1"/>
  <c r="K347" i="1"/>
  <c r="L347" i="1"/>
  <c r="M347" i="1"/>
  <c r="N347" i="1"/>
  <c r="O347" i="1"/>
  <c r="P347" i="1"/>
  <c r="Q347" i="1"/>
  <c r="R347" i="1"/>
  <c r="S347" i="1"/>
  <c r="T347" i="1"/>
  <c r="U347" i="1"/>
  <c r="V347" i="1"/>
  <c r="W347" i="1"/>
  <c r="X347" i="1"/>
  <c r="Y347" i="1"/>
  <c r="Z347" i="1"/>
  <c r="AA347" i="1"/>
  <c r="AB347" i="1"/>
  <c r="H348" i="1"/>
  <c r="I348" i="1"/>
  <c r="J348" i="1"/>
  <c r="K348" i="1"/>
  <c r="L348" i="1"/>
  <c r="M348" i="1"/>
  <c r="N348" i="1"/>
  <c r="O348" i="1"/>
  <c r="P348" i="1"/>
  <c r="Q348" i="1"/>
  <c r="R348" i="1"/>
  <c r="S348" i="1"/>
  <c r="T348" i="1"/>
  <c r="U348" i="1"/>
  <c r="V348" i="1"/>
  <c r="W348" i="1"/>
  <c r="X348" i="1"/>
  <c r="Y348" i="1"/>
  <c r="Z348" i="1"/>
  <c r="AA348" i="1"/>
  <c r="AB348" i="1"/>
  <c r="H358" i="1"/>
  <c r="I358" i="1"/>
  <c r="J358" i="1"/>
  <c r="K358" i="1"/>
  <c r="L358" i="1"/>
  <c r="M358" i="1"/>
  <c r="N358" i="1"/>
  <c r="O358" i="1"/>
  <c r="P358" i="1"/>
  <c r="Q358" i="1"/>
  <c r="R358" i="1"/>
  <c r="S358" i="1"/>
  <c r="T358" i="1"/>
  <c r="U358" i="1"/>
  <c r="V358" i="1"/>
  <c r="W358" i="1"/>
  <c r="X358" i="1"/>
  <c r="Y358" i="1"/>
  <c r="Z358" i="1"/>
  <c r="AA358" i="1"/>
  <c r="AB358" i="1"/>
  <c r="H359" i="1"/>
  <c r="I359" i="1"/>
  <c r="J359" i="1"/>
  <c r="K359" i="1"/>
  <c r="L359" i="1"/>
  <c r="M359" i="1"/>
  <c r="N359" i="1"/>
  <c r="O359" i="1"/>
  <c r="P359" i="1"/>
  <c r="Q359" i="1"/>
  <c r="R359" i="1"/>
  <c r="S359" i="1"/>
  <c r="T359" i="1"/>
  <c r="U359" i="1"/>
  <c r="V359" i="1"/>
  <c r="W359" i="1"/>
  <c r="X359" i="1"/>
  <c r="Y359" i="1"/>
  <c r="Z359" i="1"/>
  <c r="AA359" i="1"/>
  <c r="AB359" i="1"/>
  <c r="H360" i="1"/>
  <c r="I360" i="1"/>
  <c r="J360" i="1"/>
  <c r="K360" i="1"/>
  <c r="L360" i="1"/>
  <c r="M360" i="1"/>
  <c r="N360" i="1"/>
  <c r="O360" i="1"/>
  <c r="P360" i="1"/>
  <c r="Q360" i="1"/>
  <c r="R360" i="1"/>
  <c r="S360" i="1"/>
  <c r="T360" i="1"/>
  <c r="U360" i="1"/>
  <c r="V360" i="1"/>
  <c r="W360" i="1"/>
  <c r="X360" i="1"/>
  <c r="Y360" i="1"/>
  <c r="Z360" i="1"/>
  <c r="AA360" i="1"/>
  <c r="AB360" i="1"/>
  <c r="H361" i="1"/>
  <c r="I361" i="1"/>
  <c r="J361" i="1"/>
  <c r="K361" i="1"/>
  <c r="L361" i="1"/>
  <c r="M361" i="1"/>
  <c r="N361" i="1"/>
  <c r="O361" i="1"/>
  <c r="P361" i="1"/>
  <c r="Q361" i="1"/>
  <c r="R361" i="1"/>
  <c r="S361" i="1"/>
  <c r="T361" i="1"/>
  <c r="U361" i="1"/>
  <c r="V361" i="1"/>
  <c r="W361" i="1"/>
  <c r="X361" i="1"/>
  <c r="Y361" i="1"/>
  <c r="Z361" i="1"/>
  <c r="AA361" i="1"/>
  <c r="AB361" i="1"/>
  <c r="H362" i="1"/>
  <c r="I362" i="1"/>
  <c r="J362" i="1"/>
  <c r="K362" i="1"/>
  <c r="L362" i="1"/>
  <c r="M362" i="1"/>
  <c r="N362" i="1"/>
  <c r="O362" i="1"/>
  <c r="P362" i="1"/>
  <c r="Q362" i="1"/>
  <c r="R362" i="1"/>
  <c r="S362" i="1"/>
  <c r="T362" i="1"/>
  <c r="U362" i="1"/>
  <c r="V362" i="1"/>
  <c r="W362" i="1"/>
  <c r="X362" i="1"/>
  <c r="Y362" i="1"/>
  <c r="Z362" i="1"/>
  <c r="AA362" i="1"/>
  <c r="AB362" i="1"/>
  <c r="H363" i="1"/>
  <c r="I363" i="1"/>
  <c r="J363" i="1"/>
  <c r="K363" i="1"/>
  <c r="L363" i="1"/>
  <c r="M363" i="1"/>
  <c r="N363" i="1"/>
  <c r="O363" i="1"/>
  <c r="P363" i="1"/>
  <c r="Q363" i="1"/>
  <c r="R363" i="1"/>
  <c r="S363" i="1"/>
  <c r="T363" i="1"/>
  <c r="U363" i="1"/>
  <c r="V363" i="1"/>
  <c r="W363" i="1"/>
  <c r="X363" i="1"/>
  <c r="Y363" i="1"/>
  <c r="Z363" i="1"/>
  <c r="AA363" i="1"/>
  <c r="AB363" i="1"/>
  <c r="H364" i="1"/>
  <c r="I364" i="1"/>
  <c r="J364" i="1"/>
  <c r="K364" i="1"/>
  <c r="L364" i="1"/>
  <c r="M364" i="1"/>
  <c r="N364" i="1"/>
  <c r="O364" i="1"/>
  <c r="P364" i="1"/>
  <c r="Q364" i="1"/>
  <c r="R364" i="1"/>
  <c r="S364" i="1"/>
  <c r="T364" i="1"/>
  <c r="U364" i="1"/>
  <c r="V364" i="1"/>
  <c r="W364" i="1"/>
  <c r="X364" i="1"/>
  <c r="Y364" i="1"/>
  <c r="Z364" i="1"/>
  <c r="AA364" i="1"/>
  <c r="AB364" i="1"/>
  <c r="H365" i="1"/>
  <c r="I365" i="1"/>
  <c r="J365" i="1"/>
  <c r="K365" i="1"/>
  <c r="L365" i="1"/>
  <c r="M365" i="1"/>
  <c r="N365" i="1"/>
  <c r="O365" i="1"/>
  <c r="P365" i="1"/>
  <c r="Q365" i="1"/>
  <c r="R365" i="1"/>
  <c r="S365" i="1"/>
  <c r="T365" i="1"/>
  <c r="U365" i="1"/>
  <c r="V365" i="1"/>
  <c r="W365" i="1"/>
  <c r="X365" i="1"/>
  <c r="Y365" i="1"/>
  <c r="Z365" i="1"/>
  <c r="AA365" i="1"/>
  <c r="AB365" i="1"/>
  <c r="H366" i="1"/>
  <c r="I366" i="1"/>
  <c r="J366" i="1"/>
  <c r="K366" i="1"/>
  <c r="L366" i="1"/>
  <c r="M366" i="1"/>
  <c r="N366" i="1"/>
  <c r="O366" i="1"/>
  <c r="P366" i="1"/>
  <c r="Q366" i="1"/>
  <c r="R366" i="1"/>
  <c r="S366" i="1"/>
  <c r="T366" i="1"/>
  <c r="U366" i="1"/>
  <c r="V366" i="1"/>
  <c r="W366" i="1"/>
  <c r="X366" i="1"/>
  <c r="Y366" i="1"/>
  <c r="Z366" i="1"/>
  <c r="AA366" i="1"/>
  <c r="AB366" i="1"/>
  <c r="H367" i="1"/>
  <c r="I367" i="1"/>
  <c r="J367" i="1"/>
  <c r="K367" i="1"/>
  <c r="L367" i="1"/>
  <c r="M367" i="1"/>
  <c r="N367" i="1"/>
  <c r="O367" i="1"/>
  <c r="P367" i="1"/>
  <c r="Q367" i="1"/>
  <c r="R367" i="1"/>
  <c r="S367" i="1"/>
  <c r="T367" i="1"/>
  <c r="U367" i="1"/>
  <c r="V367" i="1"/>
  <c r="W367" i="1"/>
  <c r="X367" i="1"/>
  <c r="Y367" i="1"/>
  <c r="Z367" i="1"/>
  <c r="AA367" i="1"/>
  <c r="AB367" i="1"/>
  <c r="H368" i="1"/>
  <c r="I368" i="1"/>
  <c r="J368" i="1"/>
  <c r="K368" i="1"/>
  <c r="L368" i="1"/>
  <c r="M368" i="1"/>
  <c r="N368" i="1"/>
  <c r="O368" i="1"/>
  <c r="P368" i="1"/>
  <c r="Q368" i="1"/>
  <c r="R368" i="1"/>
  <c r="S368" i="1"/>
  <c r="T368" i="1"/>
  <c r="U368" i="1"/>
  <c r="V368" i="1"/>
  <c r="W368" i="1"/>
  <c r="X368" i="1"/>
  <c r="Y368" i="1"/>
  <c r="Z368" i="1"/>
  <c r="AA368" i="1"/>
  <c r="AB368" i="1"/>
  <c r="H369" i="1"/>
  <c r="I369" i="1"/>
  <c r="J369" i="1"/>
  <c r="K369" i="1"/>
  <c r="L369" i="1"/>
  <c r="M369" i="1"/>
  <c r="N369" i="1"/>
  <c r="O369" i="1"/>
  <c r="P369" i="1"/>
  <c r="Q369" i="1"/>
  <c r="R369" i="1"/>
  <c r="S369" i="1"/>
  <c r="T369" i="1"/>
  <c r="U369" i="1"/>
  <c r="V369" i="1"/>
  <c r="W369" i="1"/>
  <c r="X369" i="1"/>
  <c r="Y369" i="1"/>
  <c r="Z369" i="1"/>
  <c r="AA369" i="1"/>
  <c r="AB369" i="1"/>
  <c r="H370" i="1"/>
  <c r="I370" i="1"/>
  <c r="J370" i="1"/>
  <c r="K370" i="1"/>
  <c r="L370" i="1"/>
  <c r="M370" i="1"/>
  <c r="N370" i="1"/>
  <c r="O370" i="1"/>
  <c r="P370" i="1"/>
  <c r="Q370" i="1"/>
  <c r="R370" i="1"/>
  <c r="S370" i="1"/>
  <c r="T370" i="1"/>
  <c r="U370" i="1"/>
  <c r="V370" i="1"/>
  <c r="W370" i="1"/>
  <c r="X370" i="1"/>
  <c r="Y370" i="1"/>
  <c r="Z370" i="1"/>
  <c r="AA370" i="1"/>
  <c r="AB370" i="1"/>
  <c r="H371" i="1"/>
  <c r="I371" i="1"/>
  <c r="J371" i="1"/>
  <c r="K371" i="1"/>
  <c r="L371" i="1"/>
  <c r="M371" i="1"/>
  <c r="N371" i="1"/>
  <c r="O371" i="1"/>
  <c r="P371" i="1"/>
  <c r="Q371" i="1"/>
  <c r="R371" i="1"/>
  <c r="S371" i="1"/>
  <c r="T371" i="1"/>
  <c r="U371" i="1"/>
  <c r="V371" i="1"/>
  <c r="W371" i="1"/>
  <c r="X371" i="1"/>
  <c r="Y371" i="1"/>
  <c r="Z371" i="1"/>
  <c r="AA371" i="1"/>
  <c r="AB371" i="1"/>
  <c r="H372" i="1"/>
  <c r="I372" i="1"/>
  <c r="J372" i="1"/>
  <c r="K372" i="1"/>
  <c r="L372" i="1"/>
  <c r="M372" i="1"/>
  <c r="N372" i="1"/>
  <c r="O372" i="1"/>
  <c r="P372" i="1"/>
  <c r="Q372" i="1"/>
  <c r="R372" i="1"/>
  <c r="S372" i="1"/>
  <c r="T372" i="1"/>
  <c r="U372" i="1"/>
  <c r="V372" i="1"/>
  <c r="W372" i="1"/>
  <c r="X372" i="1"/>
  <c r="Y372" i="1"/>
  <c r="Z372" i="1"/>
  <c r="AA372" i="1"/>
  <c r="AB372" i="1"/>
  <c r="H373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Y373" i="1"/>
  <c r="Z373" i="1"/>
  <c r="AA373" i="1"/>
  <c r="AB373" i="1"/>
  <c r="H374" i="1"/>
  <c r="I374" i="1"/>
  <c r="J374" i="1"/>
  <c r="K374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Y374" i="1"/>
  <c r="Z374" i="1"/>
  <c r="AA374" i="1"/>
  <c r="AB374" i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Y375" i="1"/>
  <c r="Z375" i="1"/>
  <c r="AA375" i="1"/>
  <c r="AB375" i="1"/>
  <c r="H376" i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Y376" i="1"/>
  <c r="Z376" i="1"/>
  <c r="AA376" i="1"/>
  <c r="AB376" i="1"/>
  <c r="H377" i="1"/>
  <c r="I377" i="1"/>
  <c r="J377" i="1"/>
  <c r="K377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Y377" i="1"/>
  <c r="Z377" i="1"/>
  <c r="AA377" i="1"/>
  <c r="AB377" i="1"/>
  <c r="H378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Y378" i="1"/>
  <c r="Z378" i="1"/>
  <c r="AA378" i="1"/>
  <c r="AB378" i="1"/>
  <c r="H379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Y379" i="1"/>
  <c r="Z379" i="1"/>
  <c r="AA379" i="1"/>
  <c r="AB379" i="1"/>
  <c r="H380" i="1"/>
  <c r="I380" i="1"/>
  <c r="J380" i="1"/>
  <c r="K380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Y380" i="1"/>
  <c r="Z380" i="1"/>
  <c r="AA380" i="1"/>
  <c r="AB380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Z381" i="1"/>
  <c r="AA381" i="1"/>
  <c r="AB381" i="1"/>
  <c r="H382" i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Y382" i="1"/>
  <c r="Z382" i="1"/>
  <c r="AA382" i="1"/>
  <c r="AB382" i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Y383" i="1"/>
  <c r="Z383" i="1"/>
  <c r="AA383" i="1"/>
  <c r="AB383" i="1"/>
  <c r="H384" i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Y384" i="1"/>
  <c r="Z384" i="1"/>
  <c r="AA384" i="1"/>
  <c r="AB384" i="1"/>
  <c r="H385" i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Y385" i="1"/>
  <c r="Z385" i="1"/>
  <c r="AA385" i="1"/>
  <c r="AB385" i="1"/>
  <c r="H386" i="1"/>
  <c r="I386" i="1"/>
  <c r="J386" i="1"/>
  <c r="K386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Y386" i="1"/>
  <c r="Z386" i="1"/>
  <c r="AA386" i="1"/>
  <c r="AB386" i="1"/>
  <c r="H387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Y387" i="1"/>
  <c r="Z387" i="1"/>
  <c r="AA387" i="1"/>
  <c r="AB387" i="1"/>
  <c r="H388" i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Y388" i="1"/>
  <c r="Z388" i="1"/>
  <c r="AA388" i="1"/>
  <c r="AB388" i="1"/>
  <c r="H389" i="1"/>
  <c r="I389" i="1"/>
  <c r="J389" i="1"/>
  <c r="K389" i="1"/>
  <c r="L389" i="1"/>
  <c r="M389" i="1"/>
  <c r="N389" i="1"/>
  <c r="O389" i="1"/>
  <c r="P389" i="1"/>
  <c r="Q389" i="1"/>
  <c r="R389" i="1"/>
  <c r="S389" i="1"/>
  <c r="T389" i="1"/>
  <c r="U389" i="1"/>
  <c r="V389" i="1"/>
  <c r="W389" i="1"/>
  <c r="X389" i="1"/>
  <c r="Y389" i="1"/>
  <c r="Z389" i="1"/>
  <c r="AA389" i="1"/>
  <c r="AB389" i="1"/>
  <c r="H390" i="1"/>
  <c r="I390" i="1"/>
  <c r="J390" i="1"/>
  <c r="K390" i="1"/>
  <c r="L390" i="1"/>
  <c r="M390" i="1"/>
  <c r="N390" i="1"/>
  <c r="O390" i="1"/>
  <c r="P390" i="1"/>
  <c r="Q390" i="1"/>
  <c r="R390" i="1"/>
  <c r="S390" i="1"/>
  <c r="T390" i="1"/>
  <c r="U390" i="1"/>
  <c r="V390" i="1"/>
  <c r="W390" i="1"/>
  <c r="X390" i="1"/>
  <c r="Y390" i="1"/>
  <c r="Z390" i="1"/>
  <c r="AA390" i="1"/>
  <c r="AB390" i="1"/>
  <c r="H391" i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V391" i="1"/>
  <c r="W391" i="1"/>
  <c r="X391" i="1"/>
  <c r="Y391" i="1"/>
  <c r="Z391" i="1"/>
  <c r="AA391" i="1"/>
  <c r="AB391" i="1"/>
  <c r="H392" i="1"/>
  <c r="I392" i="1"/>
  <c r="J392" i="1"/>
  <c r="K392" i="1"/>
  <c r="L392" i="1"/>
  <c r="M392" i="1"/>
  <c r="N392" i="1"/>
  <c r="O392" i="1"/>
  <c r="P392" i="1"/>
  <c r="Q392" i="1"/>
  <c r="R392" i="1"/>
  <c r="S392" i="1"/>
  <c r="T392" i="1"/>
  <c r="U392" i="1"/>
  <c r="V392" i="1"/>
  <c r="W392" i="1"/>
  <c r="X392" i="1"/>
  <c r="Y392" i="1"/>
  <c r="Z392" i="1"/>
  <c r="AA392" i="1"/>
  <c r="AB392" i="1"/>
  <c r="H393" i="1"/>
  <c r="I393" i="1"/>
  <c r="J393" i="1"/>
  <c r="K393" i="1"/>
  <c r="L393" i="1"/>
  <c r="M393" i="1"/>
  <c r="N393" i="1"/>
  <c r="O393" i="1"/>
  <c r="P393" i="1"/>
  <c r="Q393" i="1"/>
  <c r="R393" i="1"/>
  <c r="S393" i="1"/>
  <c r="T393" i="1"/>
  <c r="U393" i="1"/>
  <c r="V393" i="1"/>
  <c r="W393" i="1"/>
  <c r="X393" i="1"/>
  <c r="Y393" i="1"/>
  <c r="Z393" i="1"/>
  <c r="AA393" i="1"/>
  <c r="AB393" i="1"/>
  <c r="H394" i="1"/>
  <c r="I394" i="1"/>
  <c r="J394" i="1"/>
  <c r="K394" i="1"/>
  <c r="L394" i="1"/>
  <c r="M394" i="1"/>
  <c r="N394" i="1"/>
  <c r="O394" i="1"/>
  <c r="P394" i="1"/>
  <c r="Q394" i="1"/>
  <c r="R394" i="1"/>
  <c r="S394" i="1"/>
  <c r="T394" i="1"/>
  <c r="U394" i="1"/>
  <c r="V394" i="1"/>
  <c r="W394" i="1"/>
  <c r="X394" i="1"/>
  <c r="Y394" i="1"/>
  <c r="Z394" i="1"/>
  <c r="AA394" i="1"/>
  <c r="AB394" i="1"/>
  <c r="H395" i="1"/>
  <c r="I395" i="1"/>
  <c r="J395" i="1"/>
  <c r="K395" i="1"/>
  <c r="L395" i="1"/>
  <c r="M395" i="1"/>
  <c r="N395" i="1"/>
  <c r="O395" i="1"/>
  <c r="P395" i="1"/>
  <c r="Q395" i="1"/>
  <c r="R395" i="1"/>
  <c r="S395" i="1"/>
  <c r="T395" i="1"/>
  <c r="U395" i="1"/>
  <c r="V395" i="1"/>
  <c r="W395" i="1"/>
  <c r="X395" i="1"/>
  <c r="Y395" i="1"/>
  <c r="Z395" i="1"/>
  <c r="AA395" i="1"/>
  <c r="AB395" i="1"/>
  <c r="H396" i="1"/>
  <c r="I396" i="1"/>
  <c r="J396" i="1"/>
  <c r="K396" i="1"/>
  <c r="L396" i="1"/>
  <c r="M396" i="1"/>
  <c r="N396" i="1"/>
  <c r="O396" i="1"/>
  <c r="P396" i="1"/>
  <c r="Q396" i="1"/>
  <c r="R396" i="1"/>
  <c r="S396" i="1"/>
  <c r="T396" i="1"/>
  <c r="U396" i="1"/>
  <c r="V396" i="1"/>
  <c r="W396" i="1"/>
  <c r="X396" i="1"/>
  <c r="Y396" i="1"/>
  <c r="Z396" i="1"/>
  <c r="AA396" i="1"/>
  <c r="AB396" i="1"/>
  <c r="H397" i="1"/>
  <c r="I397" i="1"/>
  <c r="J397" i="1"/>
  <c r="K397" i="1"/>
  <c r="L397" i="1"/>
  <c r="M397" i="1"/>
  <c r="N397" i="1"/>
  <c r="O397" i="1"/>
  <c r="P397" i="1"/>
  <c r="Q397" i="1"/>
  <c r="R397" i="1"/>
  <c r="S397" i="1"/>
  <c r="T397" i="1"/>
  <c r="U397" i="1"/>
  <c r="V397" i="1"/>
  <c r="W397" i="1"/>
  <c r="X397" i="1"/>
  <c r="Y397" i="1"/>
  <c r="Z397" i="1"/>
  <c r="AA397" i="1"/>
  <c r="AB397" i="1"/>
  <c r="H398" i="1"/>
  <c r="I398" i="1"/>
  <c r="J398" i="1"/>
  <c r="K398" i="1"/>
  <c r="L398" i="1"/>
  <c r="M398" i="1"/>
  <c r="N398" i="1"/>
  <c r="O398" i="1"/>
  <c r="P398" i="1"/>
  <c r="Q398" i="1"/>
  <c r="R398" i="1"/>
  <c r="S398" i="1"/>
  <c r="T398" i="1"/>
  <c r="U398" i="1"/>
  <c r="V398" i="1"/>
  <c r="W398" i="1"/>
  <c r="X398" i="1"/>
  <c r="Y398" i="1"/>
  <c r="Z398" i="1"/>
  <c r="AA398" i="1"/>
  <c r="AB398" i="1"/>
</calcChain>
</file>

<file path=xl/comments1.xml><?xml version="1.0" encoding="utf-8"?>
<comments xmlns="http://schemas.openxmlformats.org/spreadsheetml/2006/main">
  <authors>
    <author>Windows XP</author>
  </authors>
  <commentList>
    <comment ref="A2" authorId="0">
      <text>
        <r>
          <rPr>
            <b/>
            <sz val="8"/>
            <color indexed="81"/>
            <rFont val="Tahoma"/>
            <family val="2"/>
          </rPr>
          <t>módulo de elasticidad</t>
        </r>
      </text>
    </comment>
    <comment ref="A3" authorId="0">
      <text>
        <r>
          <rPr>
            <b/>
            <sz val="8"/>
            <color indexed="81"/>
            <rFont val="Tahoma"/>
            <family val="2"/>
          </rPr>
          <t>coeficiente de Poisson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rigidez a la flexión de la placa</t>
        </r>
      </text>
    </comment>
    <comment ref="A7" authorId="0">
      <text>
        <r>
          <rPr>
            <b/>
            <sz val="8"/>
            <color indexed="81"/>
            <rFont val="Tahoma"/>
            <family val="2"/>
          </rPr>
          <t>espesor</t>
        </r>
      </text>
    </comment>
    <comment ref="A8" authorId="0">
      <text>
        <r>
          <rPr>
            <b/>
            <sz val="8"/>
            <color indexed="81"/>
            <rFont val="Tahoma"/>
            <family val="2"/>
          </rPr>
          <t>a,b son el ancho en la dirección x y en la dirección y de la placa</t>
        </r>
      </text>
    </comment>
    <comment ref="A13" authorId="0">
      <text>
        <r>
          <rPr>
            <b/>
            <sz val="8"/>
            <color indexed="81"/>
            <rFont val="Tahoma"/>
            <family val="2"/>
          </rPr>
          <t>u,v son el ancho en la dirección x y en la dirección y de la carga distribuída</t>
        </r>
      </text>
    </comment>
    <comment ref="A15" authorId="0">
      <text>
        <r>
          <rPr>
            <b/>
            <sz val="8"/>
            <color indexed="81"/>
            <rFont val="Tahoma"/>
            <family val="2"/>
          </rPr>
          <t>(xi,eta) representa el centro de la carga distribuída</t>
        </r>
      </text>
    </comment>
  </commentList>
</comments>
</file>

<file path=xl/sharedStrings.xml><?xml version="1.0" encoding="utf-8"?>
<sst xmlns="http://schemas.openxmlformats.org/spreadsheetml/2006/main" count="53" uniqueCount="34">
  <si>
    <t>Material</t>
  </si>
  <si>
    <t>E =</t>
  </si>
  <si>
    <t xml:space="preserve">D = </t>
  </si>
  <si>
    <t xml:space="preserve">Losa = </t>
  </si>
  <si>
    <t>a  =</t>
  </si>
  <si>
    <t xml:space="preserve">b = </t>
  </si>
  <si>
    <t xml:space="preserve">u = </t>
  </si>
  <si>
    <t xml:space="preserve">v = </t>
  </si>
  <si>
    <t>xi =</t>
  </si>
  <si>
    <t>eta =</t>
  </si>
  <si>
    <t>Carga</t>
  </si>
  <si>
    <t>nu =</t>
  </si>
  <si>
    <t>t =</t>
  </si>
  <si>
    <t>p =</t>
  </si>
  <si>
    <t>m</t>
  </si>
  <si>
    <t xml:space="preserve">delta = </t>
  </si>
  <si>
    <t>Eje y</t>
  </si>
  <si>
    <t>Eje X</t>
  </si>
  <si>
    <t>Momento Mx</t>
  </si>
  <si>
    <t>Momento My</t>
  </si>
  <si>
    <t>Momento Mxy</t>
  </si>
  <si>
    <t>Pa</t>
  </si>
  <si>
    <t>N/m^2</t>
  </si>
  <si>
    <t>Para hacer las iteraciones</t>
  </si>
  <si>
    <t>más rápido en vez de utilizar</t>
  </si>
  <si>
    <t>el botón F9 utilice el botón</t>
  </si>
  <si>
    <t>Hacer iteraciones:</t>
  </si>
  <si>
    <t>El código de dicho botón se puede ver</t>
  </si>
  <si>
    <r>
      <t xml:space="preserve">presionando </t>
    </r>
    <r>
      <rPr>
        <b/>
        <sz val="11"/>
        <color rgb="FFFF0000"/>
        <rFont val="Calibri"/>
        <family val="2"/>
      </rPr>
      <t>Alt+F11</t>
    </r>
  </si>
  <si>
    <t>Fuerza cortante Qx</t>
  </si>
  <si>
    <t>Fuerza cortante Qy</t>
  </si>
  <si>
    <t>Laplaciano de w</t>
  </si>
  <si>
    <t>p = Carga (N/m^2)</t>
  </si>
  <si>
    <t>Deformación vertical w calculada por diferencias finitas (losa simplemente apoyada en x=0, y=0, y=4 y borde libre en x=2)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</si>
</sst>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8"/>
      <color indexed="81"/>
      <name val="Tahoma"/>
      <family val="2"/>
    </font>
    <font>
      <b/>
      <sz val="11"/>
      <color rgb="FFFF0000"/>
      <name val="Calibri"/>
      <family val="2"/>
    </font>
    <font>
      <b/>
      <sz val="16"/>
      <color rgb="FF000000"/>
      <name val="Calibri"/>
      <family val="2"/>
    </font>
    <font>
      <b/>
      <u/>
      <sz val="14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164" fontId="0" fillId="2" borderId="0" xfId="0" applyNumberForma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6" borderId="0" xfId="0" applyFill="1"/>
    <xf numFmtId="11" fontId="0" fillId="0" borderId="0" xfId="0" applyNumberFormat="1"/>
    <xf numFmtId="0" fontId="0" fillId="4" borderId="0" xfId="0" applyFill="1" applyAlignment="1">
      <alignment shrinkToFit="1"/>
    </xf>
    <xf numFmtId="0" fontId="0" fillId="3" borderId="0" xfId="0" applyFill="1" applyAlignment="1">
      <alignment shrinkToFit="1"/>
    </xf>
    <xf numFmtId="0" fontId="0" fillId="6" borderId="0" xfId="0" applyFill="1" applyAlignment="1">
      <alignment shrinkToFit="1"/>
    </xf>
    <xf numFmtId="0" fontId="0" fillId="7" borderId="0" xfId="0" applyFill="1"/>
    <xf numFmtId="11" fontId="0" fillId="5" borderId="0" xfId="0" applyNumberFormat="1" applyFill="1" applyAlignment="1">
      <alignment shrinkToFit="1"/>
    </xf>
    <xf numFmtId="0" fontId="5" fillId="0" borderId="0" xfId="0" applyFont="1"/>
    <xf numFmtId="0" fontId="0" fillId="8" borderId="0" xfId="0" applyFill="1" applyAlignment="1">
      <alignment shrinkToFit="1"/>
    </xf>
    <xf numFmtId="0" fontId="0" fillId="9" borderId="0" xfId="0" applyFill="1"/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Hacer iteraciones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D398"/>
  <sheetViews>
    <sheetView tabSelected="1" topLeftCell="A41" zoomScaleNormal="100" workbookViewId="0">
      <selection activeCell="E53" sqref="E53"/>
    </sheetView>
  </sheetViews>
  <sheetFormatPr baseColWidth="10" defaultRowHeight="15" x14ac:dyDescent="0.25"/>
  <cols>
    <col min="2" max="2" width="11.85546875" bestFit="1" customWidth="1"/>
    <col min="4" max="31" width="6.28515625" customWidth="1"/>
  </cols>
  <sheetData>
    <row r="1" spans="1:28" ht="18.75" x14ac:dyDescent="0.3">
      <c r="A1" s="12" t="s">
        <v>0</v>
      </c>
    </row>
    <row r="2" spans="1:28" ht="18.75" x14ac:dyDescent="0.3">
      <c r="A2" t="s">
        <v>1</v>
      </c>
      <c r="B2" s="6">
        <v>210000000000</v>
      </c>
      <c r="C2" t="s">
        <v>21</v>
      </c>
      <c r="E2" s="1" t="s">
        <v>32</v>
      </c>
    </row>
    <row r="3" spans="1:28" x14ac:dyDescent="0.25">
      <c r="A3" t="s">
        <v>11</v>
      </c>
      <c r="B3">
        <v>0.3</v>
      </c>
      <c r="H3" s="16" t="s">
        <v>17</v>
      </c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</row>
    <row r="4" spans="1:28" x14ac:dyDescent="0.25">
      <c r="A4" t="s">
        <v>2</v>
      </c>
      <c r="B4">
        <f xml:space="preserve"> (E*t^3)/(12*(1-nu^2))</f>
        <v>2403846.1538461545</v>
      </c>
      <c r="H4" s="2">
        <v>0</v>
      </c>
      <c r="I4" s="2">
        <f t="shared" ref="I4:AB4" si="0">+H4+delta</f>
        <v>0.1</v>
      </c>
      <c r="J4" s="2">
        <f t="shared" si="0"/>
        <v>0.2</v>
      </c>
      <c r="K4" s="2">
        <f t="shared" si="0"/>
        <v>0.30000000000000004</v>
      </c>
      <c r="L4" s="2">
        <f t="shared" si="0"/>
        <v>0.4</v>
      </c>
      <c r="M4" s="2">
        <f t="shared" si="0"/>
        <v>0.5</v>
      </c>
      <c r="N4" s="2">
        <f t="shared" si="0"/>
        <v>0.6</v>
      </c>
      <c r="O4" s="2">
        <f t="shared" si="0"/>
        <v>0.7</v>
      </c>
      <c r="P4" s="2">
        <f t="shared" si="0"/>
        <v>0.79999999999999993</v>
      </c>
      <c r="Q4" s="2">
        <f t="shared" si="0"/>
        <v>0.89999999999999991</v>
      </c>
      <c r="R4" s="2">
        <f t="shared" si="0"/>
        <v>0.99999999999999989</v>
      </c>
      <c r="S4" s="2">
        <f t="shared" si="0"/>
        <v>1.0999999999999999</v>
      </c>
      <c r="T4" s="2">
        <f t="shared" si="0"/>
        <v>1.2</v>
      </c>
      <c r="U4" s="2">
        <f t="shared" si="0"/>
        <v>1.3</v>
      </c>
      <c r="V4" s="2">
        <f t="shared" si="0"/>
        <v>1.4000000000000001</v>
      </c>
      <c r="W4" s="2">
        <f t="shared" si="0"/>
        <v>1.5000000000000002</v>
      </c>
      <c r="X4" s="2">
        <f t="shared" si="0"/>
        <v>1.6000000000000003</v>
      </c>
      <c r="Y4" s="2">
        <f t="shared" si="0"/>
        <v>1.7000000000000004</v>
      </c>
      <c r="Z4" s="2">
        <f t="shared" si="0"/>
        <v>1.8000000000000005</v>
      </c>
      <c r="AA4" s="2">
        <f t="shared" si="0"/>
        <v>1.9000000000000006</v>
      </c>
      <c r="AB4" s="2">
        <f t="shared" si="0"/>
        <v>2.0000000000000004</v>
      </c>
    </row>
    <row r="5" spans="1:28" ht="15" customHeight="1" x14ac:dyDescent="0.25"/>
    <row r="6" spans="1:28" ht="18.75" x14ac:dyDescent="0.3">
      <c r="A6" s="1" t="s">
        <v>3</v>
      </c>
    </row>
    <row r="7" spans="1:28" ht="20.25" customHeight="1" x14ac:dyDescent="0.25">
      <c r="A7" t="s">
        <v>12</v>
      </c>
      <c r="B7">
        <v>0.05</v>
      </c>
      <c r="C7" t="s">
        <v>14</v>
      </c>
      <c r="D7" s="15" t="s">
        <v>16</v>
      </c>
      <c r="E7" s="2">
        <f t="shared" ref="E7:E46" si="1">E8+delta</f>
        <v>4.0000000000000018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</row>
    <row r="8" spans="1:28" x14ac:dyDescent="0.25">
      <c r="A8" t="s">
        <v>4</v>
      </c>
      <c r="B8">
        <v>2</v>
      </c>
      <c r="C8" t="s">
        <v>14</v>
      </c>
      <c r="D8" s="15"/>
      <c r="E8" s="2">
        <f t="shared" si="1"/>
        <v>3.9000000000000021</v>
      </c>
      <c r="H8" s="8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</v>
      </c>
      <c r="X8" s="7">
        <v>0</v>
      </c>
      <c r="Y8" s="7">
        <v>0</v>
      </c>
      <c r="Z8" s="7">
        <v>0</v>
      </c>
      <c r="AA8" s="7">
        <v>0</v>
      </c>
      <c r="AB8" s="8">
        <v>0</v>
      </c>
    </row>
    <row r="9" spans="1:28" x14ac:dyDescent="0.25">
      <c r="A9" t="s">
        <v>5</v>
      </c>
      <c r="B9">
        <v>4</v>
      </c>
      <c r="C9" t="s">
        <v>14</v>
      </c>
      <c r="D9" s="15"/>
      <c r="E9" s="2">
        <f t="shared" si="1"/>
        <v>3.800000000000002</v>
      </c>
      <c r="H9" s="8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v>0</v>
      </c>
      <c r="W9" s="7">
        <v>0</v>
      </c>
      <c r="X9" s="7">
        <v>0</v>
      </c>
      <c r="Y9" s="7">
        <v>0</v>
      </c>
      <c r="Z9" s="7">
        <v>0</v>
      </c>
      <c r="AA9" s="7">
        <v>0</v>
      </c>
      <c r="AB9" s="8">
        <v>0</v>
      </c>
    </row>
    <row r="10" spans="1:28" x14ac:dyDescent="0.25">
      <c r="D10" s="15"/>
      <c r="E10" s="2">
        <f t="shared" si="1"/>
        <v>3.700000000000002</v>
      </c>
      <c r="H10" s="8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8">
        <v>0</v>
      </c>
    </row>
    <row r="11" spans="1:28" ht="18.75" x14ac:dyDescent="0.3">
      <c r="A11" s="1" t="s">
        <v>10</v>
      </c>
      <c r="D11" s="15"/>
      <c r="E11" s="2">
        <f t="shared" si="1"/>
        <v>3.6000000000000019</v>
      </c>
      <c r="H11" s="8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8">
        <v>0</v>
      </c>
    </row>
    <row r="12" spans="1:28" x14ac:dyDescent="0.25">
      <c r="A12" t="s">
        <v>13</v>
      </c>
      <c r="B12">
        <v>-10000</v>
      </c>
      <c r="C12" t="s">
        <v>22</v>
      </c>
      <c r="D12" s="15"/>
      <c r="E12" s="2">
        <f t="shared" si="1"/>
        <v>3.5000000000000018</v>
      </c>
      <c r="H12" s="8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8">
        <v>0</v>
      </c>
    </row>
    <row r="13" spans="1:28" x14ac:dyDescent="0.25">
      <c r="A13" t="s">
        <v>6</v>
      </c>
      <c r="B13">
        <v>0.5</v>
      </c>
      <c r="C13" t="s">
        <v>14</v>
      </c>
      <c r="D13" s="15"/>
      <c r="E13" s="2">
        <f t="shared" si="1"/>
        <v>3.4000000000000017</v>
      </c>
      <c r="H13" s="8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0</v>
      </c>
      <c r="W13" s="7">
        <v>0</v>
      </c>
      <c r="X13" s="7">
        <v>0</v>
      </c>
      <c r="Y13" s="7">
        <v>0</v>
      </c>
      <c r="Z13" s="7">
        <v>0</v>
      </c>
      <c r="AA13" s="7">
        <v>0</v>
      </c>
      <c r="AB13" s="8">
        <v>0</v>
      </c>
    </row>
    <row r="14" spans="1:28" x14ac:dyDescent="0.25">
      <c r="A14" t="s">
        <v>7</v>
      </c>
      <c r="B14">
        <v>1</v>
      </c>
      <c r="C14" t="s">
        <v>14</v>
      </c>
      <c r="D14" s="15"/>
      <c r="E14" s="2">
        <f t="shared" si="1"/>
        <v>3.3000000000000016</v>
      </c>
      <c r="H14" s="8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R14" s="7">
        <v>0</v>
      </c>
      <c r="S14" s="7">
        <v>0</v>
      </c>
      <c r="T14" s="7">
        <v>0</v>
      </c>
      <c r="U14" s="7">
        <v>0</v>
      </c>
      <c r="V14" s="7">
        <v>0</v>
      </c>
      <c r="W14" s="7">
        <v>0</v>
      </c>
      <c r="X14" s="7">
        <v>0</v>
      </c>
      <c r="Y14" s="7">
        <v>0</v>
      </c>
      <c r="Z14" s="7">
        <v>0</v>
      </c>
      <c r="AA14" s="7">
        <v>0</v>
      </c>
      <c r="AB14" s="8">
        <v>0</v>
      </c>
    </row>
    <row r="15" spans="1:28" x14ac:dyDescent="0.25">
      <c r="A15" t="s">
        <v>8</v>
      </c>
      <c r="B15">
        <v>1.25</v>
      </c>
      <c r="C15" t="s">
        <v>14</v>
      </c>
      <c r="D15" s="15"/>
      <c r="E15" s="2">
        <f t="shared" si="1"/>
        <v>3.2000000000000015</v>
      </c>
      <c r="H15" s="8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8">
        <v>0</v>
      </c>
    </row>
    <row r="16" spans="1:28" x14ac:dyDescent="0.25">
      <c r="A16" t="s">
        <v>9</v>
      </c>
      <c r="B16">
        <v>1.5</v>
      </c>
      <c r="C16" t="s">
        <v>14</v>
      </c>
      <c r="D16" s="15"/>
      <c r="E16" s="2">
        <f t="shared" si="1"/>
        <v>3.1000000000000014</v>
      </c>
      <c r="H16" s="8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8">
        <v>0</v>
      </c>
    </row>
    <row r="17" spans="1:28" x14ac:dyDescent="0.25">
      <c r="D17" s="15"/>
      <c r="E17" s="2">
        <f t="shared" si="1"/>
        <v>3.0000000000000013</v>
      </c>
      <c r="H17" s="8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8">
        <v>0</v>
      </c>
    </row>
    <row r="18" spans="1:28" x14ac:dyDescent="0.25">
      <c r="A18" t="s">
        <v>15</v>
      </c>
      <c r="B18">
        <v>0.1</v>
      </c>
      <c r="C18" t="s">
        <v>14</v>
      </c>
      <c r="D18" s="15"/>
      <c r="E18" s="2">
        <f t="shared" si="1"/>
        <v>2.9000000000000012</v>
      </c>
      <c r="H18" s="8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8">
        <v>0</v>
      </c>
    </row>
    <row r="19" spans="1:28" x14ac:dyDescent="0.25">
      <c r="D19" s="15"/>
      <c r="E19" s="2">
        <f t="shared" si="1"/>
        <v>2.8000000000000012</v>
      </c>
      <c r="H19" s="8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8">
        <v>0</v>
      </c>
    </row>
    <row r="20" spans="1:28" x14ac:dyDescent="0.25">
      <c r="D20" s="15"/>
      <c r="E20" s="2">
        <f t="shared" si="1"/>
        <v>2.7000000000000011</v>
      </c>
      <c r="H20" s="8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8">
        <v>0</v>
      </c>
    </row>
    <row r="21" spans="1:28" x14ac:dyDescent="0.25">
      <c r="A21" t="s">
        <v>23</v>
      </c>
      <c r="D21" s="15"/>
      <c r="E21" s="2">
        <f t="shared" si="1"/>
        <v>2.600000000000001</v>
      </c>
      <c r="H21" s="8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8">
        <v>0</v>
      </c>
    </row>
    <row r="22" spans="1:28" x14ac:dyDescent="0.25">
      <c r="A22" t="s">
        <v>24</v>
      </c>
      <c r="D22" s="15"/>
      <c r="E22" s="2">
        <f t="shared" si="1"/>
        <v>2.5000000000000009</v>
      </c>
      <c r="H22" s="8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8">
        <v>0</v>
      </c>
    </row>
    <row r="23" spans="1:28" x14ac:dyDescent="0.25">
      <c r="A23" t="s">
        <v>25</v>
      </c>
      <c r="D23" s="15"/>
      <c r="E23" s="2">
        <f t="shared" si="1"/>
        <v>2.4000000000000008</v>
      </c>
      <c r="H23" s="8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8">
        <v>0</v>
      </c>
    </row>
    <row r="24" spans="1:28" x14ac:dyDescent="0.25">
      <c r="A24" t="s">
        <v>26</v>
      </c>
      <c r="D24" s="15"/>
      <c r="E24" s="2">
        <f t="shared" si="1"/>
        <v>2.3000000000000007</v>
      </c>
      <c r="H24" s="8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8">
        <v>0</v>
      </c>
    </row>
    <row r="25" spans="1:28" x14ac:dyDescent="0.25">
      <c r="D25" s="15"/>
      <c r="E25" s="2">
        <f t="shared" si="1"/>
        <v>2.2000000000000006</v>
      </c>
      <c r="H25" s="8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v>0</v>
      </c>
      <c r="W25" s="7">
        <v>0</v>
      </c>
      <c r="X25" s="7">
        <v>0</v>
      </c>
      <c r="Y25" s="7">
        <v>0</v>
      </c>
      <c r="Z25" s="7">
        <v>0</v>
      </c>
      <c r="AA25" s="7">
        <v>0</v>
      </c>
      <c r="AB25" s="8">
        <v>0</v>
      </c>
    </row>
    <row r="26" spans="1:28" x14ac:dyDescent="0.25">
      <c r="D26" s="15"/>
      <c r="E26" s="2">
        <f t="shared" si="1"/>
        <v>2.1000000000000005</v>
      </c>
      <c r="H26" s="8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8">
        <v>0</v>
      </c>
    </row>
    <row r="27" spans="1:28" x14ac:dyDescent="0.25">
      <c r="D27" s="15"/>
      <c r="E27" s="2">
        <f t="shared" si="1"/>
        <v>2.0000000000000004</v>
      </c>
      <c r="H27" s="8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9">
        <f>p/4</f>
        <v>-2500</v>
      </c>
      <c r="S27" s="9">
        <f>p/2</f>
        <v>-5000</v>
      </c>
      <c r="T27" s="9">
        <f>p/2</f>
        <v>-5000</v>
      </c>
      <c r="U27" s="9">
        <f>p/2</f>
        <v>-5000</v>
      </c>
      <c r="V27" s="9">
        <f>p/2</f>
        <v>-5000</v>
      </c>
      <c r="W27" s="9">
        <f>p/4</f>
        <v>-2500</v>
      </c>
      <c r="X27" s="7">
        <v>0</v>
      </c>
      <c r="Y27" s="7">
        <v>0</v>
      </c>
      <c r="Z27" s="7">
        <v>0</v>
      </c>
      <c r="AA27" s="7">
        <v>0</v>
      </c>
      <c r="AB27" s="8">
        <v>0</v>
      </c>
    </row>
    <row r="28" spans="1:28" x14ac:dyDescent="0.25">
      <c r="D28" s="15"/>
      <c r="E28" s="2">
        <f t="shared" si="1"/>
        <v>1.9000000000000006</v>
      </c>
      <c r="H28" s="8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9">
        <f t="shared" ref="R28:R36" si="2">p/2</f>
        <v>-5000</v>
      </c>
      <c r="S28" s="9">
        <f t="shared" ref="S28:V36" si="3">p</f>
        <v>-10000</v>
      </c>
      <c r="T28" s="9">
        <f t="shared" si="3"/>
        <v>-10000</v>
      </c>
      <c r="U28" s="9">
        <f t="shared" si="3"/>
        <v>-10000</v>
      </c>
      <c r="V28" s="9">
        <f t="shared" si="3"/>
        <v>-10000</v>
      </c>
      <c r="W28" s="9">
        <f t="shared" ref="W28:W36" si="4">p/2</f>
        <v>-5000</v>
      </c>
      <c r="X28" s="7">
        <v>0</v>
      </c>
      <c r="Y28" s="7">
        <v>0</v>
      </c>
      <c r="Z28" s="7">
        <v>0</v>
      </c>
      <c r="AA28" s="7">
        <v>0</v>
      </c>
      <c r="AB28" s="8">
        <v>0</v>
      </c>
    </row>
    <row r="29" spans="1:28" x14ac:dyDescent="0.25">
      <c r="D29" s="15"/>
      <c r="E29" s="2">
        <f t="shared" si="1"/>
        <v>1.8000000000000005</v>
      </c>
      <c r="H29" s="8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9">
        <f t="shared" si="2"/>
        <v>-5000</v>
      </c>
      <c r="S29" s="9">
        <f t="shared" si="3"/>
        <v>-10000</v>
      </c>
      <c r="T29" s="9">
        <f t="shared" si="3"/>
        <v>-10000</v>
      </c>
      <c r="U29" s="9">
        <f t="shared" si="3"/>
        <v>-10000</v>
      </c>
      <c r="V29" s="9">
        <f t="shared" si="3"/>
        <v>-10000</v>
      </c>
      <c r="W29" s="9">
        <f t="shared" si="4"/>
        <v>-5000</v>
      </c>
      <c r="X29" s="7">
        <v>0</v>
      </c>
      <c r="Y29" s="7">
        <v>0</v>
      </c>
      <c r="Z29" s="7">
        <v>0</v>
      </c>
      <c r="AA29" s="7">
        <v>0</v>
      </c>
      <c r="AB29" s="8">
        <v>0</v>
      </c>
    </row>
    <row r="30" spans="1:28" x14ac:dyDescent="0.25">
      <c r="A30" t="s">
        <v>27</v>
      </c>
      <c r="D30" s="15"/>
      <c r="E30" s="2">
        <f t="shared" si="1"/>
        <v>1.7000000000000004</v>
      </c>
      <c r="H30" s="8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9">
        <f t="shared" si="2"/>
        <v>-5000</v>
      </c>
      <c r="S30" s="9">
        <f t="shared" si="3"/>
        <v>-10000</v>
      </c>
      <c r="T30" s="9">
        <f t="shared" si="3"/>
        <v>-10000</v>
      </c>
      <c r="U30" s="9">
        <f t="shared" si="3"/>
        <v>-10000</v>
      </c>
      <c r="V30" s="9">
        <f t="shared" si="3"/>
        <v>-10000</v>
      </c>
      <c r="W30" s="9">
        <f t="shared" si="4"/>
        <v>-5000</v>
      </c>
      <c r="X30" s="7">
        <v>0</v>
      </c>
      <c r="Y30" s="7">
        <v>0</v>
      </c>
      <c r="Z30" s="7">
        <v>0</v>
      </c>
      <c r="AA30" s="7">
        <v>0</v>
      </c>
      <c r="AB30" s="8">
        <v>0</v>
      </c>
    </row>
    <row r="31" spans="1:28" x14ac:dyDescent="0.25">
      <c r="A31" t="s">
        <v>28</v>
      </c>
      <c r="D31" s="15"/>
      <c r="E31" s="2">
        <f t="shared" si="1"/>
        <v>1.6000000000000003</v>
      </c>
      <c r="H31" s="8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9">
        <f t="shared" si="2"/>
        <v>-5000</v>
      </c>
      <c r="S31" s="9">
        <f t="shared" si="3"/>
        <v>-10000</v>
      </c>
      <c r="T31" s="9">
        <f t="shared" si="3"/>
        <v>-10000</v>
      </c>
      <c r="U31" s="9">
        <f t="shared" si="3"/>
        <v>-10000</v>
      </c>
      <c r="V31" s="9">
        <f t="shared" si="3"/>
        <v>-10000</v>
      </c>
      <c r="W31" s="9">
        <f t="shared" si="4"/>
        <v>-5000</v>
      </c>
      <c r="X31" s="7">
        <v>0</v>
      </c>
      <c r="Y31" s="7">
        <v>0</v>
      </c>
      <c r="Z31" s="7">
        <v>0</v>
      </c>
      <c r="AA31" s="7">
        <v>0</v>
      </c>
      <c r="AB31" s="8">
        <v>0</v>
      </c>
    </row>
    <row r="32" spans="1:28" x14ac:dyDescent="0.25">
      <c r="D32" s="15"/>
      <c r="E32" s="2">
        <f t="shared" si="1"/>
        <v>1.5000000000000002</v>
      </c>
      <c r="H32" s="8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9">
        <f t="shared" si="2"/>
        <v>-5000</v>
      </c>
      <c r="S32" s="9">
        <f t="shared" si="3"/>
        <v>-10000</v>
      </c>
      <c r="T32" s="9">
        <f t="shared" si="3"/>
        <v>-10000</v>
      </c>
      <c r="U32" s="9">
        <f t="shared" si="3"/>
        <v>-10000</v>
      </c>
      <c r="V32" s="9">
        <f t="shared" si="3"/>
        <v>-10000</v>
      </c>
      <c r="W32" s="9">
        <f t="shared" si="4"/>
        <v>-5000</v>
      </c>
      <c r="X32" s="7">
        <v>0</v>
      </c>
      <c r="Y32" s="7">
        <v>0</v>
      </c>
      <c r="Z32" s="7">
        <v>0</v>
      </c>
      <c r="AA32" s="7">
        <v>0</v>
      </c>
      <c r="AB32" s="8">
        <v>0</v>
      </c>
    </row>
    <row r="33" spans="4:28" x14ac:dyDescent="0.25">
      <c r="D33" s="15"/>
      <c r="E33" s="2">
        <f t="shared" si="1"/>
        <v>1.4000000000000001</v>
      </c>
      <c r="H33" s="8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9">
        <f t="shared" si="2"/>
        <v>-5000</v>
      </c>
      <c r="S33" s="9">
        <f t="shared" si="3"/>
        <v>-10000</v>
      </c>
      <c r="T33" s="9">
        <f t="shared" si="3"/>
        <v>-10000</v>
      </c>
      <c r="U33" s="9">
        <f t="shared" si="3"/>
        <v>-10000</v>
      </c>
      <c r="V33" s="9">
        <f t="shared" si="3"/>
        <v>-10000</v>
      </c>
      <c r="W33" s="9">
        <f t="shared" si="4"/>
        <v>-5000</v>
      </c>
      <c r="X33" s="7">
        <v>0</v>
      </c>
      <c r="Y33" s="7">
        <v>0</v>
      </c>
      <c r="Z33" s="7">
        <v>0</v>
      </c>
      <c r="AA33" s="7">
        <v>0</v>
      </c>
      <c r="AB33" s="8">
        <v>0</v>
      </c>
    </row>
    <row r="34" spans="4:28" x14ac:dyDescent="0.25">
      <c r="D34" s="15"/>
      <c r="E34" s="2">
        <f t="shared" si="1"/>
        <v>1.3</v>
      </c>
      <c r="H34" s="8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9">
        <f t="shared" si="2"/>
        <v>-5000</v>
      </c>
      <c r="S34" s="9">
        <f t="shared" si="3"/>
        <v>-10000</v>
      </c>
      <c r="T34" s="9">
        <f t="shared" si="3"/>
        <v>-10000</v>
      </c>
      <c r="U34" s="9">
        <f t="shared" si="3"/>
        <v>-10000</v>
      </c>
      <c r="V34" s="9">
        <f t="shared" si="3"/>
        <v>-10000</v>
      </c>
      <c r="W34" s="9">
        <f t="shared" si="4"/>
        <v>-5000</v>
      </c>
      <c r="X34" s="7">
        <v>0</v>
      </c>
      <c r="Y34" s="7">
        <v>0</v>
      </c>
      <c r="Z34" s="7">
        <v>0</v>
      </c>
      <c r="AA34" s="7">
        <v>0</v>
      </c>
      <c r="AB34" s="8">
        <v>0</v>
      </c>
    </row>
    <row r="35" spans="4:28" x14ac:dyDescent="0.25">
      <c r="D35" s="15"/>
      <c r="E35" s="2">
        <f t="shared" si="1"/>
        <v>1.2</v>
      </c>
      <c r="H35" s="8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9">
        <f t="shared" si="2"/>
        <v>-5000</v>
      </c>
      <c r="S35" s="9">
        <f t="shared" si="3"/>
        <v>-10000</v>
      </c>
      <c r="T35" s="9">
        <f t="shared" si="3"/>
        <v>-10000</v>
      </c>
      <c r="U35" s="9">
        <f t="shared" si="3"/>
        <v>-10000</v>
      </c>
      <c r="V35" s="9">
        <f t="shared" si="3"/>
        <v>-10000</v>
      </c>
      <c r="W35" s="9">
        <f t="shared" si="4"/>
        <v>-5000</v>
      </c>
      <c r="X35" s="7">
        <v>0</v>
      </c>
      <c r="Y35" s="7">
        <v>0</v>
      </c>
      <c r="Z35" s="7">
        <v>0</v>
      </c>
      <c r="AA35" s="7">
        <v>0</v>
      </c>
      <c r="AB35" s="8">
        <v>0</v>
      </c>
    </row>
    <row r="36" spans="4:28" x14ac:dyDescent="0.25">
      <c r="D36" s="15"/>
      <c r="E36" s="2">
        <f t="shared" si="1"/>
        <v>1.0999999999999999</v>
      </c>
      <c r="H36" s="8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9">
        <f t="shared" si="2"/>
        <v>-5000</v>
      </c>
      <c r="S36" s="9">
        <f t="shared" si="3"/>
        <v>-10000</v>
      </c>
      <c r="T36" s="9">
        <f t="shared" si="3"/>
        <v>-10000</v>
      </c>
      <c r="U36" s="9">
        <f t="shared" si="3"/>
        <v>-10000</v>
      </c>
      <c r="V36" s="9">
        <f t="shared" si="3"/>
        <v>-10000</v>
      </c>
      <c r="W36" s="9">
        <f t="shared" si="4"/>
        <v>-5000</v>
      </c>
      <c r="X36" s="7">
        <v>0</v>
      </c>
      <c r="Y36" s="7">
        <v>0</v>
      </c>
      <c r="Z36" s="7">
        <v>0</v>
      </c>
      <c r="AA36" s="7">
        <v>0</v>
      </c>
      <c r="AB36" s="8">
        <v>0</v>
      </c>
    </row>
    <row r="37" spans="4:28" x14ac:dyDescent="0.25">
      <c r="D37" s="15"/>
      <c r="E37" s="2">
        <f t="shared" si="1"/>
        <v>0.99999999999999989</v>
      </c>
      <c r="H37" s="8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9">
        <f>p/4</f>
        <v>-2500</v>
      </c>
      <c r="S37" s="9">
        <f>p/2</f>
        <v>-5000</v>
      </c>
      <c r="T37" s="9">
        <f>p/2</f>
        <v>-5000</v>
      </c>
      <c r="U37" s="9">
        <f>p/2</f>
        <v>-5000</v>
      </c>
      <c r="V37" s="9">
        <f>p/2</f>
        <v>-5000</v>
      </c>
      <c r="W37" s="9">
        <f>p/4</f>
        <v>-2500</v>
      </c>
      <c r="X37" s="7">
        <v>0</v>
      </c>
      <c r="Y37" s="7">
        <v>0</v>
      </c>
      <c r="Z37" s="7">
        <v>0</v>
      </c>
      <c r="AA37" s="7">
        <v>0</v>
      </c>
      <c r="AB37" s="8">
        <v>0</v>
      </c>
    </row>
    <row r="38" spans="4:28" x14ac:dyDescent="0.25">
      <c r="D38" s="15"/>
      <c r="E38" s="2">
        <f t="shared" si="1"/>
        <v>0.89999999999999991</v>
      </c>
      <c r="H38" s="8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7">
        <v>0</v>
      </c>
      <c r="V38" s="7">
        <v>0</v>
      </c>
      <c r="W38" s="7">
        <v>0</v>
      </c>
      <c r="X38" s="7">
        <v>0</v>
      </c>
      <c r="Y38" s="7">
        <v>0</v>
      </c>
      <c r="Z38" s="7">
        <v>0</v>
      </c>
      <c r="AA38" s="7">
        <v>0</v>
      </c>
      <c r="AB38" s="8">
        <v>0</v>
      </c>
    </row>
    <row r="39" spans="4:28" x14ac:dyDescent="0.25">
      <c r="D39" s="15"/>
      <c r="E39" s="2">
        <f t="shared" si="1"/>
        <v>0.79999999999999993</v>
      </c>
      <c r="H39" s="8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v>0</v>
      </c>
      <c r="W39" s="7">
        <v>0</v>
      </c>
      <c r="X39" s="7">
        <v>0</v>
      </c>
      <c r="Y39" s="7">
        <v>0</v>
      </c>
      <c r="Z39" s="7">
        <v>0</v>
      </c>
      <c r="AA39" s="7">
        <v>0</v>
      </c>
      <c r="AB39" s="8">
        <v>0</v>
      </c>
    </row>
    <row r="40" spans="4:28" x14ac:dyDescent="0.25">
      <c r="D40" s="15"/>
      <c r="E40" s="2">
        <f t="shared" si="1"/>
        <v>0.7</v>
      </c>
      <c r="H40" s="8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7">
        <v>0</v>
      </c>
      <c r="U40" s="7">
        <v>0</v>
      </c>
      <c r="V40" s="7">
        <v>0</v>
      </c>
      <c r="W40" s="7">
        <v>0</v>
      </c>
      <c r="X40" s="7">
        <v>0</v>
      </c>
      <c r="Y40" s="7">
        <v>0</v>
      </c>
      <c r="Z40" s="7">
        <v>0</v>
      </c>
      <c r="AA40" s="7">
        <v>0</v>
      </c>
      <c r="AB40" s="8">
        <v>0</v>
      </c>
    </row>
    <row r="41" spans="4:28" x14ac:dyDescent="0.25">
      <c r="D41" s="15"/>
      <c r="E41" s="2">
        <f t="shared" si="1"/>
        <v>0.6</v>
      </c>
      <c r="H41" s="8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v>0</v>
      </c>
      <c r="W41" s="7">
        <v>0</v>
      </c>
      <c r="X41" s="7">
        <v>0</v>
      </c>
      <c r="Y41" s="7">
        <v>0</v>
      </c>
      <c r="Z41" s="7">
        <v>0</v>
      </c>
      <c r="AA41" s="7">
        <v>0</v>
      </c>
      <c r="AB41" s="8">
        <v>0</v>
      </c>
    </row>
    <row r="42" spans="4:28" x14ac:dyDescent="0.25">
      <c r="D42" s="15"/>
      <c r="E42" s="2">
        <f t="shared" si="1"/>
        <v>0.5</v>
      </c>
      <c r="H42" s="8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  <c r="R42" s="7">
        <v>0</v>
      </c>
      <c r="S42" s="7">
        <v>0</v>
      </c>
      <c r="T42" s="7">
        <v>0</v>
      </c>
      <c r="U42" s="7">
        <v>0</v>
      </c>
      <c r="V42" s="7">
        <v>0</v>
      </c>
      <c r="W42" s="7">
        <v>0</v>
      </c>
      <c r="X42" s="7">
        <v>0</v>
      </c>
      <c r="Y42" s="7">
        <v>0</v>
      </c>
      <c r="Z42" s="7">
        <v>0</v>
      </c>
      <c r="AA42" s="7">
        <v>0</v>
      </c>
      <c r="AB42" s="8">
        <v>0</v>
      </c>
    </row>
    <row r="43" spans="4:28" x14ac:dyDescent="0.25">
      <c r="D43" s="15"/>
      <c r="E43" s="2">
        <f t="shared" si="1"/>
        <v>0.4</v>
      </c>
      <c r="H43" s="8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8">
        <v>0</v>
      </c>
    </row>
    <row r="44" spans="4:28" x14ac:dyDescent="0.25">
      <c r="D44" s="15"/>
      <c r="E44" s="2">
        <f t="shared" si="1"/>
        <v>0.30000000000000004</v>
      </c>
      <c r="H44" s="8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  <c r="R44" s="7">
        <v>0</v>
      </c>
      <c r="S44" s="7">
        <v>0</v>
      </c>
      <c r="T44" s="7">
        <v>0</v>
      </c>
      <c r="U44" s="7">
        <v>0</v>
      </c>
      <c r="V44" s="7">
        <v>0</v>
      </c>
      <c r="W44" s="7">
        <v>0</v>
      </c>
      <c r="X44" s="7">
        <v>0</v>
      </c>
      <c r="Y44" s="7">
        <v>0</v>
      </c>
      <c r="Z44" s="7">
        <v>0</v>
      </c>
      <c r="AA44" s="7">
        <v>0</v>
      </c>
      <c r="AB44" s="8">
        <v>0</v>
      </c>
    </row>
    <row r="45" spans="4:28" x14ac:dyDescent="0.25">
      <c r="D45" s="15"/>
      <c r="E45" s="2">
        <f t="shared" si="1"/>
        <v>0.2</v>
      </c>
      <c r="H45" s="8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v>0</v>
      </c>
      <c r="W45" s="7">
        <v>0</v>
      </c>
      <c r="X45" s="7">
        <v>0</v>
      </c>
      <c r="Y45" s="7">
        <v>0</v>
      </c>
      <c r="Z45" s="7">
        <v>0</v>
      </c>
      <c r="AA45" s="7">
        <v>0</v>
      </c>
      <c r="AB45" s="8">
        <v>0</v>
      </c>
    </row>
    <row r="46" spans="4:28" x14ac:dyDescent="0.25">
      <c r="D46" s="15"/>
      <c r="E46" s="2">
        <f t="shared" si="1"/>
        <v>0.1</v>
      </c>
      <c r="H46" s="8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  <c r="R46" s="7">
        <v>0</v>
      </c>
      <c r="S46" s="7">
        <v>0</v>
      </c>
      <c r="T46" s="7">
        <v>0</v>
      </c>
      <c r="U46" s="7">
        <v>0</v>
      </c>
      <c r="V46" s="7">
        <v>0</v>
      </c>
      <c r="W46" s="7">
        <v>0</v>
      </c>
      <c r="X46" s="7">
        <v>0</v>
      </c>
      <c r="Y46" s="7">
        <v>0</v>
      </c>
      <c r="Z46" s="7">
        <v>0</v>
      </c>
      <c r="AA46" s="7">
        <v>0</v>
      </c>
      <c r="AB46" s="8">
        <v>0</v>
      </c>
    </row>
    <row r="47" spans="4:28" x14ac:dyDescent="0.25">
      <c r="D47" s="15"/>
      <c r="E47" s="2">
        <v>0</v>
      </c>
      <c r="H47" s="8">
        <v>0</v>
      </c>
      <c r="I47" s="8">
        <v>0</v>
      </c>
      <c r="J47" s="8">
        <v>0</v>
      </c>
      <c r="K47" s="8">
        <v>0</v>
      </c>
      <c r="L47" s="8">
        <v>0</v>
      </c>
      <c r="M47" s="8">
        <v>0</v>
      </c>
      <c r="N47" s="8">
        <v>0</v>
      </c>
      <c r="O47" s="8">
        <v>0</v>
      </c>
      <c r="P47" s="8">
        <v>0</v>
      </c>
      <c r="Q47" s="8">
        <v>0</v>
      </c>
      <c r="R47" s="8">
        <v>0</v>
      </c>
      <c r="S47" s="8">
        <v>0</v>
      </c>
      <c r="T47" s="8">
        <v>0</v>
      </c>
      <c r="U47" s="8">
        <v>0</v>
      </c>
      <c r="V47" s="8">
        <v>0</v>
      </c>
      <c r="W47" s="8">
        <v>0</v>
      </c>
      <c r="X47" s="8">
        <v>0</v>
      </c>
      <c r="Y47" s="8">
        <v>0</v>
      </c>
      <c r="Z47" s="8">
        <v>0</v>
      </c>
      <c r="AA47" s="8">
        <v>0</v>
      </c>
      <c r="AB47" s="8">
        <v>0</v>
      </c>
    </row>
    <row r="52" spans="4:30" ht="18.75" x14ac:dyDescent="0.3">
      <c r="E52" s="1" t="s">
        <v>33</v>
      </c>
    </row>
    <row r="53" spans="4:30" x14ac:dyDescent="0.25">
      <c r="H53" s="16" t="s">
        <v>17</v>
      </c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</row>
    <row r="54" spans="4:30" x14ac:dyDescent="0.25">
      <c r="H54" s="2">
        <v>0</v>
      </c>
      <c r="I54" s="2">
        <f t="shared" ref="I54:AB54" si="5">+H54+delta</f>
        <v>0.1</v>
      </c>
      <c r="J54" s="2">
        <f t="shared" si="5"/>
        <v>0.2</v>
      </c>
      <c r="K54" s="2">
        <f t="shared" si="5"/>
        <v>0.30000000000000004</v>
      </c>
      <c r="L54" s="2">
        <f t="shared" si="5"/>
        <v>0.4</v>
      </c>
      <c r="M54" s="2">
        <f t="shared" si="5"/>
        <v>0.5</v>
      </c>
      <c r="N54" s="2">
        <f t="shared" si="5"/>
        <v>0.6</v>
      </c>
      <c r="O54" s="2">
        <f t="shared" si="5"/>
        <v>0.7</v>
      </c>
      <c r="P54" s="2">
        <f t="shared" si="5"/>
        <v>0.79999999999999993</v>
      </c>
      <c r="Q54" s="2">
        <f t="shared" si="5"/>
        <v>0.89999999999999991</v>
      </c>
      <c r="R54" s="2">
        <f t="shared" si="5"/>
        <v>0.99999999999999989</v>
      </c>
      <c r="S54" s="2">
        <f t="shared" si="5"/>
        <v>1.0999999999999999</v>
      </c>
      <c r="T54" s="2">
        <f t="shared" si="5"/>
        <v>1.2</v>
      </c>
      <c r="U54" s="2">
        <f t="shared" si="5"/>
        <v>1.3</v>
      </c>
      <c r="V54" s="2">
        <f t="shared" si="5"/>
        <v>1.4000000000000001</v>
      </c>
      <c r="W54" s="2">
        <f t="shared" si="5"/>
        <v>1.5000000000000002</v>
      </c>
      <c r="X54" s="2">
        <f t="shared" si="5"/>
        <v>1.6000000000000003</v>
      </c>
      <c r="Y54" s="2">
        <f t="shared" si="5"/>
        <v>1.7000000000000004</v>
      </c>
      <c r="Z54" s="2">
        <f t="shared" si="5"/>
        <v>1.8000000000000005</v>
      </c>
      <c r="AA54" s="2">
        <f t="shared" si="5"/>
        <v>1.9000000000000006</v>
      </c>
      <c r="AB54" s="2">
        <f t="shared" si="5"/>
        <v>2.0000000000000004</v>
      </c>
    </row>
    <row r="56" spans="4:30" x14ac:dyDescent="0.25">
      <c r="H56" s="11">
        <f>-H58</f>
        <v>0</v>
      </c>
      <c r="I56" s="11">
        <f t="shared" ref="I56:AB56" ca="1" si="6">-I58</f>
        <v>2.9951565373647429E-6</v>
      </c>
      <c r="J56" s="11">
        <f t="shared" ca="1" si="6"/>
        <v>5.9833109173287543E-6</v>
      </c>
      <c r="K56" s="11">
        <f t="shared" ca="1" si="6"/>
        <v>8.9576175107383398E-6</v>
      </c>
      <c r="L56" s="11">
        <f t="shared" ca="1" si="6"/>
        <v>1.1911546591063733E-5</v>
      </c>
      <c r="M56" s="11">
        <f t="shared" ca="1" si="6"/>
        <v>1.4839048405699579E-5</v>
      </c>
      <c r="N56" s="11">
        <f t="shared" ca="1" si="6"/>
        <v>1.7734722715439638E-5</v>
      </c>
      <c r="O56" s="11">
        <f t="shared" ca="1" si="6"/>
        <v>2.0593992804884077E-5</v>
      </c>
      <c r="P56" s="11">
        <f t="shared" ca="1" si="6"/>
        <v>2.3413280939099164E-5</v>
      </c>
      <c r="Q56" s="11">
        <f t="shared" ca="1" si="6"/>
        <v>2.6190180198394074E-5</v>
      </c>
      <c r="R56" s="11">
        <f t="shared" ca="1" si="6"/>
        <v>2.8923615870614029E-5</v>
      </c>
      <c r="S56" s="11">
        <f t="shared" ca="1" si="6"/>
        <v>3.1613988430858487E-5</v>
      </c>
      <c r="T56" s="11">
        <f t="shared" ca="1" si="6"/>
        <v>3.4263289850833751E-5</v>
      </c>
      <c r="U56" s="11">
        <f t="shared" ca="1" si="6"/>
        <v>3.6875185694129603E-5</v>
      </c>
      <c r="V56" s="11">
        <f t="shared" ca="1" si="6"/>
        <v>3.9455057136926268E-5</v>
      </c>
      <c r="W56" s="11">
        <f t="shared" ca="1" si="6"/>
        <v>4.200999948077194E-5</v>
      </c>
      <c r="X56" s="11">
        <f t="shared" ca="1" si="6"/>
        <v>4.4548776506480895E-5</v>
      </c>
      <c r="Y56" s="11">
        <f t="shared" ca="1" si="6"/>
        <v>4.7081732681999631E-5</v>
      </c>
      <c r="Z56" s="11">
        <f t="shared" ca="1" si="6"/>
        <v>4.9620667332375736E-5</v>
      </c>
      <c r="AA56" s="11">
        <f t="shared" ca="1" si="6"/>
        <v>5.2178676090604367E-5</v>
      </c>
      <c r="AB56" s="11">
        <f t="shared" ca="1" si="6"/>
        <v>5.4769965169415443E-5</v>
      </c>
    </row>
    <row r="57" spans="4:30" x14ac:dyDescent="0.25">
      <c r="D57" s="15" t="s">
        <v>16</v>
      </c>
      <c r="E57" s="2">
        <f t="shared" ref="E57:E96" si="7">E58+delta</f>
        <v>4.0000000000000018</v>
      </c>
      <c r="G57" s="11">
        <f>-I57</f>
        <v>0</v>
      </c>
      <c r="H57" s="8">
        <v>0</v>
      </c>
      <c r="I57" s="8">
        <v>0</v>
      </c>
      <c r="J57" s="8">
        <v>0</v>
      </c>
      <c r="K57" s="8">
        <v>0</v>
      </c>
      <c r="L57" s="8">
        <v>0</v>
      </c>
      <c r="M57" s="8">
        <v>0</v>
      </c>
      <c r="N57" s="8">
        <v>0</v>
      </c>
      <c r="O57" s="8">
        <v>0</v>
      </c>
      <c r="P57" s="8">
        <v>0</v>
      </c>
      <c r="Q57" s="8">
        <v>0</v>
      </c>
      <c r="R57" s="8">
        <v>0</v>
      </c>
      <c r="S57" s="8">
        <v>0</v>
      </c>
      <c r="T57" s="8">
        <v>0</v>
      </c>
      <c r="U57" s="8">
        <v>0</v>
      </c>
      <c r="V57" s="8">
        <v>0</v>
      </c>
      <c r="W57" s="8">
        <v>0</v>
      </c>
      <c r="X57" s="8">
        <v>0</v>
      </c>
      <c r="Y57" s="8">
        <v>0</v>
      </c>
      <c r="Z57" s="8">
        <v>0</v>
      </c>
      <c r="AA57" s="8">
        <v>0</v>
      </c>
      <c r="AB57" s="8">
        <v>0</v>
      </c>
      <c r="AC57" s="13">
        <v>0</v>
      </c>
      <c r="AD57" s="14"/>
    </row>
    <row r="58" spans="4:30" x14ac:dyDescent="0.25">
      <c r="D58" s="15"/>
      <c r="E58" s="2">
        <f t="shared" si="7"/>
        <v>3.9000000000000021</v>
      </c>
      <c r="G58" s="11">
        <f t="shared" ref="G58:G97" ca="1" si="8">-I58</f>
        <v>2.9951565373647429E-6</v>
      </c>
      <c r="H58" s="8">
        <v>0</v>
      </c>
      <c r="I58" s="7">
        <f t="shared" ref="I58:I96" ca="1" si="9" xml:space="preserve"> -(D*G58+2*D*H57+D*I56+2*D*J57+D*K58-8*D*I59-8*D*H58-8*D*I57+2*D*J59+D*I60+2*D*H59-8*D*J58-delta^4*I8)/(20*D)</f>
        <v>-2.9951565567244043E-6</v>
      </c>
      <c r="J58" s="7">
        <f t="shared" ref="J58:J60" ca="1" si="10" xml:space="preserve"> -(D*H58+2*D*I57+D*J56+2*D*K57+D*L58-8*D*J59-8*D*I58-8*D*J57+2*D*K59+D*J60+2*D*I59-8*D*K58-delta^4*J8)/(20*D)</f>
        <v>-5.9833109560106907E-6</v>
      </c>
      <c r="K58" s="7">
        <f t="shared" ref="K58:K60" ca="1" si="11" xml:space="preserve"> -(D*I58+2*D*J57+D*K56+2*D*L57+D*M58-8*D*K59-8*D*J58-8*D*K57+2*D*L59+D*K60+2*D*J59-8*D*L58-delta^4*K8)/(20*D)</f>
        <v>-8.9576175686697792E-6</v>
      </c>
      <c r="L58" s="7">
        <f t="shared" ref="L58:L60" ca="1" si="12" xml:space="preserve"> -(D*J58+2*D*K57+D*L56+2*D*M57+D*N58-8*D*L59-8*D*K58-8*D*L57+2*D*M59+D*L60+2*D*K59-8*D*M58-delta^4*L8)/(20*D)</f>
        <v>-1.1911546668139032E-5</v>
      </c>
      <c r="M58" s="7">
        <f t="shared" ref="M58:M96" ca="1" si="13" xml:space="preserve"> -(D*K58+2*D*L57+D*M56+2*D*N57+D*O58-8*D*M59-8*D*L58-8*D*M57+2*D*N59+D*M60+2*D*L59-8*D*N58-delta^4*M8)/(20*D)</f>
        <v>-1.4839048501783481E-5</v>
      </c>
      <c r="N58" s="7">
        <f t="shared" ref="N58:N96" ca="1" si="14" xml:space="preserve"> -(D*L58+2*D*M57+D*N56+2*D*O57+D*P58-8*D*N59-8*D*M58-8*D*N57+2*D*O59+D*N60+2*D*M59-8*D*O58-delta^4*N8)/(20*D)</f>
        <v>-1.7734722830371259E-5</v>
      </c>
      <c r="O58" s="7">
        <f t="shared" ref="O58:O96" ca="1" si="15" xml:space="preserve"> -(D*M58+2*D*N57+D*O56+2*D*P57+D*Q58-8*D*O59-8*D*N58-8*D*O57+2*D*P59+D*O60+2*D*N59-8*D*P58-delta^4*O8)/(20*D)</f>
        <v>-2.0593992938481759E-5</v>
      </c>
      <c r="P58" s="7">
        <f t="shared" ref="P58:P96" ca="1" si="16" xml:space="preserve"> -(D*N58+2*D*O57+D*P56+2*D*Q57+D*R58-8*D*P59-8*D*O58-8*D*P57+2*D*Q59+D*P60+2*D*O59-8*D*Q58-delta^4*P8)/(20*D)</f>
        <v>-2.3413281091166095E-5</v>
      </c>
      <c r="Q58" s="7">
        <f t="shared" ref="Q58:Q96" ca="1" si="17" xml:space="preserve"> -(D*O58+2*D*P57+D*Q56+2*D*R57+D*S58-8*D*Q59-8*D*P58-8*D*Q57+2*D*R59+D*Q60+2*D*P59-8*D*R58-delta^4*Q8)/(20*D)</f>
        <v>-2.6190180368724908E-5</v>
      </c>
      <c r="R58" s="7">
        <f t="shared" ref="R58:R96" ca="1" si="18" xml:space="preserve"> -(D*P58+2*D*Q57+D*R56+2*D*S57+D*T58-8*D*R59-8*D*Q58-8*D*R57+2*D*S59+D*R60+2*D*Q59-8*D*S58-delta^4*R8)/(20*D)</f>
        <v>-2.892361605900242E-5</v>
      </c>
      <c r="S58" s="7">
        <f t="shared" ref="S58:S96" ca="1" si="19" xml:space="preserve"> -(D*Q58+2*D*R57+D*S56+2*D*T57+D*U58-8*D*S59-8*D*R58-8*D*S57+2*D*T59+D*S60+2*D*R59-8*D*T58-delta^4*S8)/(20*D)</f>
        <v>-3.1613988637105731E-5</v>
      </c>
      <c r="T58" s="7">
        <f t="shared" ref="T58:T96" ca="1" si="20" xml:space="preserve"> -(D*R58+2*D*S57+D*T56+2*D*U57+D*V58-8*D*T59-8*D*S58-8*D*T57+2*D*U59+D*T60+2*D*S59-8*D*U58-delta^4*T8)/(20*D)</f>
        <v>-3.4263290074758607E-5</v>
      </c>
      <c r="U58" s="7">
        <f t="shared" ref="U58:U96" ca="1" si="21" xml:space="preserve"> -(D*S58+2*D*T57+D*U56+2*D*V57+D*W58-8*D*U59-8*D*T58-8*D*U57+2*D*V59+D*U60+2*D*T59-8*D*V58-delta^4*U8)/(20*D)</f>
        <v>-3.6875185935579313E-5</v>
      </c>
      <c r="V58" s="7">
        <f t="shared" ref="V58:V96" ca="1" si="22" xml:space="preserve"> -(D*T58+2*D*U57+D*V56+2*D*W57+D*X58-8*D*V59-8*D*U58-8*D*V57+2*D*W59+D*V60+2*D*U59-8*D*W58-delta^4*V8)/(20*D)</f>
        <v>-3.9455057395789064E-5</v>
      </c>
      <c r="W58" s="7">
        <f t="shared" ref="W58:W96" ca="1" si="23" xml:space="preserve"> -(D*U58+2*D*V57+D*W56+2*D*X57+D*Y58-8*D*W59-8*D*V58-8*D*W57+2*D*X59+D*W60+2*D*V59-8*D*X58-delta^4*W8)/(20*D)</f>
        <v>-4.2009999756991153E-5</v>
      </c>
      <c r="X58" s="7">
        <f t="shared" ref="X58:X96" ca="1" si="24" xml:space="preserve"> -(D*V58+2*D*W57+D*X56+2*D*Y57+D*Z58-8*D*X59-8*D*W58-8*D*X57+2*D*Y59+D*X60+2*D*W59-8*D*Y58-delta^4*X8)/(20*D)</f>
        <v>-4.454877680007068E-5</v>
      </c>
      <c r="Y58" s="7">
        <f t="shared" ref="Y58:Y96" ca="1" si="25" xml:space="preserve"> -(D*W58+2*D*X57+D*Y56+2*D*Z57+D*AA58-8*D*Y59-8*D*X58-8*D*Y57+2*D*Z59+D*Y60+2*D*X59-8*D*Z58-delta^4*Y8)/(20*D)</f>
        <v>-4.7081732993062811E-5</v>
      </c>
      <c r="Z58" s="7">
        <f t="shared" ref="Z58:Z96" ca="1" si="26" xml:space="preserve"> -(D*X58+2*D*Y57+D*Z56+2*D*AA57+D*AB58-8*D*Z59-8*D*Y58-8*D*Z57+2*D*AA59+D*Z60+2*D*Y59-8*D*AA58-delta^4*Z8)/(20*D)</f>
        <v>-4.9620667661123859E-5</v>
      </c>
      <c r="AA58" s="7">
        <f t="shared" ref="AA58:AB96" ca="1" si="27" xml:space="preserve"> -(D*Y58+2*D*Z57+D*AA56+2*D*AB57+D*AC58-8*D*AA59-8*D*Z58-8*D*AA57+2*D*AB59+D*AA60+2*D*Z59-8*D*AB58-delta^4*AA8)/(20*D)</f>
        <v>-5.2178676437380204E-5</v>
      </c>
      <c r="AB58" s="7">
        <f t="shared" ca="1" si="27"/>
        <v>-5.4769965534718703E-5</v>
      </c>
      <c r="AC58" s="11">
        <f t="shared" ref="AC58:AC96" ca="1" si="28" xml:space="preserve"> (-nu*AB59)-AA58-nu*AB57+(2*nu+2)*AB58</f>
        <v>-5.7409643737133659E-5</v>
      </c>
      <c r="AD58" s="14">
        <f t="shared" ref="AD58:AD96" ca="1" si="29" xml:space="preserve"> Z58+(2-nu)*AA57+(nu-2)*AC57+(2*nu-6)*AA58+(nu-2)*AC59+(2-nu)*AA59+(6-2*nu)*AC58</f>
        <v>-6.0113495803606001E-5</v>
      </c>
    </row>
    <row r="59" spans="4:30" x14ac:dyDescent="0.25">
      <c r="D59" s="15"/>
      <c r="E59" s="2">
        <f t="shared" si="7"/>
        <v>3.800000000000002</v>
      </c>
      <c r="G59" s="11">
        <f t="shared" ca="1" si="8"/>
        <v>5.9840684244354595E-6</v>
      </c>
      <c r="H59" s="8">
        <v>0</v>
      </c>
      <c r="I59" s="7">
        <f t="shared" ca="1" si="9"/>
        <v>-5.9840684630331788E-6</v>
      </c>
      <c r="J59" s="7">
        <f t="shared" ca="1" si="10"/>
        <v>-1.1954110109227867E-5</v>
      </c>
      <c r="K59" s="7">
        <f t="shared" ca="1" si="11"/>
        <v>-1.7896408178855458E-5</v>
      </c>
      <c r="L59" s="7">
        <f t="shared" ca="1" si="12"/>
        <v>-2.3797872232360231E-5</v>
      </c>
      <c r="M59" s="7">
        <f t="shared" ca="1" si="13"/>
        <v>-2.9646364793401504E-5</v>
      </c>
      <c r="N59" s="7">
        <f t="shared" ca="1" si="14"/>
        <v>-3.5431040294759283E-5</v>
      </c>
      <c r="O59" s="7">
        <f t="shared" ca="1" si="15"/>
        <v>-4.1142694569777229E-5</v>
      </c>
      <c r="P59" s="7">
        <f t="shared" ca="1" si="16"/>
        <v>-4.6774118881558612E-5</v>
      </c>
      <c r="Q59" s="7">
        <f t="shared" ca="1" si="17"/>
        <v>-5.2320448159824898E-5</v>
      </c>
      <c r="R59" s="7">
        <f t="shared" ca="1" si="18"/>
        <v>-5.7779489364583277E-5</v>
      </c>
      <c r="S59" s="7">
        <f t="shared" ca="1" si="19"/>
        <v>-6.3152013386242169E-5</v>
      </c>
      <c r="T59" s="7">
        <f t="shared" ca="1" si="20"/>
        <v>-6.8441993194758605E-5</v>
      </c>
      <c r="U59" s="7">
        <f t="shared" ca="1" si="21"/>
        <v>-7.3656772391218531E-5</v>
      </c>
      <c r="V59" s="7">
        <f t="shared" ca="1" si="22"/>
        <v>-7.8807151847359183E-5</v>
      </c>
      <c r="W59" s="7">
        <f t="shared" ca="1" si="23"/>
        <v>-8.390738727024885E-5</v>
      </c>
      <c r="X59" s="7">
        <f t="shared" ca="1" si="24"/>
        <v>-8.8975096461662559E-5</v>
      </c>
      <c r="Y59" s="7">
        <f t="shared" ca="1" si="25"/>
        <v>-9.4031080719323689E-5</v>
      </c>
      <c r="Z59" s="7">
        <f t="shared" ca="1" si="26"/>
        <v>-9.9099069262109998E-5</v>
      </c>
      <c r="AA59" s="7">
        <f t="shared" ca="1" si="27"/>
        <v>-1.0420539805932969E-4</v>
      </c>
      <c r="AB59" s="7">
        <f t="shared" ca="1" si="27"/>
        <v>-1.0937863478082836E-4</v>
      </c>
      <c r="AC59" s="11">
        <f t="shared" ca="1" si="28"/>
        <v>-1.1464916006173921E-4</v>
      </c>
      <c r="AD59" s="14">
        <f t="shared" ca="1" si="29"/>
        <v>-1.2004871265237991E-4</v>
      </c>
    </row>
    <row r="60" spans="4:30" x14ac:dyDescent="0.25">
      <c r="D60" s="15"/>
      <c r="E60" s="2">
        <f t="shared" si="7"/>
        <v>3.700000000000002</v>
      </c>
      <c r="G60" s="11">
        <f t="shared" ca="1" si="8"/>
        <v>8.960379099402839E-6</v>
      </c>
      <c r="H60" s="8">
        <v>0</v>
      </c>
      <c r="I60" s="7">
        <f t="shared" ca="1" si="9"/>
        <v>-8.9603791569966935E-6</v>
      </c>
      <c r="J60" s="7">
        <f t="shared" ca="1" si="10"/>
        <v>-1.7899665142101515E-5</v>
      </c>
      <c r="K60" s="7">
        <f t="shared" ca="1" si="11"/>
        <v>-2.6797222009107059E-5</v>
      </c>
      <c r="L60" s="7">
        <f t="shared" ca="1" si="12"/>
        <v>-3.56333388802449E-5</v>
      </c>
      <c r="M60" s="7">
        <f t="shared" ca="1" si="13"/>
        <v>-4.4389715877023904E-5</v>
      </c>
      <c r="N60" s="7">
        <f t="shared" ca="1" si="14"/>
        <v>-5.3049972010458674E-5</v>
      </c>
      <c r="O60" s="7">
        <f t="shared" ca="1" si="15"/>
        <v>-6.1600173027652678E-5</v>
      </c>
      <c r="P60" s="7">
        <f t="shared" ca="1" si="16"/>
        <v>-7.0029370341920003E-5</v>
      </c>
      <c r="Q60" s="7">
        <f t="shared" ca="1" si="17"/>
        <v>-7.8330135082646543E-5</v>
      </c>
      <c r="R60" s="7">
        <f t="shared" ca="1" si="18"/>
        <v>-8.6499065027043388E-5</v>
      </c>
      <c r="S60" s="7">
        <f t="shared" ca="1" si="19"/>
        <v>-9.4537237843886994E-5</v>
      </c>
      <c r="T60" s="7">
        <f t="shared" ca="1" si="20"/>
        <v>-1.0245058269254478E-4</v>
      </c>
      <c r="U60" s="7">
        <f t="shared" ca="1" si="21"/>
        <v>-1.1025014439597912E-4</v>
      </c>
      <c r="V60" s="7">
        <f t="shared" ca="1" si="22"/>
        <v>-1.1795222013213142E-4</v>
      </c>
      <c r="W60" s="7">
        <f t="shared" ca="1" si="23"/>
        <v>-1.2557835710445565E-4</v>
      </c>
      <c r="X60" s="7">
        <f t="shared" ca="1" si="24"/>
        <v>-1.3315520953546492E-4</v>
      </c>
      <c r="Y60" s="7">
        <f t="shared" ca="1" si="25"/>
        <v>-1.4071426278531113E-4</v>
      </c>
      <c r="Z60" s="7">
        <f t="shared" ca="1" si="26"/>
        <v>-1.4829143970697064E-4</v>
      </c>
      <c r="AA60" s="7">
        <f t="shared" ca="1" si="27"/>
        <v>-1.5592660829853098E-4</v>
      </c>
      <c r="AB60" s="7">
        <f t="shared" ca="1" si="27"/>
        <v>-1.6366300991565611E-4</v>
      </c>
      <c r="AC60" s="11">
        <f t="shared" ca="1" si="28"/>
        <v>-1.7154662430089111E-4</v>
      </c>
      <c r="AD60" s="14">
        <f t="shared" ca="1" si="29"/>
        <v>-1.7962548279613596E-4</v>
      </c>
    </row>
    <row r="61" spans="4:30" x14ac:dyDescent="0.25">
      <c r="D61" s="15"/>
      <c r="E61" s="2">
        <f t="shared" si="7"/>
        <v>3.6000000000000019</v>
      </c>
      <c r="G61" s="11">
        <f t="shared" ca="1" si="8"/>
        <v>1.1917504640217664E-5</v>
      </c>
      <c r="H61" s="8">
        <v>0</v>
      </c>
      <c r="I61" s="7">
        <f t="shared" ca="1" si="9"/>
        <v>-1.1917504716447236E-5</v>
      </c>
      <c r="J61" s="7">
        <f t="shared" ref="J61:J96" ca="1" si="30" xml:space="preserve"> -(D*H61+2*D*I60+D*J59+2*D*K60+D*L61-8*D*J62-8*D*I61-8*D*J60+2*D*K62+D*J63+2*D*I62-8*D*K61-delta^4*J11)/(20*D)</f>
        <v>-2.3806795841340764E-5</v>
      </c>
      <c r="K61" s="7">
        <f t="shared" ref="K61:K96" ca="1" si="31" xml:space="preserve"> -(D*I61+2*D*J60+D*K59+2*D*L60+D*M61-8*D*K62-8*D*J61-8*D*K60+2*D*L62+D*K63+2*D*J62-8*D*L61-delta^4*K11)/(20*D)</f>
        <v>-3.5640253728724484E-5</v>
      </c>
      <c r="L61" s="7">
        <f t="shared" ref="L61:L96" ca="1" si="32" xml:space="preserve"> -(D*J61+2*D*K60+D*L59+2*D*M60+D*N61-8*D*L62-8*D*K61-8*D*L60+2*D*M62+D*L63+2*D*K62-8*D*M61-delta^4*L11)/(20*D)</f>
        <v>-4.7391463282898651E-5</v>
      </c>
      <c r="M61" s="7">
        <f t="shared" ca="1" si="13"/>
        <v>-5.9035853519551673E-5</v>
      </c>
      <c r="N61" s="7">
        <f t="shared" ca="1" si="14"/>
        <v>-7.0551373189217683E-5</v>
      </c>
      <c r="O61" s="7">
        <f t="shared" ca="1" si="15"/>
        <v>-8.1919201092271537E-5</v>
      </c>
      <c r="P61" s="7">
        <f t="shared" ca="1" si="16"/>
        <v>-9.312447962282408E-5</v>
      </c>
      <c r="Q61" s="7">
        <f t="shared" ca="1" si="17"/>
        <v>-1.0415704943833441E-4</v>
      </c>
      <c r="R61" s="7">
        <f t="shared" ca="1" si="18"/>
        <v>-1.1501215347986641E-4</v>
      </c>
      <c r="S61" s="7">
        <f t="shared" ca="1" si="19"/>
        <v>-1.2569107160665831E-4</v>
      </c>
      <c r="T61" s="7">
        <f t="shared" ca="1" si="20"/>
        <v>-1.3620164450707685E-4</v>
      </c>
      <c r="U61" s="7">
        <f t="shared" ca="1" si="21"/>
        <v>-1.4655864841685629E-4</v>
      </c>
      <c r="V61" s="7">
        <f t="shared" ca="1" si="22"/>
        <v>-1.56783990643723E-4</v>
      </c>
      <c r="W61" s="7">
        <f t="shared" ca="1" si="23"/>
        <v>-1.6690670885955678E-4</v>
      </c>
      <c r="X61" s="7">
        <f t="shared" ca="1" si="24"/>
        <v>-1.7696277233552094E-4</v>
      </c>
      <c r="Y61" s="7">
        <f t="shared" ca="1" si="25"/>
        <v>-1.8699469786626709E-4</v>
      </c>
      <c r="Z61" s="7">
        <f t="shared" ca="1" si="26"/>
        <v>-1.9705100424249888E-4</v>
      </c>
      <c r="AA61" s="7">
        <f t="shared" ca="1" si="27"/>
        <v>-2.0718553480817176E-4</v>
      </c>
      <c r="AB61" s="7">
        <f t="shared" ca="1" si="27"/>
        <v>-2.1745667726185748E-4</v>
      </c>
      <c r="AC61" s="11">
        <f t="shared" ca="1" si="28"/>
        <v>-2.2792650432115757E-4</v>
      </c>
      <c r="AD61" s="14">
        <f t="shared" ca="1" si="29"/>
        <v>-2.3865985031975017E-4</v>
      </c>
    </row>
    <row r="62" spans="4:30" x14ac:dyDescent="0.25">
      <c r="D62" s="15"/>
      <c r="E62" s="2">
        <f t="shared" si="7"/>
        <v>3.5000000000000018</v>
      </c>
      <c r="G62" s="11">
        <f t="shared" ca="1" si="8"/>
        <v>1.4848511011673632E-5</v>
      </c>
      <c r="H62" s="8">
        <v>0</v>
      </c>
      <c r="I62" s="7">
        <f t="shared" ca="1" si="9"/>
        <v>-1.48485111060625E-5</v>
      </c>
      <c r="J62" s="7">
        <f t="shared" ca="1" si="30"/>
        <v>-2.9661632510300557E-5</v>
      </c>
      <c r="K62" s="7">
        <f t="shared" ca="1" si="31"/>
        <v>-4.4404689543596169E-5</v>
      </c>
      <c r="L62" s="7">
        <f t="shared" ca="1" si="32"/>
        <v>-5.9044462560385942E-5</v>
      </c>
      <c r="M62" s="7">
        <f t="shared" ca="1" si="13"/>
        <v>-7.3549971167740285E-5</v>
      </c>
      <c r="N62" s="7">
        <f t="shared" ca="1" si="14"/>
        <v>-8.7893314919068301E-5</v>
      </c>
      <c r="O62" s="7">
        <f t="shared" ca="1" si="15"/>
        <v>-1.0205057112071413E-4</v>
      </c>
      <c r="P62" s="7">
        <f t="shared" ca="1" si="16"/>
        <v>-1.1600273628132136E-4</v>
      </c>
      <c r="Q62" s="7">
        <f t="shared" ca="1" si="17"/>
        <v>-1.2973668242221447E-4</v>
      </c>
      <c r="R62" s="7">
        <f t="shared" ca="1" si="18"/>
        <v>-1.4324608505874708E-4</v>
      </c>
      <c r="S62" s="7">
        <f t="shared" ca="1" si="19"/>
        <v>-1.5653226875854298E-4</v>
      </c>
      <c r="T62" s="7">
        <f t="shared" ca="1" si="20"/>
        <v>-1.6960491143420714E-4</v>
      </c>
      <c r="U62" s="7">
        <f t="shared" ca="1" si="21"/>
        <v>-1.824825519069922E-4</v>
      </c>
      <c r="V62" s="7">
        <f t="shared" ca="1" si="22"/>
        <v>-1.9519285727393558E-4</v>
      </c>
      <c r="W62" s="7">
        <f t="shared" ca="1" si="23"/>
        <v>-2.0777262570965377E-4</v>
      </c>
      <c r="X62" s="7">
        <f t="shared" ca="1" si="24"/>
        <v>-2.2026752309924397E-4</v>
      </c>
      <c r="Y62" s="7">
        <f t="shared" ca="1" si="25"/>
        <v>-2.3273157374482947E-4</v>
      </c>
      <c r="Z62" s="7">
        <f t="shared" ca="1" si="26"/>
        <v>-2.4522644181102312E-4</v>
      </c>
      <c r="AA62" s="7">
        <f t="shared" ca="1" si="27"/>
        <v>-2.5782054801490843E-4</v>
      </c>
      <c r="AB62" s="7">
        <f t="shared" ca="1" si="27"/>
        <v>-2.7058806437041323E-4</v>
      </c>
      <c r="AC62" s="11">
        <f t="shared" ca="1" si="28"/>
        <v>-2.8360782001585509E-4</v>
      </c>
      <c r="AD62" s="14">
        <f t="shared" ca="1" si="29"/>
        <v>-2.9696213670557092E-4</v>
      </c>
    </row>
    <row r="63" spans="4:30" x14ac:dyDescent="0.25">
      <c r="D63" s="15"/>
      <c r="E63" s="2">
        <f t="shared" si="7"/>
        <v>3.4000000000000017</v>
      </c>
      <c r="G63" s="11">
        <f t="shared" ca="1" si="8"/>
        <v>1.7745980281603152E-5</v>
      </c>
      <c r="H63" s="8">
        <v>0</v>
      </c>
      <c r="I63" s="7">
        <f t="shared" ca="1" si="9"/>
        <v>-1.7745980393562137E-5</v>
      </c>
      <c r="J63" s="7">
        <f t="shared" ca="1" si="30"/>
        <v>-3.5449352877359446E-5</v>
      </c>
      <c r="K63" s="7">
        <f t="shared" ca="1" si="31"/>
        <v>-5.3068323394768905E-5</v>
      </c>
      <c r="L63" s="7">
        <f t="shared" ca="1" si="32"/>
        <v>-7.0562761762576689E-5</v>
      </c>
      <c r="M63" s="7">
        <f t="shared" ca="1" si="13"/>
        <v>-8.7895116975200046E-5</v>
      </c>
      <c r="N63" s="7">
        <f t="shared" ca="1" si="14"/>
        <v>-1.0503141777156209E-4</v>
      </c>
      <c r="O63" s="7">
        <f t="shared" ca="1" si="15"/>
        <v>-1.2194236325038888E-4</v>
      </c>
      <c r="P63" s="7">
        <f t="shared" ca="1" si="16"/>
        <v>-1.3860448920526017E-4</v>
      </c>
      <c r="Q63" s="7">
        <f t="shared" ca="1" si="17"/>
        <v>-1.5500137435588493E-4</v>
      </c>
      <c r="R63" s="7">
        <f t="shared" ca="1" si="18"/>
        <v>-1.7112482953822493E-4</v>
      </c>
      <c r="S63" s="7">
        <f t="shared" ca="1" si="19"/>
        <v>-1.8697599598095882E-4</v>
      </c>
      <c r="T63" s="7">
        <f t="shared" ca="1" si="20"/>
        <v>-2.0256627027136806E-4</v>
      </c>
      <c r="U63" s="7">
        <f t="shared" ca="1" si="21"/>
        <v>-2.1791797698967382E-4</v>
      </c>
      <c r="V63" s="7">
        <f t="shared" ca="1" si="22"/>
        <v>-2.3306472656425332E-4</v>
      </c>
      <c r="W63" s="7">
        <f t="shared" ca="1" si="23"/>
        <v>-2.4805142370793495E-4</v>
      </c>
      <c r="X63" s="7">
        <f t="shared" ca="1" si="24"/>
        <v>-2.6293392560637835E-4</v>
      </c>
      <c r="Y63" s="7">
        <f t="shared" ca="1" si="25"/>
        <v>-2.7777838159163167E-4</v>
      </c>
      <c r="Z63" s="7">
        <f t="shared" ca="1" si="26"/>
        <v>-2.9266031015071184E-4</v>
      </c>
      <c r="AA63" s="7">
        <f t="shared" ca="1" si="27"/>
        <v>-3.0766347977819559E-4</v>
      </c>
      <c r="AB63" s="7">
        <f t="shared" ca="1" si="27"/>
        <v>-3.2287865595846476E-4</v>
      </c>
      <c r="AC63" s="11">
        <f t="shared" ca="1" si="28"/>
        <v>-3.3840225984256979E-4</v>
      </c>
      <c r="AD63" s="14">
        <f t="shared" ca="1" si="29"/>
        <v>-3.543349603323657E-4</v>
      </c>
    </row>
    <row r="64" spans="4:30" x14ac:dyDescent="0.25">
      <c r="D64" s="15"/>
      <c r="E64" s="2">
        <f t="shared" si="7"/>
        <v>3.3000000000000016</v>
      </c>
      <c r="G64" s="11">
        <f t="shared" ca="1" si="8"/>
        <v>2.0601862040325032E-5</v>
      </c>
      <c r="H64" s="8">
        <v>0</v>
      </c>
      <c r="I64" s="7">
        <f t="shared" ca="1" si="9"/>
        <v>-2.060186216915607E-5</v>
      </c>
      <c r="J64" s="7">
        <f t="shared" ca="1" si="30"/>
        <v>-4.1153890049336849E-5</v>
      </c>
      <c r="K64" s="7">
        <f t="shared" ca="1" si="31"/>
        <v>-6.1607131376636439E-5</v>
      </c>
      <c r="L64" s="7">
        <f t="shared" ca="1" si="32"/>
        <v>-8.1914448841733192E-5</v>
      </c>
      <c r="M64" s="7">
        <f t="shared" ca="1" si="13"/>
        <v>-1.0203154646840143E-4</v>
      </c>
      <c r="N64" s="7">
        <f t="shared" ca="1" si="14"/>
        <v>-1.2191812072009388E-4</v>
      </c>
      <c r="O64" s="7">
        <f t="shared" ca="1" si="15"/>
        <v>-1.415391484302624E-4</v>
      </c>
      <c r="P64" s="7">
        <f t="shared" ca="1" si="16"/>
        <v>-1.6086629851488367E-4</v>
      </c>
      <c r="Q64" s="7">
        <f t="shared" ca="1" si="17"/>
        <v>-1.7987942482422905E-4</v>
      </c>
      <c r="R64" s="7">
        <f t="shared" ca="1" si="18"/>
        <v>-1.9856806685020689E-4</v>
      </c>
      <c r="S64" s="7">
        <f t="shared" ca="1" si="19"/>
        <v>-2.1693285874998633E-4</v>
      </c>
      <c r="T64" s="7">
        <f t="shared" ca="1" si="20"/>
        <v>-2.3498673200698038E-4</v>
      </c>
      <c r="U64" s="7">
        <f t="shared" ca="1" si="21"/>
        <v>-2.5275579921042659E-4</v>
      </c>
      <c r="V64" s="7">
        <f t="shared" ca="1" si="22"/>
        <v>-2.7027982889592868E-4</v>
      </c>
      <c r="W64" s="7">
        <f t="shared" ca="1" si="23"/>
        <v>-2.8761226179000219E-4</v>
      </c>
      <c r="X64" s="7">
        <f t="shared" ca="1" si="24"/>
        <v>-3.0481976914815447E-4</v>
      </c>
      <c r="Y64" s="7">
        <f t="shared" ca="1" si="25"/>
        <v>-3.2198140261323316E-4</v>
      </c>
      <c r="Z64" s="7">
        <f t="shared" ca="1" si="26"/>
        <v>-3.3918742057983394E-4</v>
      </c>
      <c r="AA64" s="7">
        <f t="shared" ca="1" si="27"/>
        <v>-3.5653789047567804E-4</v>
      </c>
      <c r="AB64" s="7">
        <f t="shared" ca="1" si="27"/>
        <v>-3.7414115763139967E-4</v>
      </c>
      <c r="AC64" s="11">
        <f t="shared" ca="1" si="28"/>
        <v>-3.9211224352931804E-4</v>
      </c>
      <c r="AD64" s="14">
        <f t="shared" ca="1" si="29"/>
        <v>-4.1057119759807374E-4</v>
      </c>
    </row>
    <row r="65" spans="4:30" x14ac:dyDescent="0.25">
      <c r="D65" s="15"/>
      <c r="E65" s="2">
        <f t="shared" si="7"/>
        <v>3.2000000000000015</v>
      </c>
      <c r="G65" s="11">
        <f t="shared" ca="1" si="8"/>
        <v>2.3407306430081404E-5</v>
      </c>
      <c r="H65" s="8">
        <v>0</v>
      </c>
      <c r="I65" s="7">
        <f t="shared" ca="1" si="9"/>
        <v>-2.340730657498206E-5</v>
      </c>
      <c r="J65" s="7">
        <f t="shared" ca="1" si="30"/>
        <v>-4.6757604266182521E-5</v>
      </c>
      <c r="K65" s="7">
        <f t="shared" ca="1" si="31"/>
        <v>-6.9994793444900515E-5</v>
      </c>
      <c r="L65" s="7">
        <f t="shared" ca="1" si="32"/>
        <v>-9.3064662623404119E-5</v>
      </c>
      <c r="M65" s="7">
        <f t="shared" ca="1" si="13"/>
        <v>-1.1591599722567753E-4</v>
      </c>
      <c r="N65" s="7">
        <f t="shared" ca="1" si="14"/>
        <v>-1.3850186545249149E-4</v>
      </c>
      <c r="O65" s="7">
        <f t="shared" ca="1" si="15"/>
        <v>-1.6078110531130964E-4</v>
      </c>
      <c r="P65" s="7">
        <f t="shared" ca="1" si="16"/>
        <v>-1.8272000488389135E-4</v>
      </c>
      <c r="Q65" s="7">
        <f t="shared" ca="1" si="17"/>
        <v>-2.0429412793679361E-4</v>
      </c>
      <c r="R65" s="7">
        <f t="shared" ca="1" si="18"/>
        <v>-2.2549019288105343E-4</v>
      </c>
      <c r="S65" s="7">
        <f t="shared" ca="1" si="19"/>
        <v>-2.4630787236088722E-4</v>
      </c>
      <c r="T65" s="7">
        <f t="shared" ca="1" si="20"/>
        <v>-2.667613540453388E-4</v>
      </c>
      <c r="U65" s="7">
        <f t="shared" ca="1" si="21"/>
        <v>-2.868805015025077E-4</v>
      </c>
      <c r="V65" s="7">
        <f t="shared" ca="1" si="22"/>
        <v>-3.0671148386356931E-4</v>
      </c>
      <c r="W65" s="7">
        <f t="shared" ca="1" si="23"/>
        <v>-3.2631680185887091E-4</v>
      </c>
      <c r="X65" s="7">
        <f t="shared" ca="1" si="24"/>
        <v>-3.4577471337550729E-4</v>
      </c>
      <c r="Y65" s="7">
        <f t="shared" ca="1" si="25"/>
        <v>-3.6517813530609263E-4</v>
      </c>
      <c r="Z65" s="7">
        <f t="shared" ca="1" si="26"/>
        <v>-3.8463315134946795E-4</v>
      </c>
      <c r="AA65" s="7">
        <f t="shared" ca="1" si="27"/>
        <v>-4.0425727490052388E-4</v>
      </c>
      <c r="AB65" s="7">
        <f t="shared" ca="1" si="27"/>
        <v>-4.241775995645964E-4</v>
      </c>
      <c r="AC65" s="11">
        <f t="shared" ca="1" si="28"/>
        <v>-4.4452892421936458E-4</v>
      </c>
      <c r="AD65" s="14">
        <f t="shared" ca="1" si="29"/>
        <v>-4.6545187812042357E-4</v>
      </c>
    </row>
    <row r="66" spans="4:30" x14ac:dyDescent="0.25">
      <c r="D66" s="15"/>
      <c r="E66" s="2">
        <f t="shared" si="7"/>
        <v>3.1000000000000014</v>
      </c>
      <c r="G66" s="11">
        <f t="shared" ca="1" si="8"/>
        <v>2.6152475776511816E-5</v>
      </c>
      <c r="H66" s="8">
        <v>0</v>
      </c>
      <c r="I66" s="7">
        <f t="shared" ca="1" si="9"/>
        <v>-2.615247593658048E-5</v>
      </c>
      <c r="J66" s="7">
        <f t="shared" ca="1" si="30"/>
        <v>-5.2240912148944621E-5</v>
      </c>
      <c r="K66" s="7">
        <f t="shared" ca="1" si="31"/>
        <v>-7.8202152352146586E-5</v>
      </c>
      <c r="L66" s="7">
        <f t="shared" ca="1" si="32"/>
        <v>-1.0397489957988896E-4</v>
      </c>
      <c r="M66" s="7">
        <f t="shared" ca="1" si="13"/>
        <v>-1.2950086722471205E-4</v>
      </c>
      <c r="N66" s="7">
        <f t="shared" ca="1" si="14"/>
        <v>-1.5472617418524627E-4</v>
      </c>
      <c r="O66" s="7">
        <f t="shared" ca="1" si="15"/>
        <v>-1.7960302686816272E-4</v>
      </c>
      <c r="P66" s="7">
        <f t="shared" ca="1" si="16"/>
        <v>-2.0409169177829919E-4</v>
      </c>
      <c r="Q66" s="7">
        <f t="shared" ca="1" si="17"/>
        <v>-2.2816270980711886E-4</v>
      </c>
      <c r="R66" s="7">
        <f t="shared" ca="1" si="18"/>
        <v>-2.5179924051864757E-4</v>
      </c>
      <c r="S66" s="7">
        <f t="shared" ca="1" si="19"/>
        <v>-2.7499936154056723E-4</v>
      </c>
      <c r="T66" s="7">
        <f t="shared" ca="1" si="20"/>
        <v>-2.9777810124232042E-4</v>
      </c>
      <c r="U66" s="7">
        <f t="shared" ca="1" si="21"/>
        <v>-3.2016897183875217E-4</v>
      </c>
      <c r="V66" s="7">
        <f t="shared" ca="1" si="22"/>
        <v>-3.4222480859795923E-4</v>
      </c>
      <c r="W66" s="7">
        <f t="shared" ca="1" si="23"/>
        <v>-3.6401780718826367E-4</v>
      </c>
      <c r="X66" s="7">
        <f t="shared" ca="1" si="24"/>
        <v>-3.8563876587999841E-4</v>
      </c>
      <c r="Y66" s="7">
        <f t="shared" ca="1" si="25"/>
        <v>-4.0719565183396436E-4</v>
      </c>
      <c r="Z66" s="7">
        <f t="shared" ca="1" si="26"/>
        <v>-4.2881169022241739E-4</v>
      </c>
      <c r="AA66" s="7">
        <f t="shared" ca="1" si="27"/>
        <v>-4.5062320100525865E-4</v>
      </c>
      <c r="AB66" s="7">
        <f t="shared" ca="1" si="27"/>
        <v>-4.7277737788263335E-4</v>
      </c>
      <c r="AC66" s="11">
        <f t="shared" ca="1" si="28"/>
        <v>-4.9543013035224467E-4</v>
      </c>
      <c r="AD66" s="14">
        <f t="shared" ca="1" si="29"/>
        <v>-5.1874401389317981E-4</v>
      </c>
    </row>
    <row r="67" spans="4:30" x14ac:dyDescent="0.25">
      <c r="D67" s="15"/>
      <c r="E67" s="2">
        <f t="shared" si="7"/>
        <v>3.0000000000000013</v>
      </c>
      <c r="G67" s="11">
        <f t="shared" ca="1" si="8"/>
        <v>2.8826333147299574E-5</v>
      </c>
      <c r="H67" s="8">
        <v>0</v>
      </c>
      <c r="I67" s="7">
        <f t="shared" ca="1" si="9"/>
        <v>-2.8826333321541163E-5</v>
      </c>
      <c r="J67" s="7">
        <f t="shared" ca="1" si="30"/>
        <v>-5.758186942758873E-5</v>
      </c>
      <c r="K67" s="7">
        <f t="shared" ca="1" si="31"/>
        <v>-8.6196602321497419E-5</v>
      </c>
      <c r="L67" s="7">
        <f t="shared" ca="1" si="32"/>
        <v>-1.1460222719380611E-4</v>
      </c>
      <c r="M67" s="7">
        <f t="shared" ca="1" si="13"/>
        <v>-1.4273327905564825E-4</v>
      </c>
      <c r="N67" s="7">
        <f t="shared" ca="1" si="14"/>
        <v>-1.7052859759579333E-4</v>
      </c>
      <c r="O67" s="7">
        <f t="shared" ca="1" si="15"/>
        <v>-1.9793318899248547E-4</v>
      </c>
      <c r="P67" s="7">
        <f t="shared" ca="1" si="16"/>
        <v>-2.2490051080099812E-4</v>
      </c>
      <c r="Q67" s="7">
        <f t="shared" ca="1" si="17"/>
        <v>-2.513951392418886E-4</v>
      </c>
      <c r="R67" s="7">
        <f t="shared" ca="1" si="18"/>
        <v>-2.7739569018785484E-4</v>
      </c>
      <c r="S67" s="7">
        <f t="shared" ca="1" si="19"/>
        <v>-3.0289776729211407E-4</v>
      </c>
      <c r="T67" s="7">
        <f t="shared" ca="1" si="20"/>
        <v>-3.2791662838599952E-4</v>
      </c>
      <c r="U67" s="7">
        <f t="shared" ca="1" si="21"/>
        <v>-3.5248922967133576E-4</v>
      </c>
      <c r="V67" s="7">
        <f t="shared" ca="1" si="22"/>
        <v>-3.766753549557153E-4</v>
      </c>
      <c r="W67" s="7">
        <f t="shared" ca="1" si="23"/>
        <v>-4.0055766509956104E-4</v>
      </c>
      <c r="X67" s="7">
        <f t="shared" ca="1" si="24"/>
        <v>-4.2424067913258886E-4</v>
      </c>
      <c r="Y67" s="7">
        <f t="shared" ca="1" si="25"/>
        <v>-4.4784887266892452E-4</v>
      </c>
      <c r="Z67" s="7">
        <f t="shared" ca="1" si="26"/>
        <v>-4.715242001953872E-4</v>
      </c>
      <c r="AA67" s="7">
        <f t="shared" ca="1" si="27"/>
        <v>-4.95423381877399E-4</v>
      </c>
      <c r="AB67" s="7">
        <f t="shared" ca="1" si="27"/>
        <v>-5.1971524084784559E-4</v>
      </c>
      <c r="AC67" s="11">
        <f t="shared" ca="1" si="28"/>
        <v>-5.4457825925277722E-4</v>
      </c>
      <c r="AD67" s="14">
        <f t="shared" ca="1" si="29"/>
        <v>-5.7019837467304742E-4</v>
      </c>
    </row>
    <row r="68" spans="4:30" x14ac:dyDescent="0.25">
      <c r="D68" s="15"/>
      <c r="E68" s="2">
        <f t="shared" si="7"/>
        <v>2.9000000000000012</v>
      </c>
      <c r="G68" s="11">
        <f t="shared" ca="1" si="8"/>
        <v>3.1416408722520468E-5</v>
      </c>
      <c r="H68" s="8">
        <v>0</v>
      </c>
      <c r="I68" s="7">
        <f t="shared" ca="1" si="9"/>
        <v>-3.1416408909852768E-5</v>
      </c>
      <c r="J68" s="7">
        <f t="shared" ca="1" si="30"/>
        <v>-6.2755707711809679E-5</v>
      </c>
      <c r="K68" s="7">
        <f t="shared" ca="1" si="31"/>
        <v>-9.3941405528367885E-5</v>
      </c>
      <c r="L68" s="7">
        <f t="shared" ca="1" si="32"/>
        <v>-1.2489839684674218E-4</v>
      </c>
      <c r="M68" s="7">
        <f t="shared" ca="1" si="13"/>
        <v>-1.5555401542785338E-4</v>
      </c>
      <c r="N68" s="7">
        <f t="shared" ca="1" si="14"/>
        <v>-1.8583950956739756E-4</v>
      </c>
      <c r="O68" s="7">
        <f t="shared" ca="1" si="15"/>
        <v>-2.1569204967624971E-4</v>
      </c>
      <c r="P68" s="7">
        <f t="shared" ca="1" si="16"/>
        <v>-2.4505733341568441E-4</v>
      </c>
      <c r="Q68" s="7">
        <f t="shared" ca="1" si="17"/>
        <v>-2.7389277367846968E-4</v>
      </c>
      <c r="R68" s="7">
        <f t="shared" ca="1" si="18"/>
        <v>-3.0217113467152849E-4</v>
      </c>
      <c r="S68" s="7">
        <f t="shared" ca="1" si="19"/>
        <v>-3.2988433085563723E-4</v>
      </c>
      <c r="T68" s="7">
        <f t="shared" ca="1" si="20"/>
        <v>-3.5704695913294594E-4</v>
      </c>
      <c r="U68" s="7">
        <f t="shared" ca="1" si="21"/>
        <v>-3.8369905969974898E-4</v>
      </c>
      <c r="V68" s="7">
        <f t="shared" ca="1" si="22"/>
        <v>-4.0990765586872174E-4</v>
      </c>
      <c r="W68" s="7">
        <f t="shared" ca="1" si="23"/>
        <v>-4.3576681548834333E-4</v>
      </c>
      <c r="X68" s="7">
        <f t="shared" ca="1" si="24"/>
        <v>-4.6139625122176668E-4</v>
      </c>
      <c r="Y68" s="7">
        <f t="shared" ca="1" si="25"/>
        <v>-4.8693874996322425E-4</v>
      </c>
      <c r="Z68" s="7">
        <f t="shared" ca="1" si="26"/>
        <v>-5.1255690820917437E-4</v>
      </c>
      <c r="AA68" s="7">
        <f t="shared" ca="1" si="27"/>
        <v>-5.3842969227716657E-4</v>
      </c>
      <c r="AB68" s="7">
        <f t="shared" ca="1" si="27"/>
        <v>-5.6474924256646152E-4</v>
      </c>
      <c r="AC68" s="11">
        <f t="shared" ca="1" si="28"/>
        <v>-5.9171815350073152E-4</v>
      </c>
      <c r="AD68" s="14">
        <f t="shared" ca="1" si="29"/>
        <v>-6.1954724227568153E-4</v>
      </c>
    </row>
    <row r="69" spans="4:30" x14ac:dyDescent="0.25">
      <c r="D69" s="15"/>
      <c r="E69" s="2">
        <f t="shared" si="7"/>
        <v>2.8000000000000012</v>
      </c>
      <c r="G69" s="11">
        <f t="shared" ca="1" si="8"/>
        <v>3.3908549276834141E-5</v>
      </c>
      <c r="H69" s="8">
        <v>0</v>
      </c>
      <c r="I69" s="7">
        <f t="shared" ca="1" si="9"/>
        <v>-3.3908549476094597E-5</v>
      </c>
      <c r="J69" s="7">
        <f t="shared" ca="1" si="30"/>
        <v>-6.7734333986716727E-5</v>
      </c>
      <c r="K69" s="7">
        <f t="shared" ca="1" si="31"/>
        <v>-1.0139494485559686E-4</v>
      </c>
      <c r="L69" s="7">
        <f t="shared" ca="1" si="32"/>
        <v>-1.3480885976472197E-4</v>
      </c>
      <c r="M69" s="7">
        <f t="shared" ca="1" si="13"/>
        <v>-1.6789631972001929E-4</v>
      </c>
      <c r="N69" s="7">
        <f t="shared" ca="1" si="14"/>
        <v>-2.0058072912923424E-4</v>
      </c>
      <c r="O69" s="7">
        <f t="shared" ca="1" si="15"/>
        <v>-2.3279074496178079E-4</v>
      </c>
      <c r="P69" s="7">
        <f t="shared" ca="1" si="16"/>
        <v>-2.6446318378577218E-4</v>
      </c>
      <c r="Q69" s="7">
        <f t="shared" ca="1" si="17"/>
        <v>-2.955467894159413E-4</v>
      </c>
      <c r="R69" s="7">
        <f t="shared" ca="1" si="18"/>
        <v>-3.2600674801274679E-4</v>
      </c>
      <c r="S69" s="7">
        <f t="shared" ca="1" si="19"/>
        <v>-3.558296096988828E-4</v>
      </c>
      <c r="T69" s="7">
        <f t="shared" ca="1" si="20"/>
        <v>-3.8502802251008103E-4</v>
      </c>
      <c r="U69" s="7">
        <f t="shared" ca="1" si="21"/>
        <v>-4.1364451902066294E-4</v>
      </c>
      <c r="V69" s="7">
        <f t="shared" ca="1" si="22"/>
        <v>-4.4175365037037759E-4</v>
      </c>
      <c r="W69" s="7">
        <f t="shared" ca="1" si="23"/>
        <v>-4.6946205860300643E-4</v>
      </c>
      <c r="X69" s="7">
        <f t="shared" ca="1" si="24"/>
        <v>-4.9690651105598104E-4</v>
      </c>
      <c r="Y69" s="7">
        <f t="shared" ca="1" si="25"/>
        <v>-5.2425035288738997E-4</v>
      </c>
      <c r="Z69" s="7">
        <f t="shared" ca="1" si="26"/>
        <v>-5.5167912740952695E-4</v>
      </c>
      <c r="AA69" s="7">
        <f t="shared" ca="1" si="27"/>
        <v>-5.7939615978671178E-4</v>
      </c>
      <c r="AB69" s="7">
        <f t="shared" ca="1" si="27"/>
        <v>-6.0761871256197284E-4</v>
      </c>
      <c r="AC69" s="11">
        <f t="shared" ca="1" si="28"/>
        <v>-6.3657502194120928E-4</v>
      </c>
      <c r="AD69" s="14">
        <f t="shared" ca="1" si="29"/>
        <v>-6.6650220959839921E-4</v>
      </c>
    </row>
    <row r="70" spans="4:30" x14ac:dyDescent="0.25">
      <c r="D70" s="15"/>
      <c r="E70" s="2">
        <f t="shared" si="7"/>
        <v>2.7000000000000011</v>
      </c>
      <c r="G70" s="11">
        <f t="shared" ca="1" si="8"/>
        <v>3.6286663075804039E-5</v>
      </c>
      <c r="H70" s="8">
        <v>0</v>
      </c>
      <c r="I70" s="7">
        <f t="shared" ca="1" si="9"/>
        <v>-3.6286663285757093E-5</v>
      </c>
      <c r="J70" s="7">
        <f t="shared" ca="1" si="30"/>
        <v>-7.2485814725579097E-5</v>
      </c>
      <c r="K70" s="7">
        <f t="shared" ca="1" si="31"/>
        <v>-1.0850993908654327E-4</v>
      </c>
      <c r="L70" s="7">
        <f t="shared" ca="1" si="32"/>
        <v>-1.4427170895249541E-4</v>
      </c>
      <c r="M70" s="7">
        <f t="shared" ca="1" si="13"/>
        <v>-1.7968457264348685E-4</v>
      </c>
      <c r="N70" s="7">
        <f t="shared" ca="1" si="14"/>
        <v>-2.1466396101778074E-4</v>
      </c>
      <c r="O70" s="7">
        <f t="shared" ca="1" si="15"/>
        <v>-2.4912934919647572E-4</v>
      </c>
      <c r="P70" s="7">
        <f t="shared" ca="1" si="16"/>
        <v>-2.8300739799808788E-4</v>
      </c>
      <c r="Q70" s="7">
        <f t="shared" ca="1" si="17"/>
        <v>-3.1623632671939087E-4</v>
      </c>
      <c r="R70" s="7">
        <f t="shared" ca="1" si="18"/>
        <v>-3.4877148456530129E-4</v>
      </c>
      <c r="S70" s="7">
        <f t="shared" ca="1" si="19"/>
        <v>-3.8059175488169871E-4</v>
      </c>
      <c r="T70" s="7">
        <f t="shared" ca="1" si="20"/>
        <v>-4.1170598282320097E-4</v>
      </c>
      <c r="U70" s="7">
        <f t="shared" ca="1" si="21"/>
        <v>-4.4215826023530548E-4</v>
      </c>
      <c r="V70" s="7">
        <f t="shared" ca="1" si="22"/>
        <v>-4.7203093660255069E-4</v>
      </c>
      <c r="W70" s="7">
        <f t="shared" ca="1" si="23"/>
        <v>-5.0144470060154236E-4</v>
      </c>
      <c r="X70" s="7">
        <f t="shared" ca="1" si="24"/>
        <v>-5.3055576240789782E-4</v>
      </c>
      <c r="Y70" s="7">
        <f t="shared" ca="1" si="25"/>
        <v>-5.5955085392248927E-4</v>
      </c>
      <c r="Z70" s="7">
        <f t="shared" ca="1" si="26"/>
        <v>-5.8864124285291951E-4</v>
      </c>
      <c r="AA70" s="7">
        <f t="shared" ca="1" si="27"/>
        <v>-6.180569924098898E-4</v>
      </c>
      <c r="AB70" s="7">
        <f t="shared" ca="1" si="27"/>
        <v>-6.4804233117286033E-4</v>
      </c>
      <c r="AC70" s="11">
        <f t="shared" ca="1" si="28"/>
        <v>-6.788525159750643E-4</v>
      </c>
      <c r="AD70" s="14">
        <f t="shared" ca="1" si="29"/>
        <v>-7.1075214327603886E-4</v>
      </c>
    </row>
    <row r="71" spans="4:30" x14ac:dyDescent="0.25">
      <c r="D71" s="15"/>
      <c r="E71" s="2">
        <f t="shared" si="7"/>
        <v>2.600000000000001</v>
      </c>
      <c r="G71" s="11">
        <f t="shared" ca="1" si="8"/>
        <v>3.853248273218945E-5</v>
      </c>
      <c r="H71" s="8">
        <v>0</v>
      </c>
      <c r="I71" s="7">
        <f t="shared" ca="1" si="9"/>
        <v>-3.8532482951534243E-5</v>
      </c>
      <c r="J71" s="7">
        <f t="shared" ca="1" si="30"/>
        <v>-7.6973886386830318E-5</v>
      </c>
      <c r="K71" s="7">
        <f t="shared" ca="1" si="31"/>
        <v>-1.1523267461153566E-4</v>
      </c>
      <c r="L71" s="7">
        <f t="shared" ca="1" si="32"/>
        <v>-1.5321660282025193E-4</v>
      </c>
      <c r="M71" s="7">
        <f t="shared" ca="1" si="13"/>
        <v>-1.9083288850860983E-4</v>
      </c>
      <c r="N71" s="7">
        <f t="shared" ca="1" si="14"/>
        <v>-2.279890713937318E-4</v>
      </c>
      <c r="O71" s="7">
        <f t="shared" ca="1" si="15"/>
        <v>-2.6459487788543177E-4</v>
      </c>
      <c r="P71" s="7">
        <f t="shared" ca="1" si="16"/>
        <v>-3.0056544716763347E-4</v>
      </c>
      <c r="Q71" s="7">
        <f t="shared" ca="1" si="17"/>
        <v>-3.3582625519511076E-4</v>
      </c>
      <c r="R71" s="7">
        <f t="shared" ca="1" si="18"/>
        <v>-3.7031989708348993E-4</v>
      </c>
      <c r="S71" s="7">
        <f t="shared" ca="1" si="19"/>
        <v>-4.040144354208076E-4</v>
      </c>
      <c r="T71" s="7">
        <f t="shared" ca="1" si="20"/>
        <v>-4.3691225269181021E-4</v>
      </c>
      <c r="U71" s="7">
        <f t="shared" ca="1" si="21"/>
        <v>-4.690575690682934E-4</v>
      </c>
      <c r="V71" s="7">
        <f t="shared" ca="1" si="22"/>
        <v>-5.0054076475823499E-4</v>
      </c>
      <c r="W71" s="7">
        <f t="shared" ca="1" si="23"/>
        <v>-5.3149846903269716E-4</v>
      </c>
      <c r="X71" s="7">
        <f t="shared" ca="1" si="24"/>
        <v>-5.6210945133765994E-4</v>
      </c>
      <c r="Y71" s="7">
        <f t="shared" ca="1" si="25"/>
        <v>-5.9258742715176805E-4</v>
      </c>
      <c r="Z71" s="7">
        <f t="shared" ca="1" si="26"/>
        <v>-6.2317272541438553E-4</v>
      </c>
      <c r="AA71" s="7">
        <f t="shared" ca="1" si="27"/>
        <v>-6.5412475799773594E-4</v>
      </c>
      <c r="AB71" s="7">
        <f t="shared" ca="1" si="27"/>
        <v>-6.8571646712553764E-4</v>
      </c>
      <c r="AC71" s="11">
        <f t="shared" ca="1" si="28"/>
        <v>-7.1823114734638743E-4</v>
      </c>
      <c r="AD71" s="14">
        <f t="shared" ca="1" si="29"/>
        <v>-7.5196151250239663E-4</v>
      </c>
    </row>
    <row r="72" spans="4:30" x14ac:dyDescent="0.25">
      <c r="D72" s="15"/>
      <c r="E72" s="2">
        <f t="shared" si="7"/>
        <v>2.5000000000000009</v>
      </c>
      <c r="G72" s="11">
        <f t="shared" ca="1" si="8"/>
        <v>4.0625382236862176E-5</v>
      </c>
      <c r="H72" s="8">
        <v>0</v>
      </c>
      <c r="I72" s="7">
        <f t="shared" ca="1" si="9"/>
        <v>-4.0625382464240682E-5</v>
      </c>
      <c r="J72" s="7">
        <f t="shared" ca="1" si="30"/>
        <v>-8.1157561510762863E-5</v>
      </c>
      <c r="K72" s="7">
        <f t="shared" ca="1" si="31"/>
        <v>-1.2150234846370249E-4</v>
      </c>
      <c r="L72" s="7">
        <f t="shared" ca="1" si="32"/>
        <v>-1.6156377780782632E-4</v>
      </c>
      <c r="M72" s="7">
        <f t="shared" ca="1" si="13"/>
        <v>-2.0124373104243756E-4</v>
      </c>
      <c r="N72" s="7">
        <f t="shared" ca="1" si="14"/>
        <v>-2.404422660732955E-4</v>
      </c>
      <c r="O72" s="7">
        <f t="shared" ca="1" si="15"/>
        <v>-2.7905904314690983E-4</v>
      </c>
      <c r="P72" s="7">
        <f t="shared" ca="1" si="16"/>
        <v>-3.1699636323156234E-4</v>
      </c>
      <c r="Q72" s="7">
        <f t="shared" ca="1" si="17"/>
        <v>-3.5416443331978025E-4</v>
      </c>
      <c r="R72" s="7">
        <f t="shared" ca="1" si="18"/>
        <v>-3.9048940552218625E-4</v>
      </c>
      <c r="S72" s="7">
        <f t="shared" ca="1" si="19"/>
        <v>-4.2592422028570103E-4</v>
      </c>
      <c r="T72" s="7">
        <f t="shared" ca="1" si="20"/>
        <v>-4.6046099370492612E-4</v>
      </c>
      <c r="U72" s="7">
        <f t="shared" ca="1" si="21"/>
        <v>-4.941419319930342E-4</v>
      </c>
      <c r="V72" s="7">
        <f t="shared" ca="1" si="22"/>
        <v>-5.2706561364773241E-4</v>
      </c>
      <c r="W72" s="7">
        <f t="shared" ca="1" si="23"/>
        <v>-5.5938708507279403E-4</v>
      </c>
      <c r="X72" s="7">
        <f t="shared" ca="1" si="24"/>
        <v>-5.9131180787574738E-4</v>
      </c>
      <c r="Y72" s="7">
        <f t="shared" ca="1" si="25"/>
        <v>-6.2308509533623034E-4</v>
      </c>
      <c r="Z72" s="7">
        <f t="shared" ca="1" si="26"/>
        <v>-6.5498030159677099E-4</v>
      </c>
      <c r="AA72" s="7">
        <f t="shared" ca="1" si="27"/>
        <v>-6.8728891992797297E-4</v>
      </c>
      <c r="AB72" s="7">
        <f t="shared" ca="1" si="27"/>
        <v>-7.2031403705894001E-4</v>
      </c>
      <c r="AC72" s="11">
        <f t="shared" ca="1" si="28"/>
        <v>-7.5436734703799072E-4</v>
      </c>
      <c r="AD72" s="14">
        <f t="shared" ca="1" si="29"/>
        <v>-7.8976941514588474E-4</v>
      </c>
    </row>
    <row r="73" spans="4:30" x14ac:dyDescent="0.25">
      <c r="D73" s="15"/>
      <c r="E73" s="2">
        <f t="shared" si="7"/>
        <v>2.4000000000000008</v>
      </c>
      <c r="G73" s="11">
        <f t="shared" ca="1" si="8"/>
        <v>4.2542300475656597E-5</v>
      </c>
      <c r="H73" s="8">
        <v>0</v>
      </c>
      <c r="I73" s="7">
        <f t="shared" ca="1" si="9"/>
        <v>-4.25423007096621E-5</v>
      </c>
      <c r="J73" s="7">
        <f t="shared" ca="1" si="30"/>
        <v>-8.4990933522158512E-5</v>
      </c>
      <c r="K73" s="7">
        <f t="shared" ca="1" si="31"/>
        <v>-1.2725067159747116E-4</v>
      </c>
      <c r="L73" s="7">
        <f t="shared" ca="1" si="32"/>
        <v>-1.6922333252158113E-4</v>
      </c>
      <c r="M73" s="7">
        <f t="shared" ca="1" si="13"/>
        <v>-2.1080674084697663E-4</v>
      </c>
      <c r="N73" s="7">
        <f t="shared" ca="1" si="14"/>
        <v>-2.5189433442936757E-4</v>
      </c>
      <c r="O73" s="7">
        <f t="shared" ca="1" si="15"/>
        <v>-2.9237584770226656E-4</v>
      </c>
      <c r="P73" s="7">
        <f t="shared" ca="1" si="16"/>
        <v>-3.3213973548491262E-4</v>
      </c>
      <c r="Q73" s="7">
        <f t="shared" ca="1" si="17"/>
        <v>-3.7107830437586848E-4</v>
      </c>
      <c r="R73" s="7">
        <f t="shared" ca="1" si="18"/>
        <v>-4.090967629356384E-4</v>
      </c>
      <c r="S73" s="7">
        <f t="shared" ca="1" si="19"/>
        <v>-4.4612709916859553E-4</v>
      </c>
      <c r="T73" s="7">
        <f t="shared" ca="1" si="20"/>
        <v>-4.8214574838725512E-4</v>
      </c>
      <c r="U73" s="7">
        <f t="shared" ca="1" si="21"/>
        <v>-5.1718979026645897E-4</v>
      </c>
      <c r="V73" s="7">
        <f t="shared" ca="1" si="22"/>
        <v>-5.5136607069334589E-4</v>
      </c>
      <c r="W73" s="7">
        <f t="shared" ca="1" si="23"/>
        <v>-5.8485130488908875E-4</v>
      </c>
      <c r="X73" s="7">
        <f t="shared" ca="1" si="24"/>
        <v>-6.1788319918118235E-4</v>
      </c>
      <c r="Y73" s="7">
        <f t="shared" ca="1" si="25"/>
        <v>-6.5074461894429878E-4</v>
      </c>
      <c r="Z73" s="7">
        <f t="shared" ca="1" si="26"/>
        <v>-6.8374652067979761E-4</v>
      </c>
      <c r="AA73" s="7">
        <f t="shared" ca="1" si="27"/>
        <v>-7.1721507857292789E-4</v>
      </c>
      <c r="AB73" s="7">
        <f t="shared" ca="1" si="27"/>
        <v>-7.5148430191472387E-4</v>
      </c>
      <c r="AC73" s="11">
        <f t="shared" ca="1" si="28"/>
        <v>-7.8689362664782466E-4</v>
      </c>
      <c r="AD73" s="14">
        <f t="shared" ca="1" si="29"/>
        <v>-8.2378982231593682E-4</v>
      </c>
    </row>
    <row r="74" spans="4:30" x14ac:dyDescent="0.25">
      <c r="D74" s="15"/>
      <c r="E74" s="2">
        <f t="shared" si="7"/>
        <v>2.3000000000000007</v>
      </c>
      <c r="G74" s="11">
        <f t="shared" ca="1" si="8"/>
        <v>4.4257838869217024E-5</v>
      </c>
      <c r="H74" s="8">
        <v>0</v>
      </c>
      <c r="I74" s="7">
        <f t="shared" ca="1" si="9"/>
        <v>-4.4257839108402831E-5</v>
      </c>
      <c r="J74" s="7">
        <f t="shared" ca="1" si="30"/>
        <v>-8.8423318274311397E-5</v>
      </c>
      <c r="K74" s="7">
        <f t="shared" ca="1" si="31"/>
        <v>-1.3240194365058086E-4</v>
      </c>
      <c r="L74" s="7">
        <f t="shared" ca="1" si="32"/>
        <v>-1.7609506450572249E-4</v>
      </c>
      <c r="M74" s="7">
        <f t="shared" ca="1" si="13"/>
        <v>-2.1939810576854276E-4</v>
      </c>
      <c r="N74" s="7">
        <f t="shared" ca="1" si="14"/>
        <v>-2.6219929178152664E-4</v>
      </c>
      <c r="O74" s="7">
        <f t="shared" ca="1" si="15"/>
        <v>-3.0437926859058453E-4</v>
      </c>
      <c r="P74" s="7">
        <f t="shared" ca="1" si="16"/>
        <v>-3.4581234914080484E-4</v>
      </c>
      <c r="Q74" s="7">
        <f t="shared" ca="1" si="17"/>
        <v>-3.8637066329128992E-4</v>
      </c>
      <c r="R74" s="7">
        <f t="shared" ca="1" si="18"/>
        <v>-4.2593334519447037E-4</v>
      </c>
      <c r="S74" s="7">
        <f t="shared" ca="1" si="19"/>
        <v>-4.644035967930843E-4</v>
      </c>
      <c r="T74" s="7">
        <f t="shared" ca="1" si="20"/>
        <v>-5.0173453521011266E-4</v>
      </c>
      <c r="U74" s="7">
        <f t="shared" ca="1" si="21"/>
        <v>-5.3795382520853527E-4</v>
      </c>
      <c r="V74" s="7">
        <f t="shared" ca="1" si="22"/>
        <v>-5.7317651066053751E-4</v>
      </c>
      <c r="W74" s="7">
        <f t="shared" ca="1" si="23"/>
        <v>-6.0760512835629726E-4</v>
      </c>
      <c r="X74" s="7">
        <f t="shared" ca="1" si="24"/>
        <v>-6.4151713628387793E-4</v>
      </c>
      <c r="Y74" s="7">
        <f t="shared" ca="1" si="25"/>
        <v>-6.7524064766213423E-4</v>
      </c>
      <c r="Z74" s="7">
        <f t="shared" ca="1" si="26"/>
        <v>-7.0912916568820867E-4</v>
      </c>
      <c r="AA74" s="7">
        <f t="shared" ca="1" si="27"/>
        <v>-7.4354549591625237E-4</v>
      </c>
      <c r="AB74" s="7">
        <f t="shared" ca="1" si="27"/>
        <v>-7.7885423331329722E-4</v>
      </c>
      <c r="AC74" s="11">
        <f t="shared" ca="1" si="28"/>
        <v>-8.1542051513593507E-4</v>
      </c>
      <c r="AD74" s="14">
        <f t="shared" ca="1" si="29"/>
        <v>-8.5361382273813763E-4</v>
      </c>
    </row>
    <row r="75" spans="4:30" x14ac:dyDescent="0.25">
      <c r="D75" s="15"/>
      <c r="E75" s="2">
        <f t="shared" si="7"/>
        <v>2.2000000000000006</v>
      </c>
      <c r="G75" s="11">
        <f t="shared" ca="1" si="8"/>
        <v>4.5744608923768668E-5</v>
      </c>
      <c r="H75" s="8">
        <v>0</v>
      </c>
      <c r="I75" s="7">
        <f t="shared" ca="1" si="9"/>
        <v>-4.5744609166657114E-5</v>
      </c>
      <c r="J75" s="7">
        <f t="shared" ca="1" si="30"/>
        <v>-9.139989391384324E-5</v>
      </c>
      <c r="K75" s="7">
        <f t="shared" ca="1" si="31"/>
        <v>-1.368738645188991E-4</v>
      </c>
      <c r="L75" s="7">
        <f t="shared" ca="1" si="32"/>
        <v>-1.8206924826262401E-4</v>
      </c>
      <c r="M75" s="7">
        <f t="shared" ca="1" si="13"/>
        <v>-2.268809919648144E-4</v>
      </c>
      <c r="N75" s="7">
        <f t="shared" ca="1" si="14"/>
        <v>-2.7119403082461634E-4</v>
      </c>
      <c r="O75" s="7">
        <f t="shared" ca="1" si="15"/>
        <v>-3.148816180287749E-4</v>
      </c>
      <c r="P75" s="7">
        <f t="shared" ca="1" si="16"/>
        <v>-3.5780482486922385E-4</v>
      </c>
      <c r="Q75" s="7">
        <f t="shared" ca="1" si="17"/>
        <v>-3.9981452248071014E-4</v>
      </c>
      <c r="R75" s="7">
        <f t="shared" ca="1" si="18"/>
        <v>-4.4075874285062967E-4</v>
      </c>
      <c r="S75" s="7">
        <f t="shared" ca="1" si="19"/>
        <v>-4.8050152816864699E-4</v>
      </c>
      <c r="T75" s="7">
        <f t="shared" ca="1" si="20"/>
        <v>-5.1896211569194971E-4</v>
      </c>
      <c r="U75" s="7">
        <f t="shared" ca="1" si="21"/>
        <v>-5.5615349475356178E-4</v>
      </c>
      <c r="V75" s="7">
        <f t="shared" ca="1" si="22"/>
        <v>-5.9219865554385547E-4</v>
      </c>
      <c r="W75" s="7">
        <f t="shared" ca="1" si="23"/>
        <v>-6.2733071864877336E-4</v>
      </c>
      <c r="X75" s="7">
        <f t="shared" ca="1" si="24"/>
        <v>-6.6187696782078233E-4</v>
      </c>
      <c r="Y75" s="7">
        <f t="shared" ca="1" si="25"/>
        <v>-6.9622065141758556E-4</v>
      </c>
      <c r="Z75" s="7">
        <f t="shared" ca="1" si="26"/>
        <v>-7.3076231938974624E-4</v>
      </c>
      <c r="AA75" s="7">
        <f t="shared" ca="1" si="27"/>
        <v>-7.6590181369085052E-4</v>
      </c>
      <c r="AB75" s="7">
        <f t="shared" ca="1" si="27"/>
        <v>-8.0203235454362639E-4</v>
      </c>
      <c r="AC75" s="11">
        <f t="shared" ca="1" si="28"/>
        <v>-8.3954117593406361E-4</v>
      </c>
      <c r="AD75" s="14">
        <f t="shared" ca="1" si="29"/>
        <v>-8.788149466431687E-4</v>
      </c>
    </row>
    <row r="76" spans="4:30" x14ac:dyDescent="0.25">
      <c r="D76" s="15"/>
      <c r="E76" s="2">
        <f t="shared" si="7"/>
        <v>2.1000000000000005</v>
      </c>
      <c r="G76" s="11">
        <f t="shared" ca="1" si="8"/>
        <v>4.6973896839343315E-5</v>
      </c>
      <c r="H76" s="8">
        <v>0</v>
      </c>
      <c r="I76" s="7">
        <f t="shared" ca="1" si="9"/>
        <v>-4.69738970844349E-5</v>
      </c>
      <c r="J76" s="7">
        <f t="shared" ca="1" si="30"/>
        <v>-9.3862991844801511E-5</v>
      </c>
      <c r="K76" s="7">
        <f t="shared" ca="1" si="31"/>
        <v>-1.4057935977105835E-4</v>
      </c>
      <c r="L76" s="7">
        <f t="shared" ca="1" si="32"/>
        <v>-1.8702881481958138E-4</v>
      </c>
      <c r="M76" s="7">
        <f t="shared" ca="1" si="13"/>
        <v>-2.3310774874254572E-4</v>
      </c>
      <c r="N76" s="7">
        <f t="shared" ca="1" si="14"/>
        <v>-2.78699988825226E-4</v>
      </c>
      <c r="O76" s="7">
        <f t="shared" ca="1" si="15"/>
        <v>-3.2367380004777441E-4</v>
      </c>
      <c r="P76" s="7">
        <f t="shared" ca="1" si="16"/>
        <v>-3.6787934946898857E-4</v>
      </c>
      <c r="Q76" s="7">
        <f t="shared" ca="1" si="17"/>
        <v>-4.1114745025465984E-4</v>
      </c>
      <c r="R76" s="7">
        <f t="shared" ca="1" si="18"/>
        <v>-4.5329200012023737E-4</v>
      </c>
      <c r="S76" s="7">
        <f t="shared" ca="1" si="19"/>
        <v>-4.941246506607104E-4</v>
      </c>
      <c r="T76" s="7">
        <f t="shared" ca="1" si="20"/>
        <v>-5.335168810938841E-4</v>
      </c>
      <c r="U76" s="7">
        <f t="shared" ca="1" si="21"/>
        <v>-5.7146227393949762E-4</v>
      </c>
      <c r="V76" s="7">
        <f t="shared" ca="1" si="22"/>
        <v>-6.0809128955445144E-4</v>
      </c>
      <c r="W76" s="7">
        <f t="shared" ca="1" si="23"/>
        <v>-6.4367141676565254E-4</v>
      </c>
      <c r="X76" s="7">
        <f t="shared" ca="1" si="24"/>
        <v>-6.7859270875798839E-4</v>
      </c>
      <c r="Y76" s="7">
        <f t="shared" ca="1" si="25"/>
        <v>-7.1330585179498916E-4</v>
      </c>
      <c r="Z76" s="7">
        <f t="shared" ca="1" si="26"/>
        <v>-7.4826051687829846E-4</v>
      </c>
      <c r="AA76" s="7">
        <f t="shared" ca="1" si="27"/>
        <v>-7.8389129165372417E-4</v>
      </c>
      <c r="AB76" s="7">
        <f t="shared" ca="1" si="27"/>
        <v>-8.2061621194044851E-4</v>
      </c>
      <c r="AC76" s="11">
        <f t="shared" ca="1" si="28"/>
        <v>-8.5883976047617869E-4</v>
      </c>
      <c r="AD76" s="14">
        <f t="shared" ca="1" si="29"/>
        <v>-8.9895882226061381E-4</v>
      </c>
    </row>
    <row r="77" spans="4:30" x14ac:dyDescent="0.25">
      <c r="D77" s="15"/>
      <c r="E77" s="2">
        <f t="shared" si="7"/>
        <v>2.0000000000000004</v>
      </c>
      <c r="G77" s="11">
        <f t="shared" ca="1" si="8"/>
        <v>4.7916676840323676E-5</v>
      </c>
      <c r="H77" s="8">
        <v>0</v>
      </c>
      <c r="I77" s="7">
        <f t="shared" ca="1" si="9"/>
        <v>-4.7916677086106312E-5</v>
      </c>
      <c r="J77" s="7">
        <f t="shared" ca="1" si="30"/>
        <v>-9.5754124829619479E-5</v>
      </c>
      <c r="K77" s="7">
        <f t="shared" ca="1" si="31"/>
        <v>-1.4342961405771137E-4</v>
      </c>
      <c r="L77" s="7">
        <f t="shared" ca="1" si="32"/>
        <v>-1.9085333696414097E-4</v>
      </c>
      <c r="M77" s="7">
        <f t="shared" ca="1" si="13"/>
        <v>-2.3792467272196533E-4</v>
      </c>
      <c r="N77" s="7">
        <f t="shared" ca="1" si="14"/>
        <v>-2.845282385830249E-4</v>
      </c>
      <c r="O77" s="7">
        <f t="shared" ca="1" si="15"/>
        <v>-3.3052969530041927E-4</v>
      </c>
      <c r="P77" s="7">
        <f t="shared" ca="1" si="16"/>
        <v>-3.7577132153223975E-4</v>
      </c>
      <c r="Q77" s="7">
        <f t="shared" ca="1" si="17"/>
        <v>-4.2006743929936765E-4</v>
      </c>
      <c r="R77" s="9">
        <f t="shared" ca="1" si="18"/>
        <v>-4.6319986015685966E-4</v>
      </c>
      <c r="S77" s="9">
        <f t="shared" ca="1" si="19"/>
        <v>-5.049136176787885E-4</v>
      </c>
      <c r="T77" s="9">
        <f t="shared" ca="1" si="20"/>
        <v>-5.4501733049504069E-4</v>
      </c>
      <c r="U77" s="9">
        <f t="shared" ca="1" si="21"/>
        <v>-5.8348456619273777E-4</v>
      </c>
      <c r="V77" s="9">
        <f t="shared" ca="1" si="22"/>
        <v>-6.2045252144631252E-4</v>
      </c>
      <c r="W77" s="9">
        <f t="shared" ca="1" si="23"/>
        <v>-6.5622219729234319E-4</v>
      </c>
      <c r="X77" s="7">
        <f t="shared" ca="1" si="24"/>
        <v>-6.9126006293678867E-4</v>
      </c>
      <c r="Y77" s="7">
        <f t="shared" ca="1" si="25"/>
        <v>-7.2609701803877543E-4</v>
      </c>
      <c r="Z77" s="7">
        <f t="shared" ca="1" si="26"/>
        <v>-7.6122833381129574E-4</v>
      </c>
      <c r="AA77" s="7">
        <f t="shared" ca="1" si="27"/>
        <v>-7.9711821165163684E-4</v>
      </c>
      <c r="AB77" s="7">
        <f t="shared" ca="1" si="27"/>
        <v>-8.3420464647904441E-4</v>
      </c>
      <c r="AC77" s="11">
        <f t="shared" ca="1" si="28"/>
        <v>-8.7290439474543239E-4</v>
      </c>
      <c r="AD77" s="14">
        <f t="shared" ca="1" si="29"/>
        <v>-9.1361798987941783E-4</v>
      </c>
    </row>
    <row r="78" spans="4:30" x14ac:dyDescent="0.25">
      <c r="D78" s="15"/>
      <c r="E78" s="2">
        <f t="shared" si="7"/>
        <v>1.9000000000000006</v>
      </c>
      <c r="G78" s="11">
        <f t="shared" ca="1" si="8"/>
        <v>4.8544939396424474E-5</v>
      </c>
      <c r="H78" s="8">
        <v>0</v>
      </c>
      <c r="I78" s="7">
        <f t="shared" ca="1" si="9"/>
        <v>-4.8544939641382858E-5</v>
      </c>
      <c r="J78" s="7">
        <f t="shared" ca="1" si="30"/>
        <v>-9.7016698774697821E-5</v>
      </c>
      <c r="K78" s="7">
        <f t="shared" ca="1" si="31"/>
        <v>-1.4533828028739362E-4</v>
      </c>
      <c r="L78" s="7">
        <f t="shared" ca="1" si="32"/>
        <v>-1.9342491061006398E-4</v>
      </c>
      <c r="M78" s="7">
        <f t="shared" ca="1" si="13"/>
        <v>-2.4117978332870152E-4</v>
      </c>
      <c r="N78" s="7">
        <f t="shared" ca="1" si="14"/>
        <v>-2.8848934098416718E-4</v>
      </c>
      <c r="O78" s="7">
        <f t="shared" ca="1" si="15"/>
        <v>-3.352178944810802E-4</v>
      </c>
      <c r="P78" s="7">
        <f t="shared" ca="1" si="16"/>
        <v>-3.8120127527592723E-4</v>
      </c>
      <c r="Q78" s="7">
        <f t="shared" ca="1" si="17"/>
        <v>-4.2623885007321956E-4</v>
      </c>
      <c r="R78" s="9">
        <f t="shared" ca="1" si="18"/>
        <v>-4.7008181272158351E-4</v>
      </c>
      <c r="S78" s="9">
        <f t="shared" ca="1" si="19"/>
        <v>-5.1240975640818177E-4</v>
      </c>
      <c r="T78" s="9">
        <f t="shared" ca="1" si="20"/>
        <v>-5.5296907622524145E-4</v>
      </c>
      <c r="U78" s="9">
        <f t="shared" ca="1" si="21"/>
        <v>-5.9171320304365763E-4</v>
      </c>
      <c r="V78" s="9">
        <f t="shared" ca="1" si="22"/>
        <v>-6.2878506205065875E-4</v>
      </c>
      <c r="W78" s="9">
        <f t="shared" ca="1" si="23"/>
        <v>-6.6451727279460222E-4</v>
      </c>
      <c r="X78" s="7">
        <f t="shared" ca="1" si="24"/>
        <v>-6.9945006733315046E-4</v>
      </c>
      <c r="Y78" s="7">
        <f t="shared" ca="1" si="25"/>
        <v>-7.3419136007451668E-4</v>
      </c>
      <c r="Z78" s="7">
        <f t="shared" ca="1" si="26"/>
        <v>-7.6927851661713295E-4</v>
      </c>
      <c r="AA78" s="7">
        <f t="shared" ca="1" si="27"/>
        <v>-8.0520173823380359E-4</v>
      </c>
      <c r="AB78" s="7">
        <f t="shared" ca="1" si="27"/>
        <v>-8.4241537417733083E-4</v>
      </c>
      <c r="AC78" s="11">
        <f t="shared" ca="1" si="28"/>
        <v>-8.8134487732287868E-4</v>
      </c>
      <c r="AD78" s="14">
        <f t="shared" ca="1" si="29"/>
        <v>-9.2239080389736917E-4</v>
      </c>
    </row>
    <row r="79" spans="4:30" x14ac:dyDescent="0.25">
      <c r="D79" s="15"/>
      <c r="E79" s="2">
        <f t="shared" si="7"/>
        <v>1.8000000000000005</v>
      </c>
      <c r="G79" s="11">
        <f t="shared" ca="1" si="8"/>
        <v>4.8833218924296224E-5</v>
      </c>
      <c r="H79" s="8">
        <v>0</v>
      </c>
      <c r="I79" s="7">
        <f t="shared" ca="1" si="9"/>
        <v>-4.8833219166921175E-5</v>
      </c>
      <c r="J79" s="7">
        <f t="shared" ca="1" si="30"/>
        <v>-9.7599166687480793E-5</v>
      </c>
      <c r="K79" s="7">
        <f t="shared" ca="1" si="31"/>
        <v>-1.4622647842114778E-4</v>
      </c>
      <c r="L79" s="7">
        <f t="shared" ca="1" si="32"/>
        <v>-1.9463539121885863E-4</v>
      </c>
      <c r="M79" s="7">
        <f t="shared" ca="1" si="13"/>
        <v>-2.4273298106680053E-4</v>
      </c>
      <c r="N79" s="7">
        <f t="shared" ca="1" si="14"/>
        <v>-2.9040765245253114E-4</v>
      </c>
      <c r="O79" s="7">
        <f t="shared" ca="1" si="15"/>
        <v>-3.3752247361039622E-4</v>
      </c>
      <c r="P79" s="7">
        <f t="shared" ca="1" si="16"/>
        <v>-3.8390671008514768E-4</v>
      </c>
      <c r="Q79" s="7">
        <f t="shared" ca="1" si="17"/>
        <v>-4.2934433650667839E-4</v>
      </c>
      <c r="R79" s="9">
        <f t="shared" ca="1" si="18"/>
        <v>-4.7355692046530335E-4</v>
      </c>
      <c r="S79" s="9">
        <f t="shared" ca="1" si="19"/>
        <v>-5.1617532666878383E-4</v>
      </c>
      <c r="T79" s="9">
        <f t="shared" ca="1" si="20"/>
        <v>-5.5690022445394624E-4</v>
      </c>
      <c r="U79" s="9">
        <f t="shared" ca="1" si="21"/>
        <v>-5.9566534798150775E-4</v>
      </c>
      <c r="V79" s="9">
        <f t="shared" ca="1" si="22"/>
        <v>-6.3261807554123109E-4</v>
      </c>
      <c r="W79" s="9">
        <f t="shared" ca="1" si="23"/>
        <v>-6.6811965103319752E-4</v>
      </c>
      <c r="X79" s="7">
        <f t="shared" ca="1" si="24"/>
        <v>-7.0276500810015233E-4</v>
      </c>
      <c r="Y79" s="7">
        <f t="shared" ca="1" si="25"/>
        <v>-7.3721978779574997E-4</v>
      </c>
      <c r="Z79" s="7">
        <f t="shared" ca="1" si="26"/>
        <v>-7.7205987384033827E-4</v>
      </c>
      <c r="AA79" s="7">
        <f t="shared" ca="1" si="27"/>
        <v>-8.0779933726802654E-4</v>
      </c>
      <c r="AB79" s="7">
        <f t="shared" ca="1" si="27"/>
        <v>-8.4490654911452369E-4</v>
      </c>
      <c r="AC79" s="11">
        <f t="shared" ca="1" si="28"/>
        <v>-8.8381354511790676E-4</v>
      </c>
      <c r="AD79" s="14">
        <f t="shared" ca="1" si="29"/>
        <v>-9.2492031270584481E-4</v>
      </c>
    </row>
    <row r="80" spans="4:30" x14ac:dyDescent="0.25">
      <c r="D80" s="15"/>
      <c r="E80" s="2">
        <f t="shared" si="7"/>
        <v>1.7000000000000004</v>
      </c>
      <c r="G80" s="11">
        <f t="shared" ca="1" si="8"/>
        <v>4.8760142230559748E-5</v>
      </c>
      <c r="H80" s="8">
        <v>0</v>
      </c>
      <c r="I80" s="7">
        <f t="shared" ca="1" si="9"/>
        <v>-4.8760142469357472E-5</v>
      </c>
      <c r="J80" s="7">
        <f t="shared" ca="1" si="30"/>
        <v>-9.7458229801744868E-5</v>
      </c>
      <c r="K80" s="7">
        <f t="shared" ca="1" si="31"/>
        <v>-1.4602787824134709E-4</v>
      </c>
      <c r="L80" s="7">
        <f t="shared" ca="1" si="32"/>
        <v>-1.9439376388932474E-4</v>
      </c>
      <c r="M80" s="7">
        <f t="shared" ca="1" si="13"/>
        <v>-2.4246640096243986E-4</v>
      </c>
      <c r="N80" s="7">
        <f t="shared" ca="1" si="14"/>
        <v>-2.9013589502070893E-4</v>
      </c>
      <c r="O80" s="7">
        <f t="shared" ca="1" si="15"/>
        <v>-3.3726409469717159E-4</v>
      </c>
      <c r="P80" s="7">
        <f t="shared" ca="1" si="16"/>
        <v>-3.8367429063459557E-4</v>
      </c>
      <c r="Q80" s="7">
        <f t="shared" ca="1" si="17"/>
        <v>-4.2913716043638874E-4</v>
      </c>
      <c r="R80" s="9">
        <f t="shared" ca="1" si="18"/>
        <v>-4.7335102529651586E-4</v>
      </c>
      <c r="S80" s="9">
        <f t="shared" ca="1" si="19"/>
        <v>-5.1591413585699787E-4</v>
      </c>
      <c r="T80" s="9">
        <f t="shared" ca="1" si="20"/>
        <v>-5.5649708815546641E-4</v>
      </c>
      <c r="U80" s="9">
        <f t="shared" ca="1" si="21"/>
        <v>-5.9501871987082202E-4</v>
      </c>
      <c r="V80" s="9">
        <f t="shared" ca="1" si="22"/>
        <v>-6.3162934944414396E-4</v>
      </c>
      <c r="W80" s="9">
        <f t="shared" ca="1" si="23"/>
        <v>-6.6671101362083922E-4</v>
      </c>
      <c r="X80" s="7">
        <f t="shared" ca="1" si="24"/>
        <v>-7.0089465041028702E-4</v>
      </c>
      <c r="Y80" s="7">
        <f t="shared" ca="1" si="25"/>
        <v>-7.3488445593794245E-4</v>
      </c>
      <c r="Z80" s="7">
        <f t="shared" ca="1" si="26"/>
        <v>-7.6928540453441408E-4</v>
      </c>
      <c r="AA80" s="7">
        <f t="shared" ca="1" si="27"/>
        <v>-8.0463037228075773E-4</v>
      </c>
      <c r="AB80" s="7">
        <f t="shared" ca="1" si="27"/>
        <v>-8.4139844803556149E-4</v>
      </c>
      <c r="AC80" s="11">
        <f t="shared" ca="1" si="28"/>
        <v>-8.8002622396499445E-4</v>
      </c>
      <c r="AD80" s="14">
        <f t="shared" ca="1" si="29"/>
        <v>-9.2091322731893514E-4</v>
      </c>
    </row>
    <row r="81" spans="4:30" x14ac:dyDescent="0.25">
      <c r="D81" s="15"/>
      <c r="E81" s="2">
        <f t="shared" si="7"/>
        <v>1.6000000000000003</v>
      </c>
      <c r="G81" s="11">
        <f t="shared" ca="1" si="8"/>
        <v>4.8309809203161307E-5</v>
      </c>
      <c r="H81" s="8">
        <v>0</v>
      </c>
      <c r="I81" s="7">
        <f t="shared" ca="1" si="9"/>
        <v>-4.8309809436662616E-5</v>
      </c>
      <c r="J81" s="7">
        <f t="shared" ca="1" si="30"/>
        <v>-9.6561671952966088E-5</v>
      </c>
      <c r="K81" s="7">
        <f t="shared" ca="1" si="31"/>
        <v>-1.4469313392891954E-4</v>
      </c>
      <c r="L81" s="7">
        <f t="shared" ca="1" si="32"/>
        <v>-1.926323947078491E-4</v>
      </c>
      <c r="M81" s="7">
        <f t="shared" ca="1" si="13"/>
        <v>-2.4029274316727809E-4</v>
      </c>
      <c r="N81" s="7">
        <f t="shared" ca="1" si="14"/>
        <v>-2.8756577380184209E-4</v>
      </c>
      <c r="O81" s="7">
        <f t="shared" ca="1" si="15"/>
        <v>-3.343127067171186E-4</v>
      </c>
      <c r="P81" s="7">
        <f t="shared" ca="1" si="16"/>
        <v>-3.8035289230031928E-4</v>
      </c>
      <c r="Q81" s="7">
        <f t="shared" ca="1" si="17"/>
        <v>-4.2544832825132118E-4</v>
      </c>
      <c r="R81" s="9">
        <f t="shared" ca="1" si="18"/>
        <v>-4.6928297509445755E-4</v>
      </c>
      <c r="S81" s="9">
        <f t="shared" ca="1" si="19"/>
        <v>-5.1143643001388104E-4</v>
      </c>
      <c r="T81" s="9">
        <f t="shared" ca="1" si="20"/>
        <v>-5.5156223698887862E-4</v>
      </c>
      <c r="U81" s="9">
        <f t="shared" ca="1" si="21"/>
        <v>-5.895700965004619E-4</v>
      </c>
      <c r="V81" s="9">
        <f t="shared" ca="1" si="22"/>
        <v>-6.2561156691902365E-4</v>
      </c>
      <c r="W81" s="9">
        <f t="shared" ca="1" si="23"/>
        <v>-6.6008031240351436E-4</v>
      </c>
      <c r="X81" s="7">
        <f t="shared" ca="1" si="24"/>
        <v>-6.9362683538429573E-4</v>
      </c>
      <c r="Y81" s="7">
        <f t="shared" ca="1" si="25"/>
        <v>-7.2697650336451039E-4</v>
      </c>
      <c r="Z81" s="7">
        <f t="shared" ca="1" si="26"/>
        <v>-7.6075110639016203E-4</v>
      </c>
      <c r="AA81" s="7">
        <f t="shared" ca="1" si="27"/>
        <v>-7.9549444637059532E-4</v>
      </c>
      <c r="AB81" s="7">
        <f t="shared" ca="1" si="27"/>
        <v>-8.3169135078139272E-4</v>
      </c>
      <c r="AC81" s="11">
        <f t="shared" ca="1" si="28"/>
        <v>-8.6978010739341069E-4</v>
      </c>
      <c r="AD81" s="14">
        <f t="shared" ca="1" si="29"/>
        <v>-9.1015900787385284E-4</v>
      </c>
    </row>
    <row r="82" spans="4:30" x14ac:dyDescent="0.25">
      <c r="D82" s="15"/>
      <c r="E82" s="2">
        <f t="shared" si="7"/>
        <v>1.5000000000000002</v>
      </c>
      <c r="G82" s="11">
        <f t="shared" ca="1" si="8"/>
        <v>4.7472860885004616E-5</v>
      </c>
      <c r="H82" s="8">
        <v>0</v>
      </c>
      <c r="I82" s="7">
        <f t="shared" ca="1" si="9"/>
        <v>-4.7472861111773909E-5</v>
      </c>
      <c r="J82" s="7">
        <f t="shared" ca="1" si="30"/>
        <v>-9.4890528022218513E-5</v>
      </c>
      <c r="K82" s="7">
        <f t="shared" ca="1" si="31"/>
        <v>-1.4219320210918972E-4</v>
      </c>
      <c r="L82" s="7">
        <f t="shared" ca="1" si="32"/>
        <v>-1.893115237737389E-4</v>
      </c>
      <c r="M82" s="7">
        <f t="shared" ca="1" si="13"/>
        <v>-2.3616085206695902E-4</v>
      </c>
      <c r="N82" s="7">
        <f t="shared" ca="1" si="14"/>
        <v>-2.826342547552233E-4</v>
      </c>
      <c r="O82" s="7">
        <f t="shared" ca="1" si="15"/>
        <v>-3.2859350296845667E-4</v>
      </c>
      <c r="P82" s="7">
        <f t="shared" ca="1" si="16"/>
        <v>-3.7385714165012718E-4</v>
      </c>
      <c r="Q82" s="7">
        <f t="shared" ca="1" si="17"/>
        <v>-4.18184537991828E-4</v>
      </c>
      <c r="R82" s="9">
        <f t="shared" ca="1" si="18"/>
        <v>-4.6125497002200188E-4</v>
      </c>
      <c r="S82" s="9">
        <f t="shared" ca="1" si="19"/>
        <v>-5.0264186655569803E-4</v>
      </c>
      <c r="T82" s="9">
        <f t="shared" ca="1" si="20"/>
        <v>-5.419928921391123E-4</v>
      </c>
      <c r="U82" s="9">
        <f t="shared" ca="1" si="21"/>
        <v>-5.7921406794252703E-4</v>
      </c>
      <c r="V82" s="9">
        <f t="shared" ca="1" si="22"/>
        <v>-6.1445636917832874E-4</v>
      </c>
      <c r="W82" s="9">
        <f t="shared" ca="1" si="23"/>
        <v>-6.4811597818725689E-4</v>
      </c>
      <c r="X82" s="7">
        <f t="shared" ca="1" si="24"/>
        <v>-6.8084812826260622E-4</v>
      </c>
      <c r="Y82" s="7">
        <f t="shared" ca="1" si="25"/>
        <v>-7.1338321714382164E-4</v>
      </c>
      <c r="Z82" s="7">
        <f t="shared" ca="1" si="26"/>
        <v>-7.4634657051999838E-4</v>
      </c>
      <c r="AA82" s="7">
        <f t="shared" ca="1" si="27"/>
        <v>-7.8028342169391698E-4</v>
      </c>
      <c r="AB82" s="7">
        <f t="shared" ca="1" si="27"/>
        <v>-8.1567808380303929E-4</v>
      </c>
      <c r="AC82" s="11">
        <f t="shared" ca="1" si="28"/>
        <v>-8.5296678694522527E-4</v>
      </c>
      <c r="AD82" s="14">
        <f t="shared" ca="1" si="29"/>
        <v>-8.9254469790874154E-4</v>
      </c>
    </row>
    <row r="83" spans="4:30" x14ac:dyDescent="0.25">
      <c r="D83" s="15"/>
      <c r="E83" s="2">
        <f t="shared" si="7"/>
        <v>1.4000000000000001</v>
      </c>
      <c r="G83" s="11">
        <f t="shared" ca="1" si="8"/>
        <v>4.6247152057275868E-5</v>
      </c>
      <c r="H83" s="8">
        <v>0</v>
      </c>
      <c r="I83" s="7">
        <f t="shared" ca="1" si="9"/>
        <v>-4.6247152275919941E-5</v>
      </c>
      <c r="J83" s="7">
        <f t="shared" ca="1" si="30"/>
        <v>-9.2440435160929212E-5</v>
      </c>
      <c r="K83" s="7">
        <f t="shared" ca="1" si="31"/>
        <v>-1.3852136717255607E-4</v>
      </c>
      <c r="L83" s="7">
        <f t="shared" ca="1" si="32"/>
        <v>-1.8442190955445214E-4</v>
      </c>
      <c r="M83" s="7">
        <f t="shared" ca="1" si="13"/>
        <v>-2.3005879947697949E-4</v>
      </c>
      <c r="N83" s="7">
        <f t="shared" ca="1" si="14"/>
        <v>-2.75326665246358E-4</v>
      </c>
      <c r="O83" s="7">
        <f t="shared" ca="1" si="15"/>
        <v>-3.2008924927463567E-4</v>
      </c>
      <c r="P83" s="7">
        <f t="shared" ca="1" si="16"/>
        <v>-3.6416782127281715E-4</v>
      </c>
      <c r="Q83" s="7">
        <f t="shared" ca="1" si="17"/>
        <v>-4.0732561135931728E-4</v>
      </c>
      <c r="R83" s="9">
        <f t="shared" ca="1" si="18"/>
        <v>-4.4924705143754607E-4</v>
      </c>
      <c r="S83" s="9">
        <f t="shared" ca="1" si="19"/>
        <v>-4.8951138700727777E-4</v>
      </c>
      <c r="T83" s="9">
        <f t="shared" ca="1" si="20"/>
        <v>-5.277709396277982E-4</v>
      </c>
      <c r="U83" s="9">
        <f t="shared" ca="1" si="21"/>
        <v>-5.6393328528713731E-4</v>
      </c>
      <c r="V83" s="9">
        <f t="shared" ca="1" si="22"/>
        <v>-5.9814694234894522E-4</v>
      </c>
      <c r="W83" s="9">
        <f t="shared" ca="1" si="23"/>
        <v>-6.3080162492527999E-4</v>
      </c>
      <c r="X83" s="7">
        <f t="shared" ca="1" si="24"/>
        <v>-6.625430001561967E-4</v>
      </c>
      <c r="Y83" s="7">
        <f t="shared" ca="1" si="25"/>
        <v>-6.9409075893039462E-4</v>
      </c>
      <c r="Z83" s="7">
        <f t="shared" ca="1" si="26"/>
        <v>-7.2606023564719246E-4</v>
      </c>
      <c r="AA83" s="7">
        <f t="shared" ca="1" si="27"/>
        <v>-7.5898807700628985E-4</v>
      </c>
      <c r="AB83" s="7">
        <f t="shared" ca="1" si="27"/>
        <v>-7.9335135084105453E-4</v>
      </c>
      <c r="AC83" s="11">
        <f t="shared" ca="1" si="28"/>
        <v>-8.2958008992012637E-4</v>
      </c>
      <c r="AD83" s="14">
        <f t="shared" ca="1" si="29"/>
        <v>-8.6806395673220352E-4</v>
      </c>
    </row>
    <row r="84" spans="4:30" x14ac:dyDescent="0.25">
      <c r="D84" s="15"/>
      <c r="E84" s="2">
        <f t="shared" si="7"/>
        <v>1.3</v>
      </c>
      <c r="G84" s="11">
        <f t="shared" ca="1" si="8"/>
        <v>4.4637993899947376E-5</v>
      </c>
      <c r="H84" s="8">
        <v>0</v>
      </c>
      <c r="I84" s="7">
        <f t="shared" ca="1" si="9"/>
        <v>-4.4637994109123938E-5</v>
      </c>
      <c r="J84" s="7">
        <f t="shared" ca="1" si="30"/>
        <v>-8.9222117173892504E-5</v>
      </c>
      <c r="K84" s="7">
        <f t="shared" ca="1" si="31"/>
        <v>-1.3369395873248364E-4</v>
      </c>
      <c r="L84" s="7">
        <f t="shared" ca="1" si="32"/>
        <v>-1.7798574756460662E-4</v>
      </c>
      <c r="M84" s="7">
        <f t="shared" ca="1" si="13"/>
        <v>-2.2201492287385018E-4</v>
      </c>
      <c r="N84" s="7">
        <f t="shared" ca="1" si="14"/>
        <v>-2.6567768515483383E-4</v>
      </c>
      <c r="O84" s="7">
        <f t="shared" ca="1" si="15"/>
        <v>-3.0884095295696009E-4</v>
      </c>
      <c r="P84" s="7">
        <f t="shared" ca="1" si="16"/>
        <v>-3.5133187766064682E-4</v>
      </c>
      <c r="Q84" s="7">
        <f t="shared" ca="1" si="17"/>
        <v>-3.9292361915583662E-4</v>
      </c>
      <c r="R84" s="9">
        <f t="shared" ca="1" si="18"/>
        <v>-4.3331545266024043E-4</v>
      </c>
      <c r="S84" s="9">
        <f t="shared" ca="1" si="19"/>
        <v>-4.7210492900332809E-4</v>
      </c>
      <c r="T84" s="9">
        <f t="shared" ca="1" si="20"/>
        <v>-5.0896019386528367E-4</v>
      </c>
      <c r="U84" s="9">
        <f t="shared" ca="1" si="21"/>
        <v>-5.4379582027738759E-4</v>
      </c>
      <c r="V84" s="9">
        <f t="shared" ca="1" si="22"/>
        <v>-5.7675602018612121E-4</v>
      </c>
      <c r="W84" s="9">
        <f t="shared" ca="1" si="23"/>
        <v>-6.0821489271874586E-4</v>
      </c>
      <c r="X84" s="7">
        <f t="shared" ca="1" si="24"/>
        <v>-6.3879365696830628E-4</v>
      </c>
      <c r="Y84" s="7">
        <f t="shared" ca="1" si="25"/>
        <v>-6.691850973277937E-4</v>
      </c>
      <c r="Z84" s="7">
        <f t="shared" ca="1" si="26"/>
        <v>-6.9998120913862701E-4</v>
      </c>
      <c r="AA84" s="7">
        <f t="shared" ca="1" si="27"/>
        <v>-7.3170048238643565E-4</v>
      </c>
      <c r="AB84" s="7">
        <f t="shared" ca="1" si="27"/>
        <v>-7.6480640434598241E-4</v>
      </c>
      <c r="AC84" s="11">
        <f t="shared" ca="1" si="28"/>
        <v>-7.9971896968943513E-4</v>
      </c>
      <c r="AD84" s="14">
        <f t="shared" ca="1" si="29"/>
        <v>-8.3682035610164974E-4</v>
      </c>
    </row>
    <row r="85" spans="4:30" x14ac:dyDescent="0.25">
      <c r="D85" s="15"/>
      <c r="E85" s="2">
        <f t="shared" si="7"/>
        <v>1.2</v>
      </c>
      <c r="G85" s="11">
        <f t="shared" ca="1" si="8"/>
        <v>4.2657958913873729E-5</v>
      </c>
      <c r="H85" s="8">
        <v>0</v>
      </c>
      <c r="I85" s="7">
        <f t="shared" ca="1" si="9"/>
        <v>-4.2657959112299559E-5</v>
      </c>
      <c r="J85" s="7">
        <f t="shared" ca="1" si="30"/>
        <v>-8.5260994664961581E-5</v>
      </c>
      <c r="K85" s="7">
        <f t="shared" ca="1" si="31"/>
        <v>-1.277497744635853E-4</v>
      </c>
      <c r="L85" s="7">
        <f t="shared" ca="1" si="32"/>
        <v>-1.7005593620639345E-4</v>
      </c>
      <c r="M85" s="7">
        <f t="shared" ca="1" si="13"/>
        <v>-2.1209701423502292E-4</v>
      </c>
      <c r="N85" s="7">
        <f t="shared" ca="1" si="14"/>
        <v>-2.5377062385753671E-4</v>
      </c>
      <c r="O85" s="7">
        <f t="shared" ca="1" si="15"/>
        <v>-2.9494750184324919E-4</v>
      </c>
      <c r="P85" s="7">
        <f t="shared" ca="1" si="16"/>
        <v>-3.354627606895474E-4</v>
      </c>
      <c r="Q85" s="7">
        <f t="shared" ca="1" si="17"/>
        <v>-3.7510414284443839E-4</v>
      </c>
      <c r="R85" s="9">
        <f t="shared" ca="1" si="18"/>
        <v>-4.1359467590728341E-4</v>
      </c>
      <c r="S85" s="9">
        <f t="shared" ca="1" si="19"/>
        <v>-4.5056418450317563E-4</v>
      </c>
      <c r="T85" s="9">
        <f t="shared" ca="1" si="20"/>
        <v>-4.8570964921871749E-4</v>
      </c>
      <c r="U85" s="9">
        <f t="shared" ca="1" si="21"/>
        <v>-5.1895836842198403E-4</v>
      </c>
      <c r="V85" s="9">
        <f t="shared" ca="1" si="22"/>
        <v>-5.5044849449731347E-4</v>
      </c>
      <c r="W85" s="9">
        <f t="shared" ca="1" si="23"/>
        <v>-5.805292708439847E-4</v>
      </c>
      <c r="X85" s="7">
        <f t="shared" ca="1" si="24"/>
        <v>-6.0978093135448982E-4</v>
      </c>
      <c r="Y85" s="7">
        <f t="shared" ca="1" si="25"/>
        <v>-6.3885185246964507E-4</v>
      </c>
      <c r="Z85" s="7">
        <f t="shared" ca="1" si="26"/>
        <v>-6.6829827927985847E-4</v>
      </c>
      <c r="AA85" s="7">
        <f t="shared" ca="1" si="27"/>
        <v>-6.9861251349172422E-4</v>
      </c>
      <c r="AB85" s="7">
        <f t="shared" ca="1" si="27"/>
        <v>-7.3023931698296054E-4</v>
      </c>
      <c r="AC85" s="11">
        <f t="shared" ca="1" si="28"/>
        <v>-7.635856094779913E-4</v>
      </c>
      <c r="AD85" s="14">
        <f t="shared" ca="1" si="29"/>
        <v>-7.9902512497644421E-4</v>
      </c>
    </row>
    <row r="86" spans="4:30" x14ac:dyDescent="0.25">
      <c r="D86" s="15"/>
      <c r="E86" s="2">
        <f t="shared" si="7"/>
        <v>1.0999999999999999</v>
      </c>
      <c r="G86" s="11">
        <f t="shared" ca="1" si="8"/>
        <v>4.0326257206194616E-5</v>
      </c>
      <c r="H86" s="8">
        <v>0</v>
      </c>
      <c r="I86" s="7">
        <f t="shared" ca="1" si="9"/>
        <v>-4.0326257392653415E-5</v>
      </c>
      <c r="J86" s="7">
        <f t="shared" ca="1" si="30"/>
        <v>-8.059593083704378E-5</v>
      </c>
      <c r="K86" s="7">
        <f t="shared" ca="1" si="31"/>
        <v>-1.2074819863835418E-4</v>
      </c>
      <c r="L86" s="7">
        <f t="shared" ca="1" si="32"/>
        <v>-1.6071362136245123E-4</v>
      </c>
      <c r="M86" s="7">
        <f t="shared" ca="1" si="13"/>
        <v>-2.004094689801089E-4</v>
      </c>
      <c r="N86" s="7">
        <f t="shared" ca="1" si="14"/>
        <v>-2.3973459322634998E-4</v>
      </c>
      <c r="O86" s="7">
        <f t="shared" ca="1" si="15"/>
        <v>-2.7856364969738488E-4</v>
      </c>
      <c r="P86" s="7">
        <f t="shared" ca="1" si="16"/>
        <v>-3.1674037181659399E-4</v>
      </c>
      <c r="Q86" s="7">
        <f t="shared" ca="1" si="17"/>
        <v>-3.5406923510919024E-4</v>
      </c>
      <c r="R86" s="9">
        <f t="shared" ca="1" si="18"/>
        <v>-3.903034365263738E-4</v>
      </c>
      <c r="S86" s="9">
        <f t="shared" ca="1" si="19"/>
        <v>-4.2512120262584848E-4</v>
      </c>
      <c r="T86" s="9">
        <f t="shared" ca="1" si="20"/>
        <v>-4.5826398718217226E-4</v>
      </c>
      <c r="U86" s="9">
        <f t="shared" ca="1" si="21"/>
        <v>-4.8967656851334478E-4</v>
      </c>
      <c r="V86" s="9">
        <f t="shared" ca="1" si="22"/>
        <v>-5.1948944721628369E-4</v>
      </c>
      <c r="W86" s="9">
        <f t="shared" ca="1" si="23"/>
        <v>-5.4801906581977775E-4</v>
      </c>
      <c r="X86" s="7">
        <f t="shared" ca="1" si="24"/>
        <v>-5.757858286138687E-4</v>
      </c>
      <c r="Y86" s="7">
        <f t="shared" ca="1" si="25"/>
        <v>-6.0337435394310513E-4</v>
      </c>
      <c r="Z86" s="7">
        <f t="shared" ca="1" si="26"/>
        <v>-6.3129550238457646E-4</v>
      </c>
      <c r="AA86" s="7">
        <f t="shared" ca="1" si="27"/>
        <v>-6.6001009162063376E-4</v>
      </c>
      <c r="AB86" s="7">
        <f t="shared" ca="1" si="27"/>
        <v>-6.8994060312653016E-4</v>
      </c>
      <c r="AC86" s="11">
        <f t="shared" ca="1" si="28"/>
        <v>-7.2147858858034831E-4</v>
      </c>
      <c r="AD86" s="14">
        <f t="shared" ca="1" si="29"/>
        <v>-7.5498916905640491E-4</v>
      </c>
    </row>
    <row r="87" spans="4:30" x14ac:dyDescent="0.25">
      <c r="D87" s="15"/>
      <c r="E87" s="2">
        <f t="shared" si="7"/>
        <v>0.99999999999999989</v>
      </c>
      <c r="G87" s="11">
        <f t="shared" ca="1" si="8"/>
        <v>3.7667719915874978E-5</v>
      </c>
      <c r="H87" s="8">
        <v>0</v>
      </c>
      <c r="I87" s="7">
        <f t="shared" ca="1" si="9"/>
        <v>-3.766772008922475E-5</v>
      </c>
      <c r="J87" s="7">
        <f t="shared" ca="1" si="30"/>
        <v>-7.5277165177339882E-5</v>
      </c>
      <c r="K87" s="7">
        <f t="shared" ca="1" si="31"/>
        <v>-1.1276603521970665E-4</v>
      </c>
      <c r="L87" s="7">
        <f t="shared" ca="1" si="32"/>
        <v>-1.5006390136840161E-4</v>
      </c>
      <c r="M87" s="7">
        <f t="shared" ca="1" si="13"/>
        <v>-1.8708794934292714E-4</v>
      </c>
      <c r="N87" s="7">
        <f t="shared" ca="1" si="14"/>
        <v>-2.2373851456729588E-4</v>
      </c>
      <c r="O87" s="7">
        <f t="shared" ca="1" si="15"/>
        <v>-2.5989438399692387E-4</v>
      </c>
      <c r="P87" s="7">
        <f t="shared" ca="1" si="16"/>
        <v>-2.954078881142065E-4</v>
      </c>
      <c r="Q87" s="7">
        <f t="shared" ca="1" si="17"/>
        <v>-3.3009987659641317E-4</v>
      </c>
      <c r="R87" s="9">
        <f t="shared" ca="1" si="18"/>
        <v>-3.6375476079995254E-4</v>
      </c>
      <c r="S87" s="9">
        <f t="shared" ca="1" si="19"/>
        <v>-3.9611590324355628E-4</v>
      </c>
      <c r="T87" s="9">
        <f t="shared" ca="1" si="20"/>
        <v>-4.2698571276017099E-4</v>
      </c>
      <c r="U87" s="9">
        <f t="shared" ca="1" si="21"/>
        <v>-4.5632682853778434E-4</v>
      </c>
      <c r="V87" s="9">
        <f t="shared" ca="1" si="22"/>
        <v>-4.8426071851732211E-4</v>
      </c>
      <c r="W87" s="9">
        <f t="shared" ca="1" si="23"/>
        <v>-5.1106787739590661E-4</v>
      </c>
      <c r="X87" s="7">
        <f t="shared" ca="1" si="24"/>
        <v>-5.3718961969903686E-4</v>
      </c>
      <c r="Y87" s="7">
        <f t="shared" ca="1" si="25"/>
        <v>-5.6312727576615412E-4</v>
      </c>
      <c r="Z87" s="7">
        <f t="shared" ca="1" si="26"/>
        <v>-5.8934246532376343E-4</v>
      </c>
      <c r="AA87" s="7">
        <f t="shared" ca="1" si="27"/>
        <v>-6.1626207911236305E-4</v>
      </c>
      <c r="AB87" s="7">
        <f t="shared" ca="1" si="27"/>
        <v>-6.4428364604887591E-4</v>
      </c>
      <c r="AC87" s="11">
        <f t="shared" ca="1" si="28"/>
        <v>-6.7378087576407488E-4</v>
      </c>
      <c r="AD87" s="14">
        <f t="shared" ca="1" si="29"/>
        <v>-7.0510930940586181E-4</v>
      </c>
    </row>
    <row r="88" spans="4:30" x14ac:dyDescent="0.25">
      <c r="D88" s="15"/>
      <c r="E88" s="2">
        <f t="shared" si="7"/>
        <v>0.89999999999999991</v>
      </c>
      <c r="G88" s="11">
        <f t="shared" ca="1" si="8"/>
        <v>3.4711474113012969E-5</v>
      </c>
      <c r="H88" s="8">
        <v>0</v>
      </c>
      <c r="I88" s="7">
        <f t="shared" ca="1" si="9"/>
        <v>-3.4711474272192889E-5</v>
      </c>
      <c r="J88" s="7">
        <f t="shared" ca="1" si="30"/>
        <v>-6.9363589149569875E-5</v>
      </c>
      <c r="K88" s="7">
        <f t="shared" ca="1" si="31"/>
        <v>-1.0389323574191635E-4</v>
      </c>
      <c r="L88" s="7">
        <f t="shared" ca="1" si="32"/>
        <v>-1.38229787720683E-4</v>
      </c>
      <c r="M88" s="7">
        <f t="shared" ca="1" si="13"/>
        <v>-1.7229131229947386E-4</v>
      </c>
      <c r="N88" s="7">
        <f t="shared" ca="1" si="14"/>
        <v>-2.059808031168739E-4</v>
      </c>
      <c r="O88" s="7">
        <f t="shared" ca="1" si="15"/>
        <v>-2.3918256784629462E-4</v>
      </c>
      <c r="P88" s="7">
        <f t="shared" ca="1" si="16"/>
        <v>-2.7175909906419467E-4</v>
      </c>
      <c r="Q88" s="7">
        <f t="shared" ca="1" si="17"/>
        <v>-3.0354926035060237E-4</v>
      </c>
      <c r="R88" s="7">
        <f t="shared" ca="1" si="18"/>
        <v>-3.3437022003677663E-4</v>
      </c>
      <c r="S88" s="7">
        <f t="shared" ca="1" si="19"/>
        <v>-3.6403168850073425E-4</v>
      </c>
      <c r="T88" s="7">
        <f t="shared" ca="1" si="20"/>
        <v>-3.9239765198300155E-4</v>
      </c>
      <c r="U88" s="7">
        <f t="shared" ca="1" si="21"/>
        <v>-4.1944841793313477E-4</v>
      </c>
      <c r="V88" s="7">
        <f t="shared" ca="1" si="22"/>
        <v>-4.4529528246856488E-4</v>
      </c>
      <c r="W88" s="7">
        <f t="shared" ca="1" si="23"/>
        <v>-4.7018070559804711E-4</v>
      </c>
      <c r="X88" s="7">
        <f t="shared" ca="1" si="24"/>
        <v>-4.944640058234046E-4</v>
      </c>
      <c r="Y88" s="7">
        <f t="shared" ca="1" si="25"/>
        <v>-5.185597183494545E-4</v>
      </c>
      <c r="Z88" s="7">
        <f t="shared" ca="1" si="26"/>
        <v>-5.4287635881213308E-4</v>
      </c>
      <c r="AA88" s="7">
        <f t="shared" ca="1" si="27"/>
        <v>-5.6780287831496975E-4</v>
      </c>
      <c r="AB88" s="7">
        <f t="shared" ca="1" si="27"/>
        <v>-5.9370781604669697E-4</v>
      </c>
      <c r="AC88" s="11">
        <f t="shared" ca="1" si="28"/>
        <v>-6.209430039223994E-4</v>
      </c>
      <c r="AD88" s="14">
        <f t="shared" ca="1" si="29"/>
        <v>-6.4985030043274855E-4</v>
      </c>
    </row>
    <row r="89" spans="4:30" x14ac:dyDescent="0.25">
      <c r="D89" s="15"/>
      <c r="E89" s="2">
        <f t="shared" si="7"/>
        <v>0.79999999999999993</v>
      </c>
      <c r="G89" s="11">
        <f t="shared" ca="1" si="8"/>
        <v>3.1489455674108123E-5</v>
      </c>
      <c r="H89" s="8">
        <v>0</v>
      </c>
      <c r="I89" s="7">
        <f t="shared" ca="1" si="9"/>
        <v>-3.1489455818144937E-5</v>
      </c>
      <c r="J89" s="7">
        <f t="shared" ca="1" si="30"/>
        <v>-6.2919666248642815E-5</v>
      </c>
      <c r="K89" s="7">
        <f t="shared" ca="1" si="31"/>
        <v>-9.4227994841783718E-5</v>
      </c>
      <c r="L89" s="7">
        <f t="shared" ca="1" si="32"/>
        <v>-1.2534506670974289E-4</v>
      </c>
      <c r="M89" s="7">
        <f t="shared" ca="1" si="13"/>
        <v>-1.5619153707434498E-4</v>
      </c>
      <c r="N89" s="7">
        <f t="shared" ca="1" si="14"/>
        <v>-1.866751239950174E-4</v>
      </c>
      <c r="O89" s="7">
        <f t="shared" ca="1" si="15"/>
        <v>-2.1668820686023441E-4</v>
      </c>
      <c r="P89" s="7">
        <f t="shared" ca="1" si="16"/>
        <v>-2.4610661305574832E-4</v>
      </c>
      <c r="Q89" s="7">
        <f t="shared" ca="1" si="17"/>
        <v>-2.7479092210213978E-4</v>
      </c>
      <c r="R89" s="7">
        <f t="shared" ca="1" si="18"/>
        <v>-3.0259320770194915E-4</v>
      </c>
      <c r="S89" s="7">
        <f t="shared" ca="1" si="19"/>
        <v>-3.2937535239453014E-4</v>
      </c>
      <c r="T89" s="7">
        <f t="shared" ca="1" si="20"/>
        <v>-3.5504780800281759E-4</v>
      </c>
      <c r="U89" s="7">
        <f t="shared" ca="1" si="21"/>
        <v>-3.7960786205255918E-4</v>
      </c>
      <c r="V89" s="7">
        <f t="shared" ca="1" si="22"/>
        <v>-4.0315574816363856E-4</v>
      </c>
      <c r="W89" s="7">
        <f t="shared" ca="1" si="23"/>
        <v>-4.2589480048062808E-4</v>
      </c>
      <c r="X89" s="7">
        <f t="shared" ca="1" si="24"/>
        <v>-4.4811567738017833E-4</v>
      </c>
      <c r="Y89" s="7">
        <f t="shared" ca="1" si="25"/>
        <v>-4.7015851458750692E-4</v>
      </c>
      <c r="Z89" s="7">
        <f t="shared" ca="1" si="26"/>
        <v>-4.9237476270239003E-4</v>
      </c>
      <c r="AA89" s="7">
        <f t="shared" ca="1" si="27"/>
        <v>-5.1510981090590918E-4</v>
      </c>
      <c r="AB89" s="7">
        <f t="shared" ca="1" si="27"/>
        <v>-5.3869782161656773E-4</v>
      </c>
      <c r="AC89" s="11">
        <f t="shared" ca="1" si="28"/>
        <v>-5.63463212569698E-4</v>
      </c>
      <c r="AD89" s="14">
        <f t="shared" ca="1" si="29"/>
        <v>-5.8972700795757596E-4</v>
      </c>
    </row>
    <row r="90" spans="4:30" x14ac:dyDescent="0.25">
      <c r="D90" s="15"/>
      <c r="E90" s="2">
        <f t="shared" si="7"/>
        <v>0.7</v>
      </c>
      <c r="G90" s="11">
        <f t="shared" ca="1" si="8"/>
        <v>2.8034950493337035E-5</v>
      </c>
      <c r="H90" s="8">
        <v>0</v>
      </c>
      <c r="I90" s="7">
        <f t="shared" ca="1" si="9"/>
        <v>-2.8034950621350917E-5</v>
      </c>
      <c r="J90" s="7">
        <f t="shared" ca="1" si="30"/>
        <v>-5.6012413960495126E-5</v>
      </c>
      <c r="K90" s="7">
        <f t="shared" ca="1" si="31"/>
        <v>-8.3871950774858783E-5</v>
      </c>
      <c r="L90" s="7">
        <f t="shared" ca="1" si="32"/>
        <v>-1.1154732079463921E-4</v>
      </c>
      <c r="M90" s="7">
        <f t="shared" ca="1" si="13"/>
        <v>-1.389638775115007E-4</v>
      </c>
      <c r="N90" s="7">
        <f t="shared" ca="1" si="14"/>
        <v>-1.6603644256585714E-4</v>
      </c>
      <c r="O90" s="7">
        <f t="shared" ca="1" si="15"/>
        <v>-1.9266807386933654E-4</v>
      </c>
      <c r="P90" s="7">
        <f t="shared" ca="1" si="16"/>
        <v>-2.1875046638967114E-4</v>
      </c>
      <c r="Q90" s="7">
        <f t="shared" ca="1" si="17"/>
        <v>-2.4416728994033324E-4</v>
      </c>
      <c r="R90" s="7">
        <f t="shared" ca="1" si="18"/>
        <v>-2.6880262575171629E-4</v>
      </c>
      <c r="S90" s="7">
        <f t="shared" ca="1" si="19"/>
        <v>-2.9255737428443129E-4</v>
      </c>
      <c r="T90" s="7">
        <f t="shared" ca="1" si="20"/>
        <v>-3.153745768267875E-4</v>
      </c>
      <c r="U90" s="7">
        <f t="shared" ca="1" si="21"/>
        <v>-3.3726368382018301E-4</v>
      </c>
      <c r="V90" s="7">
        <f t="shared" ca="1" si="22"/>
        <v>-3.5831320861491069E-4</v>
      </c>
      <c r="W90" s="7">
        <f t="shared" ca="1" si="23"/>
        <v>-3.7869086460925891E-4</v>
      </c>
      <c r="X90" s="7">
        <f t="shared" ca="1" si="24"/>
        <v>-3.98631220829955E-4</v>
      </c>
      <c r="Y90" s="7">
        <f t="shared" ca="1" si="25"/>
        <v>-4.1841185887835336E-4</v>
      </c>
      <c r="Z90" s="7">
        <f t="shared" ca="1" si="26"/>
        <v>-4.3832870886298061E-4</v>
      </c>
      <c r="AA90" s="7">
        <f t="shared" ca="1" si="27"/>
        <v>-4.5868071854606655E-4</v>
      </c>
      <c r="AB90" s="7">
        <f t="shared" ca="1" si="27"/>
        <v>-4.7976322879442429E-4</v>
      </c>
      <c r="AC90" s="11">
        <f t="shared" ca="1" si="28"/>
        <v>-5.0186772479337682E-4</v>
      </c>
      <c r="AD90" s="14">
        <f t="shared" ca="1" si="29"/>
        <v>-5.2528672887114857E-4</v>
      </c>
    </row>
    <row r="91" spans="4:30" x14ac:dyDescent="0.25">
      <c r="D91" s="15"/>
      <c r="E91" s="2">
        <f t="shared" si="7"/>
        <v>0.6</v>
      </c>
      <c r="G91" s="11">
        <f t="shared" ca="1" si="8"/>
        <v>2.4381344913659878E-5</v>
      </c>
      <c r="H91" s="8">
        <v>0</v>
      </c>
      <c r="I91" s="7">
        <f t="shared" ca="1" si="9"/>
        <v>-2.4381345024869649E-5</v>
      </c>
      <c r="J91" s="7">
        <f t="shared" ca="1" si="30"/>
        <v>-4.8708846802805599E-5</v>
      </c>
      <c r="K91" s="7">
        <f t="shared" ca="1" si="31"/>
        <v>-7.2926202528988981E-5</v>
      </c>
      <c r="L91" s="7">
        <f t="shared" ca="1" si="32"/>
        <v>-9.6972338527486309E-5</v>
      </c>
      <c r="M91" s="7">
        <f t="shared" ca="1" si="13"/>
        <v>-1.2077943535919034E-4</v>
      </c>
      <c r="N91" s="7">
        <f t="shared" ca="1" si="14"/>
        <v>-1.4427157044903622E-4</v>
      </c>
      <c r="O91" s="7">
        <f t="shared" ca="1" si="15"/>
        <v>-1.6736441692635673E-4</v>
      </c>
      <c r="P91" s="7">
        <f t="shared" ca="1" si="16"/>
        <v>-1.8996667850144913E-4</v>
      </c>
      <c r="Q91" s="7">
        <f t="shared" ca="1" si="17"/>
        <v>-2.1198425480055543E-4</v>
      </c>
      <c r="R91" s="7">
        <f t="shared" ca="1" si="18"/>
        <v>-2.3332838571592278E-4</v>
      </c>
      <c r="S91" s="7">
        <f t="shared" ca="1" si="19"/>
        <v>-2.5392872762629575E-4</v>
      </c>
      <c r="T91" s="7">
        <f t="shared" ca="1" si="20"/>
        <v>-2.7375037120820942E-4</v>
      </c>
      <c r="U91" s="7">
        <f t="shared" ca="1" si="21"/>
        <v>-2.9280958274928247E-4</v>
      </c>
      <c r="V91" s="7">
        <f t="shared" ca="1" si="22"/>
        <v>-3.111826982161409E-4</v>
      </c>
      <c r="W91" s="7">
        <f t="shared" ca="1" si="23"/>
        <v>-3.2900624600069818E-4</v>
      </c>
      <c r="X91" s="7">
        <f t="shared" ca="1" si="24"/>
        <v>-3.4646833857925746E-4</v>
      </c>
      <c r="Y91" s="7">
        <f t="shared" ca="1" si="25"/>
        <v>-3.6379334748994291E-4</v>
      </c>
      <c r="Z91" s="7">
        <f t="shared" ca="1" si="26"/>
        <v>-3.8122555406912577E-4</v>
      </c>
      <c r="AA91" s="7">
        <f t="shared" ca="1" si="27"/>
        <v>-3.9901717395603392E-4</v>
      </c>
      <c r="AB91" s="7">
        <f t="shared" ca="1" si="27"/>
        <v>-4.1742201890269617E-4</v>
      </c>
      <c r="AC91" s="11">
        <f t="shared" ca="1" si="28"/>
        <v>-4.3669425117191937E-4</v>
      </c>
      <c r="AD91" s="14">
        <f t="shared" ca="1" si="29"/>
        <v>-4.5709155190397561E-4</v>
      </c>
    </row>
    <row r="92" spans="4:30" x14ac:dyDescent="0.25">
      <c r="D92" s="15"/>
      <c r="E92" s="2">
        <f t="shared" si="7"/>
        <v>0.5</v>
      </c>
      <c r="G92" s="11">
        <f t="shared" ca="1" si="8"/>
        <v>2.0561203235998043E-5</v>
      </c>
      <c r="H92" s="8">
        <v>0</v>
      </c>
      <c r="I92" s="7">
        <f t="shared" ca="1" si="9"/>
        <v>-2.0561203329725759E-5</v>
      </c>
      <c r="J92" s="7">
        <f t="shared" ca="1" si="30"/>
        <v>-4.1074126742296203E-5</v>
      </c>
      <c r="K92" s="7">
        <f t="shared" ca="1" si="31"/>
        <v>-6.1488536564125316E-5</v>
      </c>
      <c r="L92" s="7">
        <f t="shared" ca="1" si="32"/>
        <v>-8.1750462717892697E-5</v>
      </c>
      <c r="M92" s="7">
        <f t="shared" ca="1" si="13"/>
        <v>-1.0180079287482686E-4</v>
      </c>
      <c r="N92" s="7">
        <f t="shared" ca="1" si="14"/>
        <v>-1.2157452439178835E-4</v>
      </c>
      <c r="O92" s="7">
        <f t="shared" ca="1" si="15"/>
        <v>-1.410010679055886E-4</v>
      </c>
      <c r="P92" s="7">
        <f t="shared" ca="1" si="16"/>
        <v>-1.6000613585498058E-4</v>
      </c>
      <c r="Q92" s="7">
        <f t="shared" ca="1" si="17"/>
        <v>-1.7851586339642583E-4</v>
      </c>
      <c r="R92" s="7">
        <f t="shared" ca="1" si="18"/>
        <v>-1.9646375615561785E-4</v>
      </c>
      <c r="S92" s="7">
        <f t="shared" ca="1" si="19"/>
        <v>-2.1380055359248342E-4</v>
      </c>
      <c r="T92" s="7">
        <f t="shared" ca="1" si="20"/>
        <v>-2.3050581086700111E-4</v>
      </c>
      <c r="U92" s="7">
        <f t="shared" ca="1" si="21"/>
        <v>-2.4659824128425131E-4</v>
      </c>
      <c r="V92" s="7">
        <f t="shared" ca="1" si="22"/>
        <v>-2.621417061126367E-4</v>
      </c>
      <c r="W92" s="7">
        <f t="shared" ca="1" si="23"/>
        <v>-2.7724532375991538E-4</v>
      </c>
      <c r="X92" s="7">
        <f t="shared" ca="1" si="24"/>
        <v>-2.9205773894684704E-4</v>
      </c>
      <c r="Y92" s="7">
        <f t="shared" ca="1" si="25"/>
        <v>-3.0675716888522851E-4</v>
      </c>
      <c r="Z92" s="7">
        <f t="shared" ca="1" si="26"/>
        <v>-3.2154045209790272E-4</v>
      </c>
      <c r="AA92" s="7">
        <f t="shared" ca="1" si="27"/>
        <v>-3.3661420959272219E-4</v>
      </c>
      <c r="AB92" s="7">
        <f t="shared" ca="1" si="27"/>
        <v>-3.5218951970486843E-4</v>
      </c>
      <c r="AC92" s="11">
        <f t="shared" ca="1" si="28"/>
        <v>-3.6848027360493181E-4</v>
      </c>
      <c r="AD92" s="14">
        <f t="shared" ca="1" si="29"/>
        <v>-3.857048795440892E-4</v>
      </c>
    </row>
    <row r="93" spans="4:30" x14ac:dyDescent="0.25">
      <c r="D93" s="15"/>
      <c r="E93" s="2">
        <f t="shared" si="7"/>
        <v>0.4</v>
      </c>
      <c r="G93" s="11">
        <f t="shared" ca="1" si="8"/>
        <v>1.660570887447665E-5</v>
      </c>
      <c r="H93" s="8">
        <v>0</v>
      </c>
      <c r="I93" s="7">
        <f t="shared" ca="1" si="9"/>
        <v>-1.660570895015158E-5</v>
      </c>
      <c r="J93" s="7">
        <f t="shared" ca="1" si="30"/>
        <v>-3.3170479822712686E-5</v>
      </c>
      <c r="K93" s="7">
        <f t="shared" ca="1" si="31"/>
        <v>-4.9651903231345609E-5</v>
      </c>
      <c r="L93" s="7">
        <f t="shared" ca="1" si="32"/>
        <v>-6.6004796295611183E-5</v>
      </c>
      <c r="M93" s="7">
        <f t="shared" ca="1" si="13"/>
        <v>-8.2180264247682928E-5</v>
      </c>
      <c r="N93" s="7">
        <f t="shared" ca="1" si="14"/>
        <v>-9.812537257366269E-5</v>
      </c>
      <c r="O93" s="7">
        <f t="shared" ca="1" si="15"/>
        <v>-1.1378374377410945E-4</v>
      </c>
      <c r="P93" s="7">
        <f t="shared" ca="1" si="16"/>
        <v>-1.2909745320049799E-4</v>
      </c>
      <c r="Q93" s="7">
        <f t="shared" ca="1" si="17"/>
        <v>-1.4401059935423941E-4</v>
      </c>
      <c r="R93" s="7">
        <f t="shared" ca="1" si="18"/>
        <v>-1.5847476940843161E-4</v>
      </c>
      <c r="S93" s="7">
        <f t="shared" ca="1" si="19"/>
        <v>-1.7245618464003967E-4</v>
      </c>
      <c r="T93" s="7">
        <f t="shared" ca="1" si="20"/>
        <v>-1.859435494184025E-4</v>
      </c>
      <c r="U93" s="7">
        <f t="shared" ca="1" si="21"/>
        <v>-1.989548466759157E-4</v>
      </c>
      <c r="V93" s="7">
        <f t="shared" ca="1" si="22"/>
        <v>-2.1154128358539175E-4</v>
      </c>
      <c r="W93" s="7">
        <f t="shared" ca="1" si="23"/>
        <v>-2.237873855941479E-4</v>
      </c>
      <c r="X93" s="7">
        <f t="shared" ca="1" si="24"/>
        <v>-2.3580727567382151E-4</v>
      </c>
      <c r="Y93" s="7">
        <f t="shared" ca="1" si="25"/>
        <v>-2.4773821954896284E-4</v>
      </c>
      <c r="Z93" s="7">
        <f t="shared" ca="1" si="26"/>
        <v>-2.5973332696070482E-4</v>
      </c>
      <c r="AA93" s="7">
        <f t="shared" ca="1" si="27"/>
        <v>-2.7195528133567334E-4</v>
      </c>
      <c r="AB93" s="7">
        <f t="shared" ca="1" si="27"/>
        <v>-2.8457220930901475E-4</v>
      </c>
      <c r="AC93" s="11">
        <f t="shared" ca="1" si="28"/>
        <v>-2.9775603851404041E-4</v>
      </c>
      <c r="AD93" s="14">
        <f t="shared" ca="1" si="29"/>
        <v>-3.1168318937172521E-4</v>
      </c>
    </row>
    <row r="94" spans="4:30" x14ac:dyDescent="0.25">
      <c r="D94" s="15"/>
      <c r="E94" s="2">
        <f t="shared" si="7"/>
        <v>0.30000000000000004</v>
      </c>
      <c r="G94" s="11">
        <f t="shared" ca="1" si="8"/>
        <v>1.2544440422788489E-5</v>
      </c>
      <c r="H94" s="8">
        <v>0</v>
      </c>
      <c r="I94" s="7">
        <f t="shared" ca="1" si="9"/>
        <v>-1.254444047995037E-5</v>
      </c>
      <c r="J94" s="7">
        <f t="shared" ca="1" si="30"/>
        <v>-2.5056798798142055E-5</v>
      </c>
      <c r="K94" s="7">
        <f t="shared" ca="1" si="31"/>
        <v>-3.7503957349373723E-5</v>
      </c>
      <c r="L94" s="7">
        <f t="shared" ca="1" si="32"/>
        <v>-4.985087293165592E-5</v>
      </c>
      <c r="M94" s="7">
        <f t="shared" ca="1" si="13"/>
        <v>-6.2059993538314699E-5</v>
      </c>
      <c r="N94" s="7">
        <f t="shared" ca="1" si="14"/>
        <v>-7.4091174938047669E-5</v>
      </c>
      <c r="O94" s="7">
        <f t="shared" ca="1" si="15"/>
        <v>-8.5902323114539172E-5</v>
      </c>
      <c r="P94" s="7">
        <f t="shared" ca="1" si="16"/>
        <v>-9.7451002668232876E-5</v>
      </c>
      <c r="Q94" s="7">
        <f t="shared" ca="1" si="17"/>
        <v>-1.0869720784243566E-4</v>
      </c>
      <c r="R94" s="7">
        <f t="shared" ca="1" si="18"/>
        <v>-1.1960733918110353E-4</v>
      </c>
      <c r="S94" s="7">
        <f t="shared" ca="1" si="19"/>
        <v>-1.3015912187153413E-4</v>
      </c>
      <c r="T94" s="7">
        <f t="shared" ca="1" si="20"/>
        <v>-1.4034677326624939E-4</v>
      </c>
      <c r="U94" s="7">
        <f t="shared" ca="1" si="21"/>
        <v>-1.5018536776943096E-4</v>
      </c>
      <c r="V94" s="7">
        <f t="shared" ca="1" si="22"/>
        <v>-1.597133594794561E-4</v>
      </c>
      <c r="W94" s="7">
        <f t="shared" ca="1" si="23"/>
        <v>-1.6899265777541316E-4</v>
      </c>
      <c r="X94" s="7">
        <f t="shared" ca="1" si="24"/>
        <v>-1.7810628575655777E-4</v>
      </c>
      <c r="Y94" s="7">
        <f t="shared" ca="1" si="25"/>
        <v>-1.8715428916472169E-4</v>
      </c>
      <c r="Z94" s="7">
        <f t="shared" ca="1" si="26"/>
        <v>-1.9624900609318678E-4</v>
      </c>
      <c r="AA94" s="7">
        <f t="shared" ca="1" si="27"/>
        <v>-2.0551082869531718E-4</v>
      </c>
      <c r="AB94" s="7">
        <f t="shared" ca="1" si="27"/>
        <v>-2.150652292198141E-4</v>
      </c>
      <c r="AC94" s="11">
        <f t="shared" ca="1" si="28"/>
        <v>-2.2504136853096555E-4</v>
      </c>
      <c r="AD94" s="14">
        <f t="shared" ca="1" si="29"/>
        <v>-2.3557221623730635E-4</v>
      </c>
    </row>
    <row r="95" spans="4:30" x14ac:dyDescent="0.25">
      <c r="D95" s="15"/>
      <c r="E95" s="2">
        <f t="shared" si="7"/>
        <v>0.2</v>
      </c>
      <c r="G95" s="11">
        <f t="shared" ca="1" si="8"/>
        <v>8.4054183814118415E-6</v>
      </c>
      <c r="H95" s="8">
        <v>0</v>
      </c>
      <c r="I95" s="7">
        <f t="shared" ca="1" si="9"/>
        <v>-8.4054184197134466E-6</v>
      </c>
      <c r="J95" s="7">
        <f t="shared" ca="1" si="30"/>
        <v>-1.6788784885387037E-5</v>
      </c>
      <c r="K95" s="7">
        <f t="shared" ca="1" si="31"/>
        <v>-2.5127394915958328E-5</v>
      </c>
      <c r="L95" s="7">
        <f t="shared" ca="1" si="32"/>
        <v>-3.3397344225127297E-5</v>
      </c>
      <c r="M95" s="7">
        <f t="shared" ca="1" si="13"/>
        <v>-4.1573200964559599E-5</v>
      </c>
      <c r="N95" s="7">
        <f t="shared" ca="1" si="14"/>
        <v>-4.96280278133114E-5</v>
      </c>
      <c r="O95" s="7">
        <f t="shared" ca="1" si="15"/>
        <v>-5.7533897232999797E-5</v>
      </c>
      <c r="P95" s="7">
        <f t="shared" ca="1" si="16"/>
        <v>-6.526303811384967E-5</v>
      </c>
      <c r="Q95" s="7">
        <f t="shared" ca="1" si="17"/>
        <v>-7.2789706001054653E-5</v>
      </c>
      <c r="R95" s="7">
        <f t="shared" ca="1" si="18"/>
        <v>-8.0092757309661086E-5</v>
      </c>
      <c r="S95" s="7">
        <f t="shared" ca="1" si="19"/>
        <v>-8.7158720840304488E-5</v>
      </c>
      <c r="T95" s="7">
        <f t="shared" ca="1" si="20"/>
        <v>-9.3984933244785704E-5</v>
      </c>
      <c r="U95" s="7">
        <f t="shared" ca="1" si="21"/>
        <v>-1.0058214111471366E-4</v>
      </c>
      <c r="V95" s="7">
        <f t="shared" ca="1" si="22"/>
        <v>-1.0697599666413847E-4</v>
      </c>
      <c r="W95" s="7">
        <f t="shared" ca="1" si="23"/>
        <v>-1.1320711097227112E-4</v>
      </c>
      <c r="X95" s="7">
        <f t="shared" ca="1" si="24"/>
        <v>-1.1932968566723733E-4</v>
      </c>
      <c r="Y95" s="7">
        <f t="shared" ca="1" si="25"/>
        <v>-1.2540910230120417E-4</v>
      </c>
      <c r="Z95" s="7">
        <f t="shared" ca="1" si="26"/>
        <v>-1.3151908901263155E-4</v>
      </c>
      <c r="AA95" s="7">
        <f t="shared" ca="1" si="27"/>
        <v>-1.3773911016656175E-4</v>
      </c>
      <c r="AB95" s="7">
        <f t="shared" ca="1" si="27"/>
        <v>-1.4415245389804489E-4</v>
      </c>
      <c r="AC95" s="11">
        <f t="shared" ca="1" si="28"/>
        <v>-1.5084523833828187E-4</v>
      </c>
      <c r="AD95" s="14">
        <f t="shared" ca="1" si="29"/>
        <v>-1.5790630441252825E-4</v>
      </c>
    </row>
    <row r="96" spans="4:30" x14ac:dyDescent="0.25">
      <c r="D96" s="15"/>
      <c r="E96" s="2">
        <f t="shared" si="7"/>
        <v>0.1</v>
      </c>
      <c r="G96" s="11">
        <f t="shared" ca="1" si="8"/>
        <v>4.2153491765258378E-6</v>
      </c>
      <c r="H96" s="8">
        <v>0</v>
      </c>
      <c r="I96" s="7">
        <f t="shared" ca="1" si="9"/>
        <v>-4.2153491957348214E-6</v>
      </c>
      <c r="J96" s="7">
        <f t="shared" ca="1" si="30"/>
        <v>-8.4194722193971557E-6</v>
      </c>
      <c r="K96" s="7">
        <f t="shared" ca="1" si="31"/>
        <v>-1.2600829050948424E-5</v>
      </c>
      <c r="L96" s="7">
        <f t="shared" ca="1" si="32"/>
        <v>-1.674730699677618E-5</v>
      </c>
      <c r="M96" s="7">
        <f t="shared" ca="1" si="13"/>
        <v>-2.0846075748935234E-5</v>
      </c>
      <c r="N96" s="7">
        <f t="shared" ca="1" si="14"/>
        <v>-2.4883621624097153E-5</v>
      </c>
      <c r="O96" s="7">
        <f t="shared" ca="1" si="15"/>
        <v>-2.8846029912429018E-5</v>
      </c>
      <c r="P96" s="7">
        <f t="shared" ca="1" si="16"/>
        <v>-3.2719577585919478E-5</v>
      </c>
      <c r="Q96" s="7">
        <f t="shared" ca="1" si="17"/>
        <v>-3.6491671319441517E-5</v>
      </c>
      <c r="R96" s="7">
        <f t="shared" ca="1" si="18"/>
        <v>-4.0152108556675094E-5</v>
      </c>
      <c r="S96" s="7">
        <f t="shared" ca="1" si="19"/>
        <v>-4.3694552017937375E-5</v>
      </c>
      <c r="T96" s="7">
        <f t="shared" ca="1" si="20"/>
        <v>-4.7118010547556039E-5</v>
      </c>
      <c r="U96" s="7">
        <f t="shared" ca="1" si="21"/>
        <v>-5.0428055172667371E-5</v>
      </c>
      <c r="V96" s="7">
        <f t="shared" ca="1" si="22"/>
        <v>-5.3637515464187564E-5</v>
      </c>
      <c r="W96" s="7">
        <f t="shared" ca="1" si="23"/>
        <v>-5.676650710485231E-5</v>
      </c>
      <c r="X96" s="7">
        <f t="shared" ca="1" si="24"/>
        <v>-5.9841801353882996E-5</v>
      </c>
      <c r="Y96" s="7">
        <f t="shared" ca="1" si="25"/>
        <v>-6.2895707422991998E-5</v>
      </c>
      <c r="Z96" s="7">
        <f t="shared" ca="1" si="26"/>
        <v>-6.5964745633980158E-5</v>
      </c>
      <c r="AA96" s="7">
        <f t="shared" ca="1" si="27"/>
        <v>-6.9088405071284295E-5</v>
      </c>
      <c r="AB96" s="7">
        <f t="shared" ca="1" si="27"/>
        <v>-7.2308209909668247E-5</v>
      </c>
      <c r="AC96" s="11">
        <f t="shared" ca="1" si="28"/>
        <v>-7.5667204524439694E-5</v>
      </c>
      <c r="AD96" s="14">
        <f t="shared" ca="1" si="29"/>
        <v>-7.920984478909513E-5</v>
      </c>
    </row>
    <row r="97" spans="4:30" x14ac:dyDescent="0.25">
      <c r="D97" s="15"/>
      <c r="E97" s="2">
        <v>0</v>
      </c>
      <c r="G97" s="11">
        <f t="shared" si="8"/>
        <v>0</v>
      </c>
      <c r="H97" s="8">
        <v>0</v>
      </c>
      <c r="I97" s="8">
        <v>0</v>
      </c>
      <c r="J97" s="8">
        <v>0</v>
      </c>
      <c r="K97" s="8">
        <v>0</v>
      </c>
      <c r="L97" s="8">
        <v>0</v>
      </c>
      <c r="M97" s="8">
        <v>0</v>
      </c>
      <c r="N97" s="8">
        <v>0</v>
      </c>
      <c r="O97" s="8">
        <v>0</v>
      </c>
      <c r="P97" s="8">
        <v>0</v>
      </c>
      <c r="Q97" s="8">
        <v>0</v>
      </c>
      <c r="R97" s="8">
        <v>0</v>
      </c>
      <c r="S97" s="8">
        <v>0</v>
      </c>
      <c r="T97" s="8">
        <v>0</v>
      </c>
      <c r="U97" s="8">
        <v>0</v>
      </c>
      <c r="V97" s="8">
        <v>0</v>
      </c>
      <c r="W97" s="8">
        <v>0</v>
      </c>
      <c r="X97" s="8">
        <v>0</v>
      </c>
      <c r="Y97" s="8">
        <v>0</v>
      </c>
      <c r="Z97" s="8">
        <v>0</v>
      </c>
      <c r="AA97" s="8">
        <v>0</v>
      </c>
      <c r="AB97" s="8">
        <v>0</v>
      </c>
      <c r="AC97" s="13">
        <v>0</v>
      </c>
      <c r="AD97" s="14"/>
    </row>
    <row r="98" spans="4:30" x14ac:dyDescent="0.25">
      <c r="H98" s="11">
        <f>-H96</f>
        <v>0</v>
      </c>
      <c r="I98" s="11">
        <f t="shared" ref="I98:AB98" ca="1" si="33">-I96</f>
        <v>4.2153491957348214E-6</v>
      </c>
      <c r="J98" s="11">
        <f t="shared" ca="1" si="33"/>
        <v>8.4194722193971557E-6</v>
      </c>
      <c r="K98" s="11">
        <f t="shared" ca="1" si="33"/>
        <v>1.2600829050948424E-5</v>
      </c>
      <c r="L98" s="11">
        <f t="shared" ca="1" si="33"/>
        <v>1.674730699677618E-5</v>
      </c>
      <c r="M98" s="11">
        <f t="shared" ca="1" si="33"/>
        <v>2.0846075748935234E-5</v>
      </c>
      <c r="N98" s="11">
        <f t="shared" ca="1" si="33"/>
        <v>2.4883621624097153E-5</v>
      </c>
      <c r="O98" s="11">
        <f t="shared" ca="1" si="33"/>
        <v>2.8846029912429018E-5</v>
      </c>
      <c r="P98" s="11">
        <f t="shared" ca="1" si="33"/>
        <v>3.2719577585919478E-5</v>
      </c>
      <c r="Q98" s="11">
        <f t="shared" ca="1" si="33"/>
        <v>3.6491671319441517E-5</v>
      </c>
      <c r="R98" s="11">
        <f t="shared" ca="1" si="33"/>
        <v>4.0152108556675094E-5</v>
      </c>
      <c r="S98" s="11">
        <f t="shared" ca="1" si="33"/>
        <v>4.3694552017937375E-5</v>
      </c>
      <c r="T98" s="11">
        <f t="shared" ca="1" si="33"/>
        <v>4.7118010547556039E-5</v>
      </c>
      <c r="U98" s="11">
        <f t="shared" ca="1" si="33"/>
        <v>5.0428055172667371E-5</v>
      </c>
      <c r="V98" s="11">
        <f t="shared" ca="1" si="33"/>
        <v>5.3637515464187564E-5</v>
      </c>
      <c r="W98" s="11">
        <f t="shared" ca="1" si="33"/>
        <v>5.676650710485231E-5</v>
      </c>
      <c r="X98" s="11">
        <f t="shared" ca="1" si="33"/>
        <v>5.9841801353882996E-5</v>
      </c>
      <c r="Y98" s="11">
        <f t="shared" ca="1" si="33"/>
        <v>6.2895707422991998E-5</v>
      </c>
      <c r="Z98" s="11">
        <f t="shared" ca="1" si="33"/>
        <v>6.5964745633980158E-5</v>
      </c>
      <c r="AA98" s="11">
        <f t="shared" ca="1" si="33"/>
        <v>6.9088405071284295E-5</v>
      </c>
      <c r="AB98" s="11">
        <f t="shared" ca="1" si="33"/>
        <v>7.2308209909668247E-5</v>
      </c>
    </row>
    <row r="102" spans="4:30" ht="18.75" x14ac:dyDescent="0.3">
      <c r="E102" s="1" t="s">
        <v>18</v>
      </c>
    </row>
    <row r="103" spans="4:30" x14ac:dyDescent="0.25">
      <c r="H103" s="16" t="s">
        <v>17</v>
      </c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</row>
    <row r="104" spans="4:30" x14ac:dyDescent="0.25">
      <c r="H104" s="2">
        <v>0</v>
      </c>
      <c r="I104" s="2">
        <f t="shared" ref="I104:AB104" si="34">+H104+delta</f>
        <v>0.1</v>
      </c>
      <c r="J104" s="2">
        <f t="shared" si="34"/>
        <v>0.2</v>
      </c>
      <c r="K104" s="2">
        <f t="shared" si="34"/>
        <v>0.30000000000000004</v>
      </c>
      <c r="L104" s="2">
        <f t="shared" si="34"/>
        <v>0.4</v>
      </c>
      <c r="M104" s="2">
        <f t="shared" si="34"/>
        <v>0.5</v>
      </c>
      <c r="N104" s="2">
        <f t="shared" si="34"/>
        <v>0.6</v>
      </c>
      <c r="O104" s="2">
        <f t="shared" si="34"/>
        <v>0.7</v>
      </c>
      <c r="P104" s="2">
        <f t="shared" si="34"/>
        <v>0.79999999999999993</v>
      </c>
      <c r="Q104" s="2">
        <f t="shared" si="34"/>
        <v>0.89999999999999991</v>
      </c>
      <c r="R104" s="2">
        <f t="shared" si="34"/>
        <v>0.99999999999999989</v>
      </c>
      <c r="S104" s="2">
        <f t="shared" si="34"/>
        <v>1.0999999999999999</v>
      </c>
      <c r="T104" s="2">
        <f t="shared" si="34"/>
        <v>1.2</v>
      </c>
      <c r="U104" s="2">
        <f t="shared" si="34"/>
        <v>1.3</v>
      </c>
      <c r="V104" s="2">
        <f t="shared" si="34"/>
        <v>1.4000000000000001</v>
      </c>
      <c r="W104" s="2">
        <f t="shared" si="34"/>
        <v>1.5000000000000002</v>
      </c>
      <c r="X104" s="2">
        <f t="shared" si="34"/>
        <v>1.6000000000000003</v>
      </c>
      <c r="Y104" s="2">
        <f t="shared" si="34"/>
        <v>1.7000000000000004</v>
      </c>
      <c r="Z104" s="2">
        <f t="shared" si="34"/>
        <v>1.8000000000000005</v>
      </c>
      <c r="AA104" s="2">
        <f t="shared" si="34"/>
        <v>1.9000000000000006</v>
      </c>
      <c r="AB104" s="2">
        <f t="shared" si="34"/>
        <v>2.0000000000000004</v>
      </c>
    </row>
    <row r="107" spans="4:30" x14ac:dyDescent="0.25">
      <c r="D107" s="15" t="s">
        <v>16</v>
      </c>
      <c r="E107" s="2">
        <f t="shared" ref="E107:E146" si="35">E108+delta</f>
        <v>4.0000000000000018</v>
      </c>
      <c r="H107" s="8">
        <f t="shared" ref="H107:AB107" si="36" xml:space="preserve"> -(D*(nu*H58+G57+nu*H56+I57+((-2*nu)-2)*H57))/delta^2</f>
        <v>0</v>
      </c>
      <c r="I107" s="8">
        <f t="shared" ca="1" si="36"/>
        <v>1.3961294363081359E-6</v>
      </c>
      <c r="J107" s="8">
        <f t="shared" ca="1" si="36"/>
        <v>2.7895627219501492E-6</v>
      </c>
      <c r="K107" s="8">
        <f t="shared" ca="1" si="36"/>
        <v>4.1777480174621698E-6</v>
      </c>
      <c r="L107" s="8">
        <f t="shared" ca="1" si="36"/>
        <v>5.5583149031774443E-6</v>
      </c>
      <c r="M107" s="8">
        <f t="shared" ca="1" si="36"/>
        <v>6.9291275733026494E-6</v>
      </c>
      <c r="N107" s="8">
        <f t="shared" ca="1" si="36"/>
        <v>8.2883381318010512E-6</v>
      </c>
      <c r="O107" s="8">
        <f t="shared" ca="1" si="36"/>
        <v>9.6344481855335056E-6</v>
      </c>
      <c r="P107" s="8">
        <f t="shared" ca="1" si="36"/>
        <v>1.096636534705722E-5</v>
      </c>
      <c r="Q107" s="8">
        <f t="shared" ca="1" si="36"/>
        <v>1.2283473481348541E-5</v>
      </c>
      <c r="R107" s="8">
        <f t="shared" ca="1" si="36"/>
        <v>1.3585701527229922E-5</v>
      </c>
      <c r="S107" s="8">
        <f t="shared" ca="1" si="36"/>
        <v>1.4873599241662328E-5</v>
      </c>
      <c r="T107" s="8">
        <f t="shared" ca="1" si="36"/>
        <v>1.6148426993382169E-5</v>
      </c>
      <c r="U107" s="8">
        <f t="shared" ca="1" si="36"/>
        <v>1.7412238837286542E-5</v>
      </c>
      <c r="V107" s="8">
        <f t="shared" ca="1" si="36"/>
        <v>1.8667990022461129E-5</v>
      </c>
      <c r="W107" s="8">
        <f t="shared" ca="1" si="36"/>
        <v>1.9919654680892594E-5</v>
      </c>
      <c r="X107" s="8">
        <f t="shared" ca="1" si="36"/>
        <v>2.1172340258361925E-5</v>
      </c>
      <c r="Y107" s="8">
        <f t="shared" ca="1" si="36"/>
        <v>2.2432441039166144E-5</v>
      </c>
      <c r="Z107" s="8">
        <f t="shared" ca="1" si="36"/>
        <v>2.3707797372023259E-5</v>
      </c>
      <c r="AA107" s="8">
        <f t="shared" ca="1" si="36"/>
        <v>2.5007873221209337E-5</v>
      </c>
      <c r="AB107" s="8">
        <f t="shared" ca="1" si="36"/>
        <v>2.6343984621117781E-5</v>
      </c>
    </row>
    <row r="108" spans="4:30" x14ac:dyDescent="0.25">
      <c r="D108" s="15"/>
      <c r="E108" s="2">
        <f t="shared" si="35"/>
        <v>3.9000000000000021</v>
      </c>
      <c r="H108" s="8">
        <f t="shared" ref="H108:AB108" ca="1" si="37" xml:space="preserve"> -(D*(nu*H59+G58+nu*H57+I58+((-2*nu)-2)*H58))/delta^2</f>
        <v>4.6537647537581705E-6</v>
      </c>
      <c r="I108" s="7">
        <f t="shared" ca="1" si="37"/>
        <v>-2.1335462891361172</v>
      </c>
      <c r="J108" s="7">
        <f t="shared" ca="1" si="37"/>
        <v>-4.2310883329933215</v>
      </c>
      <c r="K108" s="7">
        <f t="shared" ca="1" si="37"/>
        <v>-6.2561540228524413</v>
      </c>
      <c r="L108" s="7">
        <f t="shared" ca="1" si="37"/>
        <v>-8.1715377404227869</v>
      </c>
      <c r="M108" s="7">
        <f t="shared" ca="1" si="37"/>
        <v>-9.9392231024784117</v>
      </c>
      <c r="N108" s="7">
        <f t="shared" ca="1" si="37"/>
        <v>-11.520632276983337</v>
      </c>
      <c r="O108" s="7">
        <f t="shared" ca="1" si="37"/>
        <v>-12.877247014916934</v>
      </c>
      <c r="P108" s="7">
        <f t="shared" ca="1" si="37"/>
        <v>-13.971602249421419</v>
      </c>
      <c r="Q108" s="7">
        <f t="shared" ca="1" si="37"/>
        <v>-14.768596290572125</v>
      </c>
      <c r="R108" s="7">
        <f t="shared" ca="1" si="37"/>
        <v>-15.23700437516133</v>
      </c>
      <c r="S108" s="7">
        <f t="shared" ca="1" si="37"/>
        <v>-15.351035298372818</v>
      </c>
      <c r="T108" s="7">
        <f t="shared" ca="1" si="37"/>
        <v>-15.091745975902459</v>
      </c>
      <c r="U108" s="7">
        <f t="shared" ca="1" si="37"/>
        <v>-14.448135719465133</v>
      </c>
      <c r="V108" s="7">
        <f t="shared" ca="1" si="37"/>
        <v>-13.417784200323297</v>
      </c>
      <c r="W108" s="7">
        <f t="shared" ca="1" si="37"/>
        <v>-12.006969048702551</v>
      </c>
      <c r="X108" s="7">
        <f t="shared" ca="1" si="37"/>
        <v>-10.230286449767696</v>
      </c>
      <c r="Y108" s="7">
        <f t="shared" ca="1" si="37"/>
        <v>-8.1098810028017621</v>
      </c>
      <c r="Z108" s="7">
        <f t="shared" ca="1" si="37"/>
        <v>-5.6744494822127418</v>
      </c>
      <c r="AA108" s="7">
        <f t="shared" ca="1" si="37"/>
        <v>-2.9582027757412246</v>
      </c>
      <c r="AB108" s="8">
        <f t="shared" ca="1" si="37"/>
        <v>5.2522532305270198E-5</v>
      </c>
    </row>
    <row r="109" spans="4:30" x14ac:dyDescent="0.25">
      <c r="D109" s="15"/>
      <c r="E109" s="2">
        <f t="shared" si="35"/>
        <v>3.800000000000002</v>
      </c>
      <c r="H109" s="8">
        <f t="shared" ref="H109:AB109" ca="1" si="38" xml:space="preserve"> -(D*(nu*H60+G59+nu*H58+I59+((-2*nu)-2)*H59))/delta^2</f>
        <v>9.2782979118337416E-6</v>
      </c>
      <c r="I109" s="7">
        <f t="shared" ca="1" si="38"/>
        <v>-4.2805722456895028</v>
      </c>
      <c r="J109" s="7">
        <f t="shared" ca="1" si="38"/>
        <v>-8.489618430327452</v>
      </c>
      <c r="K109" s="7">
        <f t="shared" ca="1" si="38"/>
        <v>-12.55457935169283</v>
      </c>
      <c r="L109" s="7">
        <f t="shared" ca="1" si="38"/>
        <v>-16.401242154918403</v>
      </c>
      <c r="M109" s="7">
        <f t="shared" ca="1" si="38"/>
        <v>-19.953514923602889</v>
      </c>
      <c r="N109" s="7">
        <f t="shared" ca="1" si="38"/>
        <v>-23.133882439046527</v>
      </c>
      <c r="O109" s="7">
        <f t="shared" ca="1" si="38"/>
        <v>-25.864643091964048</v>
      </c>
      <c r="P109" s="7">
        <f t="shared" ca="1" si="38"/>
        <v>-28.069935702990367</v>
      </c>
      <c r="Q109" s="7">
        <f t="shared" ca="1" si="38"/>
        <v>-29.678445671013431</v>
      </c>
      <c r="R109" s="7">
        <f t="shared" ca="1" si="38"/>
        <v>-30.626556739347482</v>
      </c>
      <c r="S109" s="7">
        <f t="shared" ca="1" si="38"/>
        <v>-30.861610718731392</v>
      </c>
      <c r="T109" s="7">
        <f t="shared" ca="1" si="38"/>
        <v>-30.344879500167181</v>
      </c>
      <c r="U109" s="7">
        <f t="shared" ca="1" si="38"/>
        <v>-29.053864322809325</v>
      </c>
      <c r="V109" s="7">
        <f t="shared" ca="1" si="38"/>
        <v>-26.983625790956033</v>
      </c>
      <c r="W109" s="7">
        <f t="shared" ca="1" si="38"/>
        <v>-24.147003651739958</v>
      </c>
      <c r="X109" s="7">
        <f t="shared" ca="1" si="38"/>
        <v>-20.573776463814347</v>
      </c>
      <c r="Y109" s="7">
        <f t="shared" ca="1" si="38"/>
        <v>-16.308993499253869</v>
      </c>
      <c r="Z109" s="7">
        <f t="shared" ca="1" si="38"/>
        <v>-11.410839520259314</v>
      </c>
      <c r="AA109" s="7">
        <f t="shared" ca="1" si="38"/>
        <v>-5.9484352272805552</v>
      </c>
      <c r="AB109" s="8">
        <f t="shared" ca="1" si="38"/>
        <v>7.8372023164054714E-5</v>
      </c>
    </row>
    <row r="110" spans="4:30" x14ac:dyDescent="0.25">
      <c r="D110" s="15"/>
      <c r="E110" s="2">
        <f t="shared" si="35"/>
        <v>3.700000000000002</v>
      </c>
      <c r="H110" s="8">
        <f t="shared" ref="H110:AB110" ca="1" si="39" xml:space="preserve"> -(D*(nu*H61+G60+nu*H59+I60+((-2*nu)-2)*H60))/delta^2</f>
        <v>1.3844676556897004E-5</v>
      </c>
      <c r="I110" s="7">
        <f t="shared" ca="1" si="39"/>
        <v>-6.4540173667706151</v>
      </c>
      <c r="J110" s="7">
        <f t="shared" ca="1" si="39"/>
        <v>-12.802023603269214</v>
      </c>
      <c r="K110" s="7">
        <f t="shared" ca="1" si="39"/>
        <v>-18.936208908162264</v>
      </c>
      <c r="L110" s="7">
        <f t="shared" ca="1" si="39"/>
        <v>-24.745804790412041</v>
      </c>
      <c r="M110" s="7">
        <f t="shared" ca="1" si="39"/>
        <v>-30.116561459768043</v>
      </c>
      <c r="N110" s="7">
        <f t="shared" ca="1" si="39"/>
        <v>-34.931316664150948</v>
      </c>
      <c r="O110" s="7">
        <f t="shared" ca="1" si="39"/>
        <v>-39.071831947990916</v>
      </c>
      <c r="P110" s="7">
        <f t="shared" ca="1" si="39"/>
        <v>-42.421929658164387</v>
      </c>
      <c r="Q110" s="7">
        <f t="shared" ca="1" si="39"/>
        <v>-44.871770786022736</v>
      </c>
      <c r="R110" s="7">
        <f t="shared" ca="1" si="39"/>
        <v>-46.32290635682606</v>
      </c>
      <c r="S110" s="7">
        <f t="shared" ca="1" si="39"/>
        <v>-46.693552078818023</v>
      </c>
      <c r="T110" s="7">
        <f t="shared" ca="1" si="39"/>
        <v>-45.92342552877151</v>
      </c>
      <c r="U110" s="7">
        <f t="shared" ca="1" si="39"/>
        <v>-43.977490972863691</v>
      </c>
      <c r="V110" s="7">
        <f t="shared" ca="1" si="39"/>
        <v>-40.848099947669681</v>
      </c>
      <c r="W110" s="7">
        <f t="shared" ca="1" si="39"/>
        <v>-36.55528005929726</v>
      </c>
      <c r="X110" s="7">
        <f t="shared" ca="1" si="39"/>
        <v>-31.145255597823361</v>
      </c>
      <c r="Y110" s="7">
        <f t="shared" ca="1" si="39"/>
        <v>-24.687601850043681</v>
      </c>
      <c r="Z110" s="7">
        <f t="shared" ca="1" si="39"/>
        <v>-17.271659350700961</v>
      </c>
      <c r="AA110" s="7">
        <f t="shared" ca="1" si="39"/>
        <v>-9.002907044079878</v>
      </c>
      <c r="AB110" s="8">
        <f t="shared" ca="1" si="39"/>
        <v>1.0373123832169232E-4</v>
      </c>
    </row>
    <row r="111" spans="4:30" x14ac:dyDescent="0.25">
      <c r="D111" s="15"/>
      <c r="E111" s="2">
        <f t="shared" si="35"/>
        <v>3.6000000000000019</v>
      </c>
      <c r="H111" s="8">
        <f t="shared" ref="H111:AB111" ca="1" si="40" xml:space="preserve"> -(D*(nu*H62+G61+nu*H60+I61+((-2*nu)-2)*H61))/delta^2</f>
        <v>1.8324416355504889E-5</v>
      </c>
      <c r="I111" s="7">
        <f t="shared" ca="1" si="40"/>
        <v>-8.6657073327634873</v>
      </c>
      <c r="J111" s="7">
        <f t="shared" ca="1" si="40"/>
        <v>-17.19265543116525</v>
      </c>
      <c r="K111" s="7">
        <f t="shared" ca="1" si="40"/>
        <v>-25.439207844537833</v>
      </c>
      <c r="L111" s="7">
        <f t="shared" ca="1" si="40"/>
        <v>-33.258859392092582</v>
      </c>
      <c r="M111" s="7">
        <f t="shared" ca="1" si="40"/>
        <v>-40.499174348254741</v>
      </c>
      <c r="N111" s="7">
        <f t="shared" ca="1" si="40"/>
        <v>-47.002308001125492</v>
      </c>
      <c r="O111" s="7">
        <f t="shared" ca="1" si="40"/>
        <v>-52.607399844759783</v>
      </c>
      <c r="P111" s="7">
        <f t="shared" ca="1" si="40"/>
        <v>-57.154928308724593</v>
      </c>
      <c r="Q111" s="7">
        <f t="shared" ca="1" si="40"/>
        <v>-60.49283305784909</v>
      </c>
      <c r="R111" s="7">
        <f t="shared" ca="1" si="40"/>
        <v>-62.483888683373955</v>
      </c>
      <c r="S111" s="7">
        <f t="shared" ca="1" si="40"/>
        <v>-63.013511932531316</v>
      </c>
      <c r="T111" s="7">
        <f t="shared" ca="1" si="40"/>
        <v>-61.99698482202799</v>
      </c>
      <c r="U111" s="7">
        <f t="shared" ca="1" si="40"/>
        <v>-59.385058205566622</v>
      </c>
      <c r="V111" s="7">
        <f t="shared" ca="1" si="40"/>
        <v>-55.167109482362257</v>
      </c>
      <c r="W111" s="7">
        <f t="shared" ca="1" si="40"/>
        <v>-49.371445041085209</v>
      </c>
      <c r="X111" s="7">
        <f t="shared" ca="1" si="40"/>
        <v>-42.062874066811396</v>
      </c>
      <c r="Y111" s="7">
        <f t="shared" ca="1" si="40"/>
        <v>-33.338200777040946</v>
      </c>
      <c r="Z111" s="7">
        <f t="shared" ca="1" si="40"/>
        <v>-23.320649197150544</v>
      </c>
      <c r="AA111" s="7">
        <f t="shared" ca="1" si="40"/>
        <v>-12.154351648660585</v>
      </c>
      <c r="AB111" s="8">
        <f t="shared" ca="1" si="40"/>
        <v>1.2844246024340427E-4</v>
      </c>
    </row>
    <row r="112" spans="4:30" x14ac:dyDescent="0.25">
      <c r="D112" s="15"/>
      <c r="E112" s="2">
        <f t="shared" si="35"/>
        <v>3.5000000000000018</v>
      </c>
      <c r="H112" s="8">
        <f t="shared" ref="H112:AB112" ca="1" si="41" xml:space="preserve"> -(D*(nu*H63+G62+nu*H61+I62+((-2*nu)-2)*H62))/delta^2</f>
        <v>2.2689631598460692E-5</v>
      </c>
      <c r="I112" s="7">
        <f t="shared" ca="1" si="41"/>
        <v>-10.925680879598596</v>
      </c>
      <c r="J112" s="7">
        <f t="shared" ca="1" si="41"/>
        <v>-21.682514786711593</v>
      </c>
      <c r="K112" s="7">
        <f t="shared" ca="1" si="41"/>
        <v>-32.09726096526925</v>
      </c>
      <c r="L112" s="7">
        <f t="shared" ca="1" si="41"/>
        <v>-41.989046159715677</v>
      </c>
      <c r="M112" s="7">
        <f t="shared" ca="1" si="41"/>
        <v>-51.167405828124295</v>
      </c>
      <c r="N112" s="7">
        <f t="shared" ca="1" si="41"/>
        <v>-59.432503098378888</v>
      </c>
      <c r="O112" s="7">
        <f t="shared" ca="1" si="41"/>
        <v>-66.577983333883353</v>
      </c>
      <c r="P112" s="7">
        <f t="shared" ca="1" si="41"/>
        <v>-72.396668288865314</v>
      </c>
      <c r="Q112" s="7">
        <f t="shared" ca="1" si="41"/>
        <v>-76.688898899856596</v>
      </c>
      <c r="R112" s="7">
        <f t="shared" ca="1" si="41"/>
        <v>-79.272852537877057</v>
      </c>
      <c r="S112" s="7">
        <f t="shared" ca="1" si="41"/>
        <v>-79.995673791438222</v>
      </c>
      <c r="T112" s="7">
        <f t="shared" ca="1" si="41"/>
        <v>-78.743901411044376</v>
      </c>
      <c r="U112" s="7">
        <f t="shared" ca="1" si="41"/>
        <v>-75.451593287968635</v>
      </c>
      <c r="V112" s="7">
        <f t="shared" ca="1" si="41"/>
        <v>-70.104839710018112</v>
      </c>
      <c r="W112" s="7">
        <f t="shared" ca="1" si="41"/>
        <v>-62.741995594407442</v>
      </c>
      <c r="X112" s="7">
        <f t="shared" ca="1" si="41"/>
        <v>-53.449812735904032</v>
      </c>
      <c r="Y112" s="7">
        <f t="shared" ca="1" si="41"/>
        <v>-42.356487721128829</v>
      </c>
      <c r="Z112" s="7">
        <f t="shared" ca="1" si="41"/>
        <v>-29.623228595958167</v>
      </c>
      <c r="AA112" s="7">
        <f t="shared" ca="1" si="41"/>
        <v>-15.436125340252799</v>
      </c>
      <c r="AB112" s="8">
        <f t="shared" ca="1" si="41"/>
        <v>1.5235234990318533E-4</v>
      </c>
    </row>
    <row r="113" spans="4:28" x14ac:dyDescent="0.25">
      <c r="D113" s="15"/>
      <c r="E113" s="2">
        <f t="shared" si="35"/>
        <v>3.4000000000000017</v>
      </c>
      <c r="H113" s="8">
        <f t="shared" ref="H113:AB113" ca="1" si="42" xml:space="preserve"> -(D*(nu*H64+G63+nu*H62+I63+((-2*nu)-2)*H63))/delta^2</f>
        <v>2.6913217638679652E-5</v>
      </c>
      <c r="I113" s="7">
        <f t="shared" ca="1" si="42"/>
        <v>-13.24138541743824</v>
      </c>
      <c r="J113" s="7">
        <f t="shared" ca="1" si="42"/>
        <v>-26.287722334686581</v>
      </c>
      <c r="K113" s="7">
        <f t="shared" ca="1" si="42"/>
        <v>-38.937478459913407</v>
      </c>
      <c r="L113" s="7">
        <f t="shared" ca="1" si="42"/>
        <v>-50.977594253533624</v>
      </c>
      <c r="M113" s="7">
        <f t="shared" ca="1" si="42"/>
        <v>-62.180122725677712</v>
      </c>
      <c r="N113" s="7">
        <f t="shared" ca="1" si="42"/>
        <v>-72.301752097079856</v>
      </c>
      <c r="O113" s="7">
        <f t="shared" ca="1" si="42"/>
        <v>-81.086925215352579</v>
      </c>
      <c r="P113" s="7">
        <f t="shared" ca="1" si="42"/>
        <v>-88.274973207006752</v>
      </c>
      <c r="Q113" s="7">
        <f t="shared" ca="1" si="42"/>
        <v>-93.611155741034963</v>
      </c>
      <c r="R113" s="7">
        <f t="shared" ca="1" si="42"/>
        <v>-96.86079083050312</v>
      </c>
      <c r="S113" s="7">
        <f t="shared" ca="1" si="42"/>
        <v>-97.824877005079045</v>
      </c>
      <c r="T113" s="7">
        <f t="shared" ca="1" si="42"/>
        <v>-96.354976578878322</v>
      </c>
      <c r="U113" s="7">
        <f t="shared" ca="1" si="42"/>
        <v>-92.364904400217512</v>
      </c>
      <c r="V113" s="7">
        <f t="shared" ca="1" si="42"/>
        <v>-85.837143867935865</v>
      </c>
      <c r="W113" s="7">
        <f t="shared" ca="1" si="42"/>
        <v>-76.822889447705833</v>
      </c>
      <c r="X113" s="7">
        <f t="shared" ca="1" si="42"/>
        <v>-65.43596221096476</v>
      </c>
      <c r="Y113" s="7">
        <f t="shared" ca="1" si="42"/>
        <v>-51.842181185923728</v>
      </c>
      <c r="Z113" s="7">
        <f t="shared" ca="1" si="42"/>
        <v>-36.246707876562546</v>
      </c>
      <c r="AA113" s="7">
        <f t="shared" ca="1" si="42"/>
        <v>-18.882155518284097</v>
      </c>
      <c r="AB113" s="8">
        <f t="shared" ca="1" si="42"/>
        <v>1.753127025978182E-4</v>
      </c>
    </row>
    <row r="114" spans="4:28" x14ac:dyDescent="0.25">
      <c r="D114" s="15"/>
      <c r="E114" s="2">
        <f t="shared" si="35"/>
        <v>3.3000000000000016</v>
      </c>
      <c r="H114" s="8">
        <f t="shared" ref="H114:AB114" ca="1" si="43" xml:space="preserve"> -(D*(nu*H65+G64+nu*H63+I64+((-2*nu)-2)*H64))/delta^2</f>
        <v>3.0968999529182104E-5</v>
      </c>
      <c r="I114" s="7">
        <f t="shared" ca="1" si="43"/>
        <v>-15.616706708095426</v>
      </c>
      <c r="J114" s="7">
        <f t="shared" ca="1" si="43"/>
        <v>-31.017653706903499</v>
      </c>
      <c r="K114" s="7">
        <f t="shared" ca="1" si="43"/>
        <v>-45.977797183630251</v>
      </c>
      <c r="L114" s="7">
        <f t="shared" ca="1" si="43"/>
        <v>-60.255247037070525</v>
      </c>
      <c r="M114" s="7">
        <f t="shared" ca="1" si="43"/>
        <v>-73.585816286864528</v>
      </c>
      <c r="N114" s="7">
        <f t="shared" ca="1" si="43"/>
        <v>-85.681251529864127</v>
      </c>
      <c r="O114" s="7">
        <f t="shared" ca="1" si="43"/>
        <v>-96.232239229599458</v>
      </c>
      <c r="P114" s="7">
        <f t="shared" ca="1" si="43"/>
        <v>-104.91698496650008</v>
      </c>
      <c r="Q114" s="7">
        <f t="shared" ca="1" si="43"/>
        <v>-111.41550242822653</v>
      </c>
      <c r="R114" s="7">
        <f t="shared" ca="1" si="43"/>
        <v>-115.42872849497347</v>
      </c>
      <c r="S114" s="7">
        <f t="shared" ca="1" si="43"/>
        <v>-116.70033418830184</v>
      </c>
      <c r="T114" s="7">
        <f t="shared" ca="1" si="43"/>
        <v>-115.03797180866084</v>
      </c>
      <c r="U114" s="7">
        <f t="shared" ca="1" si="43"/>
        <v>-110.33016743886834</v>
      </c>
      <c r="V114" s="7">
        <f t="shared" ca="1" si="43"/>
        <v>-102.55552899975638</v>
      </c>
      <c r="W114" s="7">
        <f t="shared" ca="1" si="43"/>
        <v>-91.782437471347251</v>
      </c>
      <c r="X114" s="7">
        <f t="shared" ca="1" si="43"/>
        <v>-78.159540240540721</v>
      </c>
      <c r="Y114" s="7">
        <f t="shared" ca="1" si="43"/>
        <v>-61.899518533773744</v>
      </c>
      <c r="Z114" s="7">
        <f t="shared" ca="1" si="43"/>
        <v>-43.260088606536065</v>
      </c>
      <c r="AA114" s="7">
        <f t="shared" ca="1" si="43"/>
        <v>-22.526591806123388</v>
      </c>
      <c r="AB114" s="8">
        <f t="shared" ca="1" si="43"/>
        <v>1.9718155560534306E-4</v>
      </c>
    </row>
    <row r="115" spans="4:28" x14ac:dyDescent="0.25">
      <c r="D115" s="15"/>
      <c r="E115" s="2">
        <f t="shared" si="35"/>
        <v>3.2000000000000015</v>
      </c>
      <c r="H115" s="8">
        <f t="shared" ref="H115:AB115" ca="1" si="44" xml:space="preserve"> -(D*(nu*H66+G65+nu*H64+I65+((-2*nu)-2)*H65))/delta^2</f>
        <v>3.48318883984068E-5</v>
      </c>
      <c r="I115" s="7">
        <f t="shared" ca="1" si="44"/>
        <v>-18.050816598526307</v>
      </c>
      <c r="J115" s="7">
        <f t="shared" ca="1" si="44"/>
        <v>-35.872695362392108</v>
      </c>
      <c r="K115" s="7">
        <f t="shared" ca="1" si="44"/>
        <v>-53.223785701881113</v>
      </c>
      <c r="L115" s="7">
        <f t="shared" ca="1" si="44"/>
        <v>-69.838371102412793</v>
      </c>
      <c r="M115" s="7">
        <f t="shared" ca="1" si="44"/>
        <v>-85.418414166342899</v>
      </c>
      <c r="N115" s="7">
        <f t="shared" ca="1" si="44"/>
        <v>-99.629607665546786</v>
      </c>
      <c r="O115" s="7">
        <f t="shared" ca="1" si="44"/>
        <v>-112.10357776314812</v>
      </c>
      <c r="P115" s="7">
        <f t="shared" ca="1" si="44"/>
        <v>-122.44768318736345</v>
      </c>
      <c r="Q115" s="7">
        <f t="shared" ca="1" si="44"/>
        <v>-130.26309646975139</v>
      </c>
      <c r="R115" s="7">
        <f t="shared" ca="1" si="44"/>
        <v>-135.17042846197046</v>
      </c>
      <c r="S115" s="7">
        <f t="shared" ca="1" si="44"/>
        <v>-136.84017421837399</v>
      </c>
      <c r="T115" s="7">
        <f t="shared" ca="1" si="44"/>
        <v>-135.02324031147955</v>
      </c>
      <c r="U115" s="7">
        <f t="shared" ca="1" si="44"/>
        <v>-129.57564491788335</v>
      </c>
      <c r="V115" s="7">
        <f t="shared" ca="1" si="44"/>
        <v>-120.47197974403562</v>
      </c>
      <c r="W115" s="7">
        <f t="shared" ca="1" si="44"/>
        <v>-107.80454339136128</v>
      </c>
      <c r="X115" s="7">
        <f t="shared" ca="1" si="44"/>
        <v>-91.768534353292807</v>
      </c>
      <c r="Y115" s="7">
        <f t="shared" ca="1" si="44"/>
        <v>-72.637196323663844</v>
      </c>
      <c r="Z115" s="7">
        <f t="shared" ca="1" si="44"/>
        <v>-50.733187818470775</v>
      </c>
      <c r="AA115" s="7">
        <f t="shared" ca="1" si="44"/>
        <v>-26.402976686719722</v>
      </c>
      <c r="AB115" s="8">
        <f t="shared" ca="1" si="44"/>
        <v>2.1782398309290037E-4</v>
      </c>
    </row>
    <row r="116" spans="4:28" x14ac:dyDescent="0.25">
      <c r="D116" s="15"/>
      <c r="E116" s="2">
        <f t="shared" si="35"/>
        <v>3.1000000000000014</v>
      </c>
      <c r="H116" s="8">
        <f t="shared" ref="H116:AB116" ca="1" si="45" xml:space="preserve"> -(D*(nu*H67+G66+nu*H65+I66+((-2*nu)-2)*H66))/delta^2</f>
        <v>3.8478044341162313E-5</v>
      </c>
      <c r="I116" s="7">
        <f t="shared" ca="1" si="45"/>
        <v>-20.53685509799519</v>
      </c>
      <c r="J116" s="7">
        <f t="shared" ca="1" si="45"/>
        <v>-40.841632307113741</v>
      </c>
      <c r="K116" s="7">
        <f t="shared" ca="1" si="45"/>
        <v>-60.66482135292727</v>
      </c>
      <c r="L116" s="7">
        <f t="shared" ca="1" si="45"/>
        <v>-79.72413117539422</v>
      </c>
      <c r="M116" s="7">
        <f t="shared" ca="1" si="45"/>
        <v>-97.691859307291267</v>
      </c>
      <c r="N116" s="7">
        <f t="shared" ca="1" si="45"/>
        <v>-114.18746977887422</v>
      </c>
      <c r="O116" s="7">
        <f t="shared" ca="1" si="45"/>
        <v>-128.77778907190057</v>
      </c>
      <c r="P116" s="7">
        <f t="shared" ca="1" si="45"/>
        <v>-140.98731798785008</v>
      </c>
      <c r="Q116" s="7">
        <f t="shared" ca="1" si="45"/>
        <v>-150.32044422059533</v>
      </c>
      <c r="R116" s="7">
        <f t="shared" ca="1" si="45"/>
        <v>-156.2954519531705</v>
      </c>
      <c r="S116" s="7">
        <f t="shared" ca="1" si="45"/>
        <v>-158.48710303040818</v>
      </c>
      <c r="T116" s="7">
        <f t="shared" ca="1" si="45"/>
        <v>-156.57094262311566</v>
      </c>
      <c r="U116" s="7">
        <f t="shared" ca="1" si="45"/>
        <v>-150.35999719304297</v>
      </c>
      <c r="V116" s="7">
        <f t="shared" ca="1" si="45"/>
        <v>-139.82492353194033</v>
      </c>
      <c r="W116" s="7">
        <f t="shared" ca="1" si="45"/>
        <v>-125.09233749958905</v>
      </c>
      <c r="X116" s="7">
        <f t="shared" ca="1" si="45"/>
        <v>-106.42175801416435</v>
      </c>
      <c r="Y116" s="7">
        <f t="shared" ca="1" si="45"/>
        <v>-84.167373410175088</v>
      </c>
      <c r="Z116" s="7">
        <f t="shared" ca="1" si="45"/>
        <v>-58.734681635963291</v>
      </c>
      <c r="AA116" s="7">
        <f t="shared" ca="1" si="45"/>
        <v>-30.542662318454859</v>
      </c>
      <c r="AB116" s="8">
        <f t="shared" ca="1" si="45"/>
        <v>2.3711277374308863E-4</v>
      </c>
    </row>
    <row r="117" spans="4:28" x14ac:dyDescent="0.25">
      <c r="D117" s="15"/>
      <c r="E117" s="2">
        <f t="shared" si="35"/>
        <v>3.0000000000000013</v>
      </c>
      <c r="H117" s="8">
        <f t="shared" ref="H117:AB117" ca="1" si="46" xml:space="preserve"> -(D*(nu*H68+G67+nu*H66+I67+((-2*nu)-2)*H67))/delta^2</f>
        <v>4.188499736515846E-5</v>
      </c>
      <c r="I117" s="7">
        <f t="shared" ca="1" si="46"/>
        <v>-23.060517905849718</v>
      </c>
      <c r="J117" s="7">
        <f t="shared" ca="1" si="46"/>
        <v>-45.898776554284652</v>
      </c>
      <c r="K117" s="7">
        <f t="shared" ca="1" si="46"/>
        <v>-68.26972364041012</v>
      </c>
      <c r="L117" s="7">
        <f t="shared" ca="1" si="46"/>
        <v>-89.884711240591272</v>
      </c>
      <c r="M117" s="7">
        <f t="shared" ca="1" si="46"/>
        <v>-110.3932594510561</v>
      </c>
      <c r="N117" s="7">
        <f t="shared" ca="1" si="46"/>
        <v>-129.37033056149147</v>
      </c>
      <c r="O117" s="7">
        <f t="shared" ca="1" si="46"/>
        <v>-146.31250489113239</v>
      </c>
      <c r="P117" s="7">
        <f t="shared" ca="1" si="46"/>
        <v>-160.64718510241818</v>
      </c>
      <c r="Q117" s="7">
        <f t="shared" ca="1" si="46"/>
        <v>-171.75865249540144</v>
      </c>
      <c r="R117" s="7">
        <f t="shared" ca="1" si="46"/>
        <v>-179.03254744401147</v>
      </c>
      <c r="S117" s="7">
        <f t="shared" ca="1" si="46"/>
        <v>-181.91554489923337</v>
      </c>
      <c r="T117" s="7">
        <f t="shared" ca="1" si="46"/>
        <v>-179.98046335792219</v>
      </c>
      <c r="U117" s="7">
        <f t="shared" ca="1" si="46"/>
        <v>-172.98181303075512</v>
      </c>
      <c r="V117" s="7">
        <f t="shared" ca="1" si="46"/>
        <v>-160.88672450931617</v>
      </c>
      <c r="W117" s="7">
        <f t="shared" ca="1" si="46"/>
        <v>-143.87220374339475</v>
      </c>
      <c r="X117" s="7">
        <f t="shared" ca="1" si="46"/>
        <v>-122.28914560480403</v>
      </c>
      <c r="Y117" s="7">
        <f t="shared" ca="1" si="46"/>
        <v>-96.603142324800331</v>
      </c>
      <c r="Z117" s="7">
        <f t="shared" ca="1" si="46"/>
        <v>-67.32846928020399</v>
      </c>
      <c r="AA117" s="7">
        <f t="shared" ca="1" si="46"/>
        <v>-34.972080114638317</v>
      </c>
      <c r="AB117" s="8">
        <f t="shared" ca="1" si="46"/>
        <v>2.5492934294329229E-4</v>
      </c>
    </row>
    <row r="118" spans="4:28" x14ac:dyDescent="0.25">
      <c r="D118" s="15"/>
      <c r="E118" s="2">
        <f t="shared" si="35"/>
        <v>2.9000000000000012</v>
      </c>
      <c r="H118" s="8">
        <f t="shared" ref="H118:AB118" ca="1" si="47" xml:space="preserve"> -(D*(nu*H69+G68+nu*H67+I68+((-2*nu)-2)*H68))/delta^2</f>
        <v>4.5031802951864852E-5</v>
      </c>
      <c r="I118" s="7">
        <f t="shared" ca="1" si="47"/>
        <v>-25.598705412689462</v>
      </c>
      <c r="J118" s="7">
        <f t="shared" ca="1" si="47"/>
        <v>-51.001102930980295</v>
      </c>
      <c r="K118" s="7">
        <f t="shared" ca="1" si="47"/>
        <v>-75.98213030682183</v>
      </c>
      <c r="L118" s="7">
        <f t="shared" ca="1" si="47"/>
        <v>-100.26075907451407</v>
      </c>
      <c r="M118" s="7">
        <f t="shared" ca="1" si="47"/>
        <v>-123.47453499489673</v>
      </c>
      <c r="N118" s="7">
        <f t="shared" ca="1" si="47"/>
        <v>-145.15907539000179</v>
      </c>
      <c r="O118" s="7">
        <f t="shared" ca="1" si="47"/>
        <v>-164.73701655946712</v>
      </c>
      <c r="P118" s="7">
        <f t="shared" ca="1" si="47"/>
        <v>-181.52287260313506</v>
      </c>
      <c r="Q118" s="7">
        <f t="shared" ca="1" si="47"/>
        <v>-194.75117294695423</v>
      </c>
      <c r="R118" s="7">
        <f t="shared" ca="1" si="47"/>
        <v>-203.63320954009652</v>
      </c>
      <c r="S118" s="7">
        <f t="shared" ca="1" si="47"/>
        <v>-207.44070261618469</v>
      </c>
      <c r="T118" s="7">
        <f t="shared" ca="1" si="47"/>
        <v>-205.6028657329565</v>
      </c>
      <c r="U118" s="7">
        <f t="shared" ca="1" si="47"/>
        <v>-197.79221396155216</v>
      </c>
      <c r="V118" s="7">
        <f t="shared" ca="1" si="47"/>
        <v>-183.97319056643835</v>
      </c>
      <c r="W118" s="7">
        <f t="shared" ca="1" si="47"/>
        <v>-164.39809337358179</v>
      </c>
      <c r="X118" s="7">
        <f t="shared" ca="1" si="47"/>
        <v>-139.55064145546481</v>
      </c>
      <c r="Y118" s="7">
        <f t="shared" ca="1" si="47"/>
        <v>-110.05355926626284</v>
      </c>
      <c r="Z118" s="7">
        <f t="shared" ca="1" si="47"/>
        <v>-76.567505285678124</v>
      </c>
      <c r="AA118" s="7">
        <f t="shared" ca="1" si="47"/>
        <v>-39.708328308614412</v>
      </c>
      <c r="AB118" s="8">
        <f t="shared" ca="1" si="47"/>
        <v>2.7116433222438267E-4</v>
      </c>
    </row>
    <row r="119" spans="4:28" x14ac:dyDescent="0.25">
      <c r="D119" s="15"/>
      <c r="E119" s="2">
        <f t="shared" si="35"/>
        <v>2.8000000000000012</v>
      </c>
      <c r="H119" s="8">
        <f t="shared" ref="H119:AB119" ca="1" si="48" xml:space="preserve"> -(D*(nu*H70+G69+nu*H68+I69+((-2*nu)-2)*H69))/delta^2</f>
        <v>4.7899147935629353E-5</v>
      </c>
      <c r="I119" s="7">
        <f t="shared" ca="1" si="48"/>
        <v>-28.118507799586702</v>
      </c>
      <c r="J119" s="7">
        <f t="shared" ca="1" si="48"/>
        <v>-56.085890037359377</v>
      </c>
      <c r="K119" s="7">
        <f t="shared" ca="1" si="48"/>
        <v>-83.716223230729625</v>
      </c>
      <c r="L119" s="7">
        <f t="shared" ca="1" si="48"/>
        <v>-110.7545848292482</v>
      </c>
      <c r="M119" s="7">
        <f t="shared" ca="1" si="48"/>
        <v>-136.84277805092572</v>
      </c>
      <c r="N119" s="7">
        <f t="shared" ca="1" si="48"/>
        <v>-161.48795159984849</v>
      </c>
      <c r="O119" s="7">
        <f t="shared" ca="1" si="48"/>
        <v>-184.03950091492027</v>
      </c>
      <c r="P119" s="7">
        <f t="shared" ca="1" si="48"/>
        <v>-203.68366373892695</v>
      </c>
      <c r="Q119" s="7">
        <f t="shared" ca="1" si="48"/>
        <v>-219.46888547361451</v>
      </c>
      <c r="R119" s="7">
        <f t="shared" ca="1" si="48"/>
        <v>-230.37498732421341</v>
      </c>
      <c r="S119" s="7">
        <f t="shared" ca="1" si="48"/>
        <v>-235.43004160258997</v>
      </c>
      <c r="T119" s="7">
        <f t="shared" ca="1" si="48"/>
        <v>-233.85750476463946</v>
      </c>
      <c r="U119" s="7">
        <f t="shared" ca="1" si="48"/>
        <v>-225.21168094925139</v>
      </c>
      <c r="V119" s="7">
        <f t="shared" ca="1" si="48"/>
        <v>-209.45567257949116</v>
      </c>
      <c r="W119" s="7">
        <f t="shared" ca="1" si="48"/>
        <v>-186.95579675299936</v>
      </c>
      <c r="X119" s="7">
        <f t="shared" ca="1" si="48"/>
        <v>-158.39258804202018</v>
      </c>
      <c r="Y119" s="7">
        <f t="shared" ca="1" si="48"/>
        <v>-124.61487403655092</v>
      </c>
      <c r="Z119" s="7">
        <f t="shared" ca="1" si="48"/>
        <v>-86.483959625013497</v>
      </c>
      <c r="AA119" s="7">
        <f t="shared" ca="1" si="48"/>
        <v>-44.752420152417599</v>
      </c>
      <c r="AB119" s="8">
        <f t="shared" ca="1" si="48"/>
        <v>2.8571833901218049E-4</v>
      </c>
    </row>
    <row r="120" spans="4:28" x14ac:dyDescent="0.25">
      <c r="D120" s="15"/>
      <c r="E120" s="2">
        <f t="shared" si="35"/>
        <v>2.7000000000000011</v>
      </c>
      <c r="H120" s="8">
        <f t="shared" ref="H120:AB120" ca="1" si="49" xml:space="preserve"> -(D*(nu*H71+G70+nu*H69+I70+((-2*nu)-2)*H70))/delta^2</f>
        <v>5.0469484074258143E-5</v>
      </c>
      <c r="I120" s="7">
        <f t="shared" ca="1" si="49"/>
        <v>-30.576944495358433</v>
      </c>
      <c r="J120" s="7">
        <f t="shared" ca="1" si="49"/>
        <v>-61.069663976246545</v>
      </c>
      <c r="K120" s="7">
        <f t="shared" ca="1" si="49"/>
        <v>-91.353871826502754</v>
      </c>
      <c r="L120" s="7">
        <f t="shared" ca="1" si="49"/>
        <v>-121.22422378986958</v>
      </c>
      <c r="M120" s="7">
        <f t="shared" ca="1" si="49"/>
        <v>-150.3501043752299</v>
      </c>
      <c r="N120" s="7">
        <f t="shared" ca="1" si="49"/>
        <v>-178.22996379270131</v>
      </c>
      <c r="O120" s="7">
        <f t="shared" ca="1" si="49"/>
        <v>-204.14952903955776</v>
      </c>
      <c r="P120" s="7">
        <f t="shared" ca="1" si="49"/>
        <v>-227.15615219718029</v>
      </c>
      <c r="Q120" s="7">
        <f t="shared" ca="1" si="49"/>
        <v>-246.07055858450809</v>
      </c>
      <c r="R120" s="7">
        <f t="shared" ca="1" si="49"/>
        <v>-259.56363938047758</v>
      </c>
      <c r="S120" s="7">
        <f t="shared" ca="1" si="49"/>
        <v>-266.31773269406875</v>
      </c>
      <c r="T120" s="7">
        <f t="shared" ca="1" si="49"/>
        <v>-265.25424585358752</v>
      </c>
      <c r="U120" s="7">
        <f t="shared" ca="1" si="49"/>
        <v>-255.75258638360697</v>
      </c>
      <c r="V120" s="7">
        <f t="shared" ca="1" si="49"/>
        <v>-237.77639211541538</v>
      </c>
      <c r="W120" s="7">
        <f t="shared" ca="1" si="49"/>
        <v>-211.86640933910357</v>
      </c>
      <c r="X120" s="7">
        <f t="shared" ca="1" si="49"/>
        <v>-178.99976404097532</v>
      </c>
      <c r="Y120" s="7">
        <f t="shared" ca="1" si="49"/>
        <v>-140.35599180468463</v>
      </c>
      <c r="Z120" s="7">
        <f t="shared" ca="1" si="49"/>
        <v>-97.074336066825367</v>
      </c>
      <c r="AA120" s="7">
        <f t="shared" ca="1" si="49"/>
        <v>-50.079544374835805</v>
      </c>
      <c r="AB120" s="8">
        <f t="shared" ca="1" si="49"/>
        <v>2.9850243787850019E-4</v>
      </c>
    </row>
    <row r="121" spans="4:28" x14ac:dyDescent="0.25">
      <c r="D121" s="15"/>
      <c r="E121" s="2">
        <f t="shared" si="35"/>
        <v>2.600000000000001</v>
      </c>
      <c r="H121" s="8">
        <f t="shared" ref="H121:AB121" ca="1" si="50" xml:space="preserve"> -(D*(nu*H72+G71+nu*H70+I71+((-2*nu)-2)*H71))/delta^2</f>
        <v>5.2727113566765311E-5</v>
      </c>
      <c r="I121" s="7">
        <f t="shared" ca="1" si="50"/>
        <v>-32.922010134468259</v>
      </c>
      <c r="J121" s="7">
        <f t="shared" ca="1" si="50"/>
        <v>-65.849560525566389</v>
      </c>
      <c r="K121" s="7">
        <f t="shared" ca="1" si="50"/>
        <v>-98.744836018446122</v>
      </c>
      <c r="L121" s="7">
        <f t="shared" ca="1" si="50"/>
        <v>-131.48033279160683</v>
      </c>
      <c r="M121" s="7">
        <f t="shared" ca="1" si="50"/>
        <v>-163.7848083231932</v>
      </c>
      <c r="N121" s="7">
        <f t="shared" ca="1" si="50"/>
        <v>-195.18055344669406</v>
      </c>
      <c r="O121" s="7">
        <f t="shared" ca="1" si="50"/>
        <v>-224.91496099559649</v>
      </c>
      <c r="P121" s="7">
        <f t="shared" ca="1" si="50"/>
        <v>-251.89932365609525</v>
      </c>
      <c r="Q121" s="7">
        <f t="shared" ca="1" si="50"/>
        <v>-274.68539529164781</v>
      </c>
      <c r="R121" s="7">
        <f t="shared" ca="1" si="50"/>
        <v>-291.53239781472826</v>
      </c>
      <c r="S121" s="7">
        <f t="shared" ca="1" si="50"/>
        <v>-300.6225405240005</v>
      </c>
      <c r="T121" s="7">
        <f t="shared" ca="1" si="50"/>
        <v>-300.42296903063618</v>
      </c>
      <c r="U121" s="7">
        <f t="shared" ca="1" si="50"/>
        <v>-290.04914880191114</v>
      </c>
      <c r="V121" s="7">
        <f t="shared" ca="1" si="50"/>
        <v>-269.46759503263365</v>
      </c>
      <c r="W121" s="7">
        <f t="shared" ca="1" si="50"/>
        <v>-239.48742471557526</v>
      </c>
      <c r="X121" s="7">
        <f t="shared" ca="1" si="50"/>
        <v>-201.53995393198701</v>
      </c>
      <c r="Y121" s="7">
        <f t="shared" ca="1" si="50"/>
        <v>-157.2954483017987</v>
      </c>
      <c r="Z121" s="7">
        <f t="shared" ca="1" si="50"/>
        <v>-108.27826754598222</v>
      </c>
      <c r="AA121" s="7">
        <f t="shared" ca="1" si="50"/>
        <v>-55.626094430676652</v>
      </c>
      <c r="AB121" s="8">
        <f t="shared" ca="1" si="50"/>
        <v>3.0943880604240327E-4</v>
      </c>
    </row>
    <row r="122" spans="4:28" x14ac:dyDescent="0.25">
      <c r="D122" s="15"/>
      <c r="E122" s="2">
        <f t="shared" si="35"/>
        <v>2.5000000000000009</v>
      </c>
      <c r="H122" s="8">
        <f t="shared" ref="H122:AB122" ca="1" si="51" xml:space="preserve"> -(D*(nu*H73+G72+nu*H71+I72+((-2*nu)-2)*H72))/delta^2</f>
        <v>5.4658294932491153E-5</v>
      </c>
      <c r="I122" s="7">
        <f t="shared" ca="1" si="51"/>
        <v>-35.095624496157015</v>
      </c>
      <c r="J122" s="7">
        <f t="shared" ca="1" si="51"/>
        <v>-70.30842003452338</v>
      </c>
      <c r="K122" s="7">
        <f t="shared" ca="1" si="51"/>
        <v>-105.71221738828064</v>
      </c>
      <c r="L122" s="7">
        <f t="shared" ca="1" si="51"/>
        <v>-141.28898837943447</v>
      </c>
      <c r="M122" s="7">
        <f t="shared" ca="1" si="51"/>
        <v>-176.8673131105412</v>
      </c>
      <c r="N122" s="7">
        <f t="shared" ca="1" si="51"/>
        <v>-212.04227266615439</v>
      </c>
      <c r="O122" s="7">
        <f t="shared" ca="1" si="51"/>
        <v>-246.07336557650484</v>
      </c>
      <c r="P122" s="7">
        <f t="shared" ca="1" si="51"/>
        <v>-277.76758163657246</v>
      </c>
      <c r="Q122" s="7">
        <f t="shared" ca="1" si="51"/>
        <v>-305.38221307365171</v>
      </c>
      <c r="R122" s="7">
        <f t="shared" ca="1" si="51"/>
        <v>-326.63527559242431</v>
      </c>
      <c r="S122" s="7">
        <f t="shared" ca="1" si="51"/>
        <v>-338.969504540721</v>
      </c>
      <c r="T122" s="7">
        <f t="shared" ca="1" si="51"/>
        <v>-340.15168998871076</v>
      </c>
      <c r="U122" s="7">
        <f t="shared" ca="1" si="51"/>
        <v>-328.89616077037459</v>
      </c>
      <c r="V122" s="7">
        <f t="shared" ca="1" si="51"/>
        <v>-305.17494778888471</v>
      </c>
      <c r="W122" s="7">
        <f t="shared" ca="1" si="51"/>
        <v>-270.20853106945077</v>
      </c>
      <c r="X122" s="7">
        <f t="shared" ca="1" si="51"/>
        <v>-226.13579621781747</v>
      </c>
      <c r="Y122" s="7">
        <f t="shared" ca="1" si="51"/>
        <v>-175.36648386075029</v>
      </c>
      <c r="Z122" s="7">
        <f t="shared" ca="1" si="51"/>
        <v>-119.9507353717933</v>
      </c>
      <c r="AA122" s="7">
        <f t="shared" ca="1" si="51"/>
        <v>-61.274563898951207</v>
      </c>
      <c r="AB122" s="8">
        <f t="shared" ca="1" si="51"/>
        <v>3.1846108824592942E-4</v>
      </c>
    </row>
    <row r="123" spans="4:28" x14ac:dyDescent="0.25">
      <c r="D123" s="15"/>
      <c r="E123" s="2">
        <f t="shared" si="35"/>
        <v>2.4000000000000008</v>
      </c>
      <c r="H123" s="8">
        <f t="shared" ref="H123:AB123" ca="1" si="52" xml:space="preserve"> -(D*(nu*H74+G73+nu*H72+I73+((-2*nu)-2)*H73))/delta^2</f>
        <v>5.6251322827668427E-5</v>
      </c>
      <c r="I123" s="7">
        <f t="shared" ca="1" si="52"/>
        <v>-37.038906531225308</v>
      </c>
      <c r="J123" s="7">
        <f t="shared" ca="1" si="52"/>
        <v>-74.324739172253175</v>
      </c>
      <c r="K123" s="7">
        <f t="shared" ca="1" si="52"/>
        <v>-112.06549889432283</v>
      </c>
      <c r="L123" s="7">
        <f t="shared" ca="1" si="52"/>
        <v>-150.38447538426425</v>
      </c>
      <c r="M123" s="7">
        <f t="shared" ca="1" si="52"/>
        <v>-189.25678074435555</v>
      </c>
      <c r="N123" s="7">
        <f t="shared" ca="1" si="52"/>
        <v>-228.41673333315757</v>
      </c>
      <c r="O123" s="7">
        <f t="shared" ca="1" si="52"/>
        <v>-267.22129576073195</v>
      </c>
      <c r="P123" s="7">
        <f t="shared" ca="1" si="52"/>
        <v>-304.45828628068023</v>
      </c>
      <c r="Q123" s="7">
        <f t="shared" ca="1" si="52"/>
        <v>-338.1163397562558</v>
      </c>
      <c r="R123" s="7">
        <f t="shared" ca="1" si="52"/>
        <v>-365.22953682666474</v>
      </c>
      <c r="S123" s="7">
        <f t="shared" ca="1" si="52"/>
        <v>-382.11571918729101</v>
      </c>
      <c r="T123" s="7">
        <f t="shared" ca="1" si="52"/>
        <v>-385.43213877335671</v>
      </c>
      <c r="U123" s="7">
        <f t="shared" ca="1" si="52"/>
        <v>-373.29530089455153</v>
      </c>
      <c r="V123" s="7">
        <f t="shared" ca="1" si="52"/>
        <v>-345.68542179587098</v>
      </c>
      <c r="W123" s="7">
        <f t="shared" ca="1" si="52"/>
        <v>-304.43721355177661</v>
      </c>
      <c r="X123" s="7">
        <f t="shared" ca="1" si="52"/>
        <v>-252.81509370166845</v>
      </c>
      <c r="Y123" s="7">
        <f t="shared" ca="1" si="52"/>
        <v>-194.36694583833165</v>
      </c>
      <c r="Z123" s="7">
        <f t="shared" ca="1" si="52"/>
        <v>-131.83078479647872</v>
      </c>
      <c r="AA123" s="7">
        <f t="shared" ca="1" si="52"/>
        <v>-66.84061101525856</v>
      </c>
      <c r="AB123" s="8">
        <f t="shared" ca="1" si="52"/>
        <v>3.2551481375493209E-4</v>
      </c>
    </row>
    <row r="124" spans="4:28" x14ac:dyDescent="0.25">
      <c r="D124" s="15"/>
      <c r="E124" s="2">
        <f t="shared" si="35"/>
        <v>2.3000000000000007</v>
      </c>
      <c r="H124" s="8">
        <f t="shared" ref="H124:AB124" ca="1" si="53" xml:space="preserve"> -(D*(nu*H75+G74+nu*H73+I74+((-2*nu)-2)*H74))/delta^2</f>
        <v>5.7496588315074337E-5</v>
      </c>
      <c r="I124" s="7">
        <f t="shared" ca="1" si="53"/>
        <v>-38.69962611543302</v>
      </c>
      <c r="J124" s="7">
        <f t="shared" ca="1" si="53"/>
        <v>-77.78762582341983</v>
      </c>
      <c r="K124" s="7">
        <f t="shared" ca="1" si="53"/>
        <v>-117.62256648203677</v>
      </c>
      <c r="L124" s="7">
        <f t="shared" ca="1" si="53"/>
        <v>-158.49616838783371</v>
      </c>
      <c r="M124" s="7">
        <f t="shared" ca="1" si="53"/>
        <v>-200.57665082326412</v>
      </c>
      <c r="N124" s="7">
        <f t="shared" ca="1" si="53"/>
        <v>-243.81603284780269</v>
      </c>
      <c r="O124" s="7">
        <f t="shared" ca="1" si="53"/>
        <v>-287.79271487402133</v>
      </c>
      <c r="P124" s="7">
        <f t="shared" ca="1" si="53"/>
        <v>-331.44417739834523</v>
      </c>
      <c r="Q124" s="7">
        <f t="shared" ca="1" si="53"/>
        <v>-372.63994353484406</v>
      </c>
      <c r="R124" s="7">
        <f t="shared" ca="1" si="53"/>
        <v>-407.64078975203199</v>
      </c>
      <c r="S124" s="7">
        <f t="shared" ca="1" si="53"/>
        <v>-430.98150390950843</v>
      </c>
      <c r="T124" s="7">
        <f t="shared" ca="1" si="53"/>
        <v>-437.50248098849215</v>
      </c>
      <c r="U124" s="7">
        <f t="shared" ca="1" si="53"/>
        <v>-424.49859748444652</v>
      </c>
      <c r="V124" s="7">
        <f t="shared" ca="1" si="53"/>
        <v>-391.96064456843709</v>
      </c>
      <c r="W124" s="7">
        <f t="shared" ca="1" si="53"/>
        <v>-342.56724052856322</v>
      </c>
      <c r="X124" s="7">
        <f t="shared" ca="1" si="53"/>
        <v>-281.42505265910222</v>
      </c>
      <c r="Y124" s="7">
        <f t="shared" ca="1" si="53"/>
        <v>-213.89443290795211</v>
      </c>
      <c r="Z124" s="7">
        <f t="shared" ca="1" si="53"/>
        <v>-143.51807454153308</v>
      </c>
      <c r="AA124" s="7">
        <f t="shared" ca="1" si="53"/>
        <v>-72.072764811713924</v>
      </c>
      <c r="AB124" s="8">
        <f t="shared" ca="1" si="53"/>
        <v>3.3055760485949641E-4</v>
      </c>
    </row>
    <row r="125" spans="4:28" x14ac:dyDescent="0.25">
      <c r="D125" s="15"/>
      <c r="E125" s="2">
        <f t="shared" si="35"/>
        <v>2.2000000000000006</v>
      </c>
      <c r="H125" s="8">
        <f t="shared" ref="H125:AB125" ca="1" si="54" xml:space="preserve"> -(D*(nu*H76+G75+nu*H74+I75+((-2*nu)-2)*H75))/delta^2</f>
        <v>5.8386645649320622E-5</v>
      </c>
      <c r="I125" s="7">
        <f t="shared" ca="1" si="54"/>
        <v>-40.040639811042503</v>
      </c>
      <c r="J125" s="7">
        <f t="shared" ca="1" si="54"/>
        <v>-80.614772764989368</v>
      </c>
      <c r="K125" s="7">
        <f t="shared" ca="1" si="54"/>
        <v>-122.23907360063555</v>
      </c>
      <c r="L125" s="7">
        <f t="shared" ca="1" si="54"/>
        <v>-165.39067344177499</v>
      </c>
      <c r="M125" s="7">
        <f t="shared" ca="1" si="54"/>
        <v>-210.46722787271884</v>
      </c>
      <c r="N125" s="7">
        <f t="shared" ca="1" si="54"/>
        <v>-257.71297317005548</v>
      </c>
      <c r="O125" s="7">
        <f t="shared" ca="1" si="54"/>
        <v>-307.07466092954542</v>
      </c>
      <c r="P125" s="7">
        <f t="shared" ca="1" si="54"/>
        <v>-357.90734797089618</v>
      </c>
      <c r="Q125" s="7">
        <f t="shared" ca="1" si="54"/>
        <v>-408.35496783842223</v>
      </c>
      <c r="R125" s="7">
        <f t="shared" ca="1" si="54"/>
        <v>-454.10508842968972</v>
      </c>
      <c r="S125" s="7">
        <f t="shared" ca="1" si="54"/>
        <v>-486.69241821260238</v>
      </c>
      <c r="T125" s="7">
        <f t="shared" ca="1" si="54"/>
        <v>-497.84927539937627</v>
      </c>
      <c r="U125" s="7">
        <f t="shared" ca="1" si="54"/>
        <v>-484.01090842444586</v>
      </c>
      <c r="V125" s="7">
        <f t="shared" ca="1" si="54"/>
        <v>-445.18051615204274</v>
      </c>
      <c r="W125" s="7">
        <f t="shared" ca="1" si="54"/>
        <v>-384.92345807401671</v>
      </c>
      <c r="X125" s="7">
        <f t="shared" ca="1" si="54"/>
        <v>-311.48864305652432</v>
      </c>
      <c r="Y125" s="7">
        <f t="shared" ca="1" si="54"/>
        <v>-233.28284568680414</v>
      </c>
      <c r="Z125" s="7">
        <f t="shared" ca="1" si="54"/>
        <v>-154.48570551729708</v>
      </c>
      <c r="AA125" s="7">
        <f t="shared" ca="1" si="54"/>
        <v>-76.683988424563623</v>
      </c>
      <c r="AB125" s="8">
        <f t="shared" ca="1" si="54"/>
        <v>3.3355980237519231E-4</v>
      </c>
    </row>
    <row r="126" spans="4:28" x14ac:dyDescent="0.25">
      <c r="D126" s="15"/>
      <c r="E126" s="2">
        <f t="shared" si="35"/>
        <v>2.1000000000000005</v>
      </c>
      <c r="H126" s="8">
        <f t="shared" ref="H126:AB126" ca="1" si="55" xml:space="preserve"> -(D*(nu*H77+G76+nu*H75+I76+((-2*nu)-2)*H76))/delta^2</f>
        <v>5.8916246483953307E-5</v>
      </c>
      <c r="I126" s="7">
        <f t="shared" ca="1" si="55"/>
        <v>-41.046802620242694</v>
      </c>
      <c r="J126" s="7">
        <f t="shared" ca="1" si="55"/>
        <v>-82.768345661511759</v>
      </c>
      <c r="K126" s="7">
        <f t="shared" ca="1" si="55"/>
        <v>-125.83778062154929</v>
      </c>
      <c r="L126" s="7">
        <f t="shared" ca="1" si="55"/>
        <v>-170.92174261491323</v>
      </c>
      <c r="M126" s="7">
        <f t="shared" ca="1" si="55"/>
        <v>-218.66434610037427</v>
      </c>
      <c r="N126" s="7">
        <f t="shared" ca="1" si="55"/>
        <v>-269.64935888825198</v>
      </c>
      <c r="O126" s="7">
        <f t="shared" ca="1" si="55"/>
        <v>-324.31438250979051</v>
      </c>
      <c r="P126" s="7">
        <f t="shared" ca="1" si="55"/>
        <v>-382.74384531175195</v>
      </c>
      <c r="Q126" s="7">
        <f t="shared" ca="1" si="55"/>
        <v>-444.0943603044758</v>
      </c>
      <c r="R126" s="7">
        <f t="shared" ca="1" si="55"/>
        <v>-504.69194591350265</v>
      </c>
      <c r="S126" s="7">
        <f t="shared" ca="1" si="55"/>
        <v>-550.64104555170343</v>
      </c>
      <c r="T126" s="7">
        <f t="shared" ca="1" si="55"/>
        <v>-568.06067014270945</v>
      </c>
      <c r="U126" s="7">
        <f t="shared" ca="1" si="55"/>
        <v>-553.44310347800285</v>
      </c>
      <c r="V126" s="7">
        <f t="shared" ca="1" si="55"/>
        <v>-506.80505754166256</v>
      </c>
      <c r="W126" s="7">
        <f t="shared" ca="1" si="55"/>
        <v>-431.68521536577987</v>
      </c>
      <c r="X126" s="7">
        <f t="shared" ca="1" si="55"/>
        <v>-341.98677472519523</v>
      </c>
      <c r="Y126" s="7">
        <f t="shared" ca="1" si="55"/>
        <v>-251.60773888857645</v>
      </c>
      <c r="Z126" s="7">
        <f t="shared" ca="1" si="55"/>
        <v>-164.18376792074713</v>
      </c>
      <c r="AA126" s="7">
        <f t="shared" ca="1" si="55"/>
        <v>-80.437951487942428</v>
      </c>
      <c r="AB126" s="8">
        <f t="shared" ca="1" si="55"/>
        <v>3.3450430926776142E-4</v>
      </c>
    </row>
    <row r="127" spans="4:28" x14ac:dyDescent="0.25">
      <c r="D127" s="15"/>
      <c r="E127" s="2">
        <f t="shared" si="35"/>
        <v>2.0000000000000004</v>
      </c>
      <c r="H127" s="8">
        <f t="shared" ref="H127:AB127" ca="1" si="56" xml:space="preserve"> -(D*(nu*H78+G77+nu*H76+I77+((-2*nu)-2)*H77))/delta^2</f>
        <v>5.9082364305095511E-5</v>
      </c>
      <c r="I127" s="7">
        <f t="shared" ca="1" si="56"/>
        <v>-41.727061661445703</v>
      </c>
      <c r="J127" s="7">
        <f t="shared" ca="1" si="56"/>
        <v>-84.261112342103118</v>
      </c>
      <c r="K127" s="7">
        <f t="shared" ca="1" si="56"/>
        <v>-128.42373527730339</v>
      </c>
      <c r="L127" s="7">
        <f t="shared" ca="1" si="56"/>
        <v>-175.0653120664054</v>
      </c>
      <c r="M127" s="7">
        <f t="shared" ca="1" si="56"/>
        <v>-225.07545879082014</v>
      </c>
      <c r="N127" s="7">
        <f t="shared" ca="1" si="56"/>
        <v>-279.38782467842645</v>
      </c>
      <c r="O127" s="7">
        <f t="shared" ca="1" si="56"/>
        <v>-338.9757949925658</v>
      </c>
      <c r="P127" s="7">
        <f t="shared" ca="1" si="56"/>
        <v>-404.83508667349781</v>
      </c>
      <c r="Q127" s="7">
        <f t="shared" ca="1" si="56"/>
        <v>-477.94961319530734</v>
      </c>
      <c r="R127" s="9">
        <f t="shared" ca="1" si="56"/>
        <v>-559.23932142613387</v>
      </c>
      <c r="S127" s="9">
        <f t="shared" ca="1" si="56"/>
        <v>-624.49355583709257</v>
      </c>
      <c r="T127" s="9">
        <f t="shared" ca="1" si="56"/>
        <v>-649.30005284656829</v>
      </c>
      <c r="U127" s="9">
        <f t="shared" ca="1" si="56"/>
        <v>-633.98487135057292</v>
      </c>
      <c r="V127" s="9">
        <f t="shared" ca="1" si="56"/>
        <v>-578.57855620155908</v>
      </c>
      <c r="W127" s="9">
        <f t="shared" ca="1" si="56"/>
        <v>-482.81771848917288</v>
      </c>
      <c r="X127" s="7">
        <f t="shared" ca="1" si="56"/>
        <v>-371.1816050938304</v>
      </c>
      <c r="Y127" s="7">
        <f t="shared" ca="1" si="56"/>
        <v>-267.95350766348906</v>
      </c>
      <c r="Z127" s="7">
        <f t="shared" ca="1" si="56"/>
        <v>-172.29042555947566</v>
      </c>
      <c r="AA127" s="7">
        <f t="shared" ca="1" si="56"/>
        <v>-83.283903283004022</v>
      </c>
      <c r="AB127" s="8">
        <f t="shared" ca="1" si="56"/>
        <v>3.3338653852801241E-4</v>
      </c>
    </row>
    <row r="128" spans="4:28" x14ac:dyDescent="0.25">
      <c r="D128" s="15"/>
      <c r="E128" s="2">
        <f t="shared" si="35"/>
        <v>1.9000000000000006</v>
      </c>
      <c r="H128" s="8">
        <f t="shared" ref="H128:AB128" ca="1" si="57" xml:space="preserve"> -(D*(nu*H79+G78+nu*H77+I78+((-2*nu)-2)*H78))/delta^2</f>
        <v>5.8884227009637583E-5</v>
      </c>
      <c r="I128" s="7">
        <f t="shared" ca="1" si="57"/>
        <v>-42.109475237825933</v>
      </c>
      <c r="J128" s="7">
        <f t="shared" ca="1" si="57"/>
        <v>-85.146497670151447</v>
      </c>
      <c r="K128" s="7">
        <f t="shared" ca="1" si="57"/>
        <v>-130.07010067400466</v>
      </c>
      <c r="L128" s="7">
        <f t="shared" ca="1" si="57"/>
        <v>-177.90517191619799</v>
      </c>
      <c r="M128" s="7">
        <f t="shared" ca="1" si="57"/>
        <v>-229.78099128918635</v>
      </c>
      <c r="N128" s="7">
        <f t="shared" ca="1" si="57"/>
        <v>-286.98111499666288</v>
      </c>
      <c r="O128" s="7">
        <f t="shared" ca="1" si="57"/>
        <v>-351.02373016092173</v>
      </c>
      <c r="P128" s="7">
        <f t="shared" ca="1" si="57"/>
        <v>-423.83694180166475</v>
      </c>
      <c r="Q128" s="7">
        <f t="shared" ca="1" si="57"/>
        <v>-508.26669496307471</v>
      </c>
      <c r="R128" s="9">
        <f t="shared" ca="1" si="57"/>
        <v>-609.87317501608038</v>
      </c>
      <c r="S128" s="9">
        <f t="shared" ca="1" si="57"/>
        <v>-694.18134860003011</v>
      </c>
      <c r="T128" s="9">
        <f t="shared" ca="1" si="57"/>
        <v>-726.29140603183043</v>
      </c>
      <c r="U128" s="9">
        <f t="shared" ca="1" si="57"/>
        <v>-710.38831378266434</v>
      </c>
      <c r="V128" s="9">
        <f t="shared" ca="1" si="57"/>
        <v>-646.51596086297354</v>
      </c>
      <c r="W128" s="9">
        <f t="shared" ca="1" si="57"/>
        <v>-530.58302511890656</v>
      </c>
      <c r="X128" s="7">
        <f t="shared" ca="1" si="57"/>
        <v>-397.60117451682885</v>
      </c>
      <c r="Y128" s="7">
        <f t="shared" ca="1" si="57"/>
        <v>-282.19002238035654</v>
      </c>
      <c r="Z128" s="7">
        <f t="shared" ca="1" si="57"/>
        <v>-178.98620209976477</v>
      </c>
      <c r="AA128" s="7">
        <f t="shared" ca="1" si="57"/>
        <v>-85.424023443856456</v>
      </c>
      <c r="AB128" s="8">
        <f t="shared" ca="1" si="57"/>
        <v>3.3021451742203009E-4</v>
      </c>
    </row>
    <row r="129" spans="4:28" x14ac:dyDescent="0.25">
      <c r="D129" s="15"/>
      <c r="E129" s="2">
        <f t="shared" si="35"/>
        <v>1.8000000000000005</v>
      </c>
      <c r="H129" s="8">
        <f t="shared" ref="H129:AB129" ca="1" si="58" xml:space="preserve"> -(D*(nu*H80+G79+nu*H78+I79+((-2*nu)-2)*H79))/delta^2</f>
        <v>5.8323305502870652E-5</v>
      </c>
      <c r="I129" s="7">
        <f t="shared" ca="1" si="58"/>
        <v>-42.230411849080085</v>
      </c>
      <c r="J129" s="7">
        <f t="shared" ca="1" si="58"/>
        <v>-85.494525588531644</v>
      </c>
      <c r="K129" s="7">
        <f t="shared" ca="1" si="58"/>
        <v>-130.87462260158486</v>
      </c>
      <c r="L129" s="7">
        <f t="shared" ca="1" si="58"/>
        <v>-179.55657001624539</v>
      </c>
      <c r="M129" s="7">
        <f t="shared" ca="1" si="58"/>
        <v>-232.89707090123829</v>
      </c>
      <c r="N129" s="7">
        <f t="shared" ca="1" si="58"/>
        <v>-292.51704276957764</v>
      </c>
      <c r="O129" s="7">
        <f t="shared" ca="1" si="58"/>
        <v>-360.45002304707054</v>
      </c>
      <c r="P129" s="7">
        <f t="shared" ca="1" si="58"/>
        <v>-439.41498345012053</v>
      </c>
      <c r="Q129" s="7">
        <f t="shared" ca="1" si="58"/>
        <v>-533.37529183420747</v>
      </c>
      <c r="R129" s="9">
        <f t="shared" ca="1" si="58"/>
        <v>-648.67274733093655</v>
      </c>
      <c r="S129" s="9">
        <f t="shared" ca="1" si="58"/>
        <v>-745.561716354449</v>
      </c>
      <c r="T129" s="9">
        <f t="shared" ca="1" si="58"/>
        <v>-783.66817686449053</v>
      </c>
      <c r="U129" s="9">
        <f t="shared" ca="1" si="58"/>
        <v>-767.31439480745973</v>
      </c>
      <c r="V129" s="9">
        <f t="shared" ca="1" si="58"/>
        <v>-696.55623655164163</v>
      </c>
      <c r="W129" s="9">
        <f t="shared" ca="1" si="58"/>
        <v>-567.1930577638667</v>
      </c>
      <c r="X129" s="7">
        <f t="shared" ca="1" si="58"/>
        <v>-419.75166067725439</v>
      </c>
      <c r="Y129" s="7">
        <f t="shared" ca="1" si="58"/>
        <v>-294.1878665196628</v>
      </c>
      <c r="Z129" s="7">
        <f t="shared" ca="1" si="58"/>
        <v>-184.46408068240228</v>
      </c>
      <c r="AA129" s="7">
        <f t="shared" ca="1" si="58"/>
        <v>-87.072304720885725</v>
      </c>
      <c r="AB129" s="8">
        <f t="shared" ca="1" si="58"/>
        <v>3.2500940874221961E-4</v>
      </c>
    </row>
    <row r="130" spans="4:28" x14ac:dyDescent="0.25">
      <c r="D130" s="15"/>
      <c r="E130" s="2">
        <f t="shared" si="35"/>
        <v>1.7000000000000004</v>
      </c>
      <c r="H130" s="8">
        <f t="shared" ref="H130:AB130" ca="1" si="59" xml:space="preserve"> -(D*(nu*H81+G80+nu*H79+I80+((-2*nu)-2)*H80))/delta^2</f>
        <v>5.7403299038300875E-5</v>
      </c>
      <c r="I130" s="7">
        <f t="shared" ca="1" si="59"/>
        <v>-42.123085939765168</v>
      </c>
      <c r="J130" s="7">
        <f t="shared" ca="1" si="59"/>
        <v>-85.366630215870487</v>
      </c>
      <c r="K130" s="7">
        <f t="shared" ca="1" si="59"/>
        <v>-130.91491139727452</v>
      </c>
      <c r="L130" s="7">
        <f t="shared" ca="1" si="59"/>
        <v>-180.08921404929723</v>
      </c>
      <c r="M130" s="7">
        <f t="shared" ca="1" si="59"/>
        <v>-234.43901973233622</v>
      </c>
      <c r="N130" s="7">
        <f t="shared" ca="1" si="59"/>
        <v>-295.86623026920955</v>
      </c>
      <c r="O130" s="7">
        <f t="shared" ca="1" si="59"/>
        <v>-366.80443728057782</v>
      </c>
      <c r="P130" s="7">
        <f t="shared" ca="1" si="59"/>
        <v>-450.48552902598084</v>
      </c>
      <c r="Q130" s="7">
        <f t="shared" ca="1" si="59"/>
        <v>-551.32254233163951</v>
      </c>
      <c r="R130" s="9">
        <f t="shared" ca="1" si="59"/>
        <v>-675.3367330832873</v>
      </c>
      <c r="S130" s="9">
        <f t="shared" ca="1" si="59"/>
        <v>-780.07518543573997</v>
      </c>
      <c r="T130" s="9">
        <f t="shared" ca="1" si="59"/>
        <v>-822.3161162368873</v>
      </c>
      <c r="U130" s="9">
        <f t="shared" ca="1" si="59"/>
        <v>-805.67324998466654</v>
      </c>
      <c r="V130" s="9">
        <f t="shared" ca="1" si="59"/>
        <v>-730.21209736460446</v>
      </c>
      <c r="W130" s="9">
        <f t="shared" ca="1" si="59"/>
        <v>-592.4631078695744</v>
      </c>
      <c r="X130" s="7">
        <f t="shared" ca="1" si="59"/>
        <v>-435.83376505537137</v>
      </c>
      <c r="Y130" s="7">
        <f t="shared" ca="1" si="59"/>
        <v>-303.03921775752445</v>
      </c>
      <c r="Z130" s="7">
        <f t="shared" ca="1" si="59"/>
        <v>-188.44459173715609</v>
      </c>
      <c r="AA130" s="7">
        <f t="shared" ca="1" si="59"/>
        <v>-88.216410675005022</v>
      </c>
      <c r="AB130" s="8">
        <f t="shared" ca="1" si="59"/>
        <v>3.1780457255542677E-4</v>
      </c>
    </row>
    <row r="131" spans="4:28" x14ac:dyDescent="0.25">
      <c r="D131" s="15"/>
      <c r="E131" s="2">
        <f t="shared" si="35"/>
        <v>1.6000000000000003</v>
      </c>
      <c r="H131" s="8">
        <f t="shared" ref="H131:AB131" ca="1" si="60" xml:space="preserve"> -(D*(nu*H82+G81+nu*H80+I81+((-2*nu)-2)*H81))/delta^2</f>
        <v>5.6130122186373425E-5</v>
      </c>
      <c r="I131" s="7">
        <f t="shared" ca="1" si="60"/>
        <v>-41.81045865800489</v>
      </c>
      <c r="J131" s="7">
        <f t="shared" ca="1" si="60"/>
        <v>-84.80201080304434</v>
      </c>
      <c r="K131" s="7">
        <f t="shared" ca="1" si="60"/>
        <v>-130.23015606120941</v>
      </c>
      <c r="L131" s="7">
        <f t="shared" ca="1" si="60"/>
        <v>-179.510299348795</v>
      </c>
      <c r="M131" s="7">
        <f t="shared" ca="1" si="60"/>
        <v>-234.32399432985545</v>
      </c>
      <c r="N131" s="7">
        <f t="shared" ca="1" si="60"/>
        <v>-296.75891048390201</v>
      </c>
      <c r="O131" s="7">
        <f t="shared" ca="1" si="60"/>
        <v>-369.4932842929129</v>
      </c>
      <c r="P131" s="7">
        <f t="shared" ca="1" si="60"/>
        <v>-456.02291513786651</v>
      </c>
      <c r="Q131" s="7">
        <f t="shared" ca="1" si="60"/>
        <v>-560.88378129645548</v>
      </c>
      <c r="R131" s="9">
        <f t="shared" ca="1" si="60"/>
        <v>-689.70634250775436</v>
      </c>
      <c r="S131" s="9">
        <f t="shared" ca="1" si="60"/>
        <v>-798.72721849659081</v>
      </c>
      <c r="T131" s="9">
        <f t="shared" ca="1" si="60"/>
        <v>-843.34028085766772</v>
      </c>
      <c r="U131" s="9">
        <f t="shared" ca="1" si="60"/>
        <v>-826.58909838794625</v>
      </c>
      <c r="V131" s="9">
        <f t="shared" ca="1" si="60"/>
        <v>-748.54555258255277</v>
      </c>
      <c r="W131" s="9">
        <f t="shared" ca="1" si="60"/>
        <v>-606.32509696856005</v>
      </c>
      <c r="X131" s="7">
        <f t="shared" ca="1" si="60"/>
        <v>-444.74101665292392</v>
      </c>
      <c r="Y131" s="7">
        <f t="shared" ca="1" si="60"/>
        <v>-307.8521751778905</v>
      </c>
      <c r="Z131" s="7">
        <f t="shared" ca="1" si="60"/>
        <v>-190.46499110385778</v>
      </c>
      <c r="AA131" s="7">
        <f t="shared" ca="1" si="60"/>
        <v>-88.693557593881692</v>
      </c>
      <c r="AB131" s="8">
        <f t="shared" ca="1" si="60"/>
        <v>3.0864546195272881E-4</v>
      </c>
    </row>
    <row r="132" spans="4:28" x14ac:dyDescent="0.25">
      <c r="D132" s="15"/>
      <c r="E132" s="2">
        <f t="shared" si="35"/>
        <v>1.5000000000000002</v>
      </c>
      <c r="H132" s="8">
        <f t="shared" ref="H132:AB132" ca="1" si="61" xml:space="preserve"> -(D*(nu*H83+G82+nu*H81+I82+((-2*nu)-2)*H82))/delta^2</f>
        <v>5.4511849451548944E-5</v>
      </c>
      <c r="I132" s="7">
        <f t="shared" ca="1" si="61"/>
        <v>-41.303450629543079</v>
      </c>
      <c r="J132" s="7">
        <f t="shared" ca="1" si="61"/>
        <v>-83.816707364403797</v>
      </c>
      <c r="K132" s="7">
        <f t="shared" ca="1" si="61"/>
        <v>-128.82773016663185</v>
      </c>
      <c r="L132" s="7">
        <f t="shared" ca="1" si="61"/>
        <v>-177.79239348125415</v>
      </c>
      <c r="M132" s="7">
        <f t="shared" ca="1" si="61"/>
        <v>-232.44568554184406</v>
      </c>
      <c r="N132" s="7">
        <f t="shared" ca="1" si="61"/>
        <v>-294.9460609867678</v>
      </c>
      <c r="O132" s="7">
        <f t="shared" ca="1" si="61"/>
        <v>-368.05877767081898</v>
      </c>
      <c r="P132" s="7">
        <f t="shared" ca="1" si="61"/>
        <v>-455.36376396757623</v>
      </c>
      <c r="Q132" s="7">
        <f t="shared" ca="1" si="61"/>
        <v>-561.41952486348828</v>
      </c>
      <c r="R132" s="9">
        <f t="shared" ca="1" si="61"/>
        <v>-691.70902646100581</v>
      </c>
      <c r="S132" s="9">
        <f t="shared" ca="1" si="61"/>
        <v>-802.07831186372209</v>
      </c>
      <c r="T132" s="9">
        <f t="shared" ca="1" si="61"/>
        <v>-847.5077111692558</v>
      </c>
      <c r="U132" s="9">
        <f t="shared" ca="1" si="61"/>
        <v>-830.84153770419232</v>
      </c>
      <c r="V132" s="9">
        <f t="shared" ca="1" si="61"/>
        <v>-752.15407535582426</v>
      </c>
      <c r="W132" s="9">
        <f t="shared" ca="1" si="61"/>
        <v>-608.7655402150923</v>
      </c>
      <c r="X132" s="7">
        <f t="shared" ca="1" si="61"/>
        <v>-445.91045421872633</v>
      </c>
      <c r="Y132" s="7">
        <f t="shared" ca="1" si="61"/>
        <v>-308.0497843413732</v>
      </c>
      <c r="Z132" s="7">
        <f t="shared" ca="1" si="61"/>
        <v>-190.15430361805545</v>
      </c>
      <c r="AA132" s="7">
        <f t="shared" ca="1" si="61"/>
        <v>-88.337756750241198</v>
      </c>
      <c r="AB132" s="8">
        <f t="shared" ca="1" si="61"/>
        <v>2.9758993580006121E-4</v>
      </c>
    </row>
    <row r="133" spans="4:28" x14ac:dyDescent="0.25">
      <c r="D133" s="15"/>
      <c r="E133" s="2">
        <f t="shared" si="35"/>
        <v>1.4000000000000001</v>
      </c>
      <c r="H133" s="8">
        <f t="shared" ref="H133:AB133" ca="1" si="62" xml:space="preserve"> -(D*(nu*H84+G83+nu*H82+I83+((-2*nu)-2)*H83))/delta^2</f>
        <v>5.2558671291746712E-5</v>
      </c>
      <c r="I133" s="7">
        <f t="shared" ca="1" si="62"/>
        <v>-40.60196879646351</v>
      </c>
      <c r="J133" s="7">
        <f t="shared" ca="1" si="62"/>
        <v>-82.408271900635455</v>
      </c>
      <c r="K133" s="7">
        <f t="shared" ca="1" si="62"/>
        <v>-126.69751941403588</v>
      </c>
      <c r="L133" s="7">
        <f t="shared" ca="1" si="62"/>
        <v>-174.90788234046906</v>
      </c>
      <c r="M133" s="7">
        <f t="shared" ca="1" si="62"/>
        <v>-228.74311468601212</v>
      </c>
      <c r="N133" s="7">
        <f t="shared" ca="1" si="62"/>
        <v>-290.31223939870256</v>
      </c>
      <c r="O133" s="7">
        <f t="shared" ca="1" si="62"/>
        <v>-362.31365799340875</v>
      </c>
      <c r="P133" s="7">
        <f t="shared" ca="1" si="62"/>
        <v>-448.26175051429243</v>
      </c>
      <c r="Q133" s="7">
        <f t="shared" ca="1" si="62"/>
        <v>-552.70905758711854</v>
      </c>
      <c r="R133" s="9">
        <f t="shared" ca="1" si="62"/>
        <v>-681.30013614232598</v>
      </c>
      <c r="S133" s="9">
        <f t="shared" ca="1" si="62"/>
        <v>-790.28280910340072</v>
      </c>
      <c r="T133" s="9">
        <f t="shared" ca="1" si="62"/>
        <v>-835.05887897631101</v>
      </c>
      <c r="U133" s="9">
        <f t="shared" ca="1" si="62"/>
        <v>-818.67627496139744</v>
      </c>
      <c r="V133" s="9">
        <f t="shared" ca="1" si="62"/>
        <v>-741.20747247723421</v>
      </c>
      <c r="W133" s="9">
        <f t="shared" ca="1" si="62"/>
        <v>-599.76467038110866</v>
      </c>
      <c r="X133" s="7">
        <f t="shared" ca="1" si="62"/>
        <v>-439.15408201032011</v>
      </c>
      <c r="Y133" s="7">
        <f t="shared" ca="1" si="62"/>
        <v>-303.42381590204906</v>
      </c>
      <c r="Z133" s="7">
        <f t="shared" ca="1" si="62"/>
        <v>-187.36606933377763</v>
      </c>
      <c r="AA133" s="7">
        <f t="shared" ca="1" si="62"/>
        <v>-87.07752500026443</v>
      </c>
      <c r="AB133" s="8">
        <f t="shared" ca="1" si="62"/>
        <v>2.8470700773571109E-4</v>
      </c>
    </row>
    <row r="134" spans="4:28" x14ac:dyDescent="0.25">
      <c r="D134" s="15"/>
      <c r="E134" s="2">
        <f t="shared" si="35"/>
        <v>1.3</v>
      </c>
      <c r="H134" s="8">
        <f t="shared" ref="H134:AB134" ca="1" si="63" xml:space="preserve"> -(D*(nu*H85+G84+nu*H83+I84+((-2*nu)-2)*H84))/delta^2</f>
        <v>5.0282827333054547E-5</v>
      </c>
      <c r="I134" s="7">
        <f t="shared" ca="1" si="63"/>
        <v>-39.695695520166026</v>
      </c>
      <c r="J134" s="7">
        <f t="shared" ca="1" si="63"/>
        <v>-80.558380467712169</v>
      </c>
      <c r="K134" s="7">
        <f t="shared" ca="1" si="63"/>
        <v>-123.81862382594927</v>
      </c>
      <c r="L134" s="7">
        <f t="shared" ca="1" si="63"/>
        <v>-170.84334937253132</v>
      </c>
      <c r="M134" s="7">
        <f t="shared" ca="1" si="63"/>
        <v>-223.22659590611488</v>
      </c>
      <c r="N134" s="7">
        <f t="shared" ca="1" si="63"/>
        <v>-282.91318283396919</v>
      </c>
      <c r="O134" s="7">
        <f t="shared" ca="1" si="63"/>
        <v>-352.37729260820862</v>
      </c>
      <c r="P134" s="7">
        <f t="shared" ca="1" si="63"/>
        <v>-434.88827311915423</v>
      </c>
      <c r="Q134" s="7">
        <f t="shared" ca="1" si="63"/>
        <v>-534.89260172143486</v>
      </c>
      <c r="R134" s="9">
        <f t="shared" ca="1" si="63"/>
        <v>-658.44003702200928</v>
      </c>
      <c r="S134" s="9">
        <f t="shared" ca="1" si="63"/>
        <v>-763.10034374824465</v>
      </c>
      <c r="T134" s="9">
        <f t="shared" ca="1" si="63"/>
        <v>-805.6678161218905</v>
      </c>
      <c r="U134" s="9">
        <f t="shared" ca="1" si="63"/>
        <v>-789.76503775634239</v>
      </c>
      <c r="V134" s="9">
        <f t="shared" ca="1" si="63"/>
        <v>-715.45875815002125</v>
      </c>
      <c r="W134" s="9">
        <f t="shared" ca="1" si="63"/>
        <v>-579.27288065684456</v>
      </c>
      <c r="X134" s="7">
        <f t="shared" ca="1" si="63"/>
        <v>-424.6006292910634</v>
      </c>
      <c r="Y134" s="7">
        <f t="shared" ca="1" si="63"/>
        <v>-294.13546281695818</v>
      </c>
      <c r="Z134" s="7">
        <f t="shared" ca="1" si="63"/>
        <v>-182.21383848213912</v>
      </c>
      <c r="AA134" s="7">
        <f t="shared" ca="1" si="63"/>
        <v>-84.967204499851746</v>
      </c>
      <c r="AB134" s="8">
        <f t="shared" ca="1" si="63"/>
        <v>2.700771589209437E-4</v>
      </c>
    </row>
    <row r="135" spans="4:28" x14ac:dyDescent="0.25">
      <c r="D135" s="15"/>
      <c r="E135" s="2">
        <f t="shared" si="35"/>
        <v>1.2</v>
      </c>
      <c r="H135" s="8">
        <f t="shared" ref="H135:AB135" ca="1" si="64" xml:space="preserve"> -(D*(nu*H86+G85+nu*H84+I85+((-2*nu)-2)*H85))/delta^2</f>
        <v>4.7698516779705572E-5</v>
      </c>
      <c r="I135" s="7">
        <f t="shared" ca="1" si="64"/>
        <v>-38.563359731746822</v>
      </c>
      <c r="J135" s="7">
        <f t="shared" ca="1" si="64"/>
        <v>-78.230324455377513</v>
      </c>
      <c r="K135" s="7">
        <f t="shared" ca="1" si="64"/>
        <v>-120.15276988352498</v>
      </c>
      <c r="L135" s="7">
        <f t="shared" ca="1" si="64"/>
        <v>-165.58527882149684</v>
      </c>
      <c r="M135" s="7">
        <f t="shared" ca="1" si="64"/>
        <v>-215.95177666868929</v>
      </c>
      <c r="N135" s="7">
        <f t="shared" ca="1" si="64"/>
        <v>-272.93808580968954</v>
      </c>
      <c r="O135" s="7">
        <f t="shared" ca="1" si="64"/>
        <v>-338.63929063949587</v>
      </c>
      <c r="P135" s="7">
        <f t="shared" ca="1" si="64"/>
        <v>-415.83131297198611</v>
      </c>
      <c r="Q135" s="7">
        <f t="shared" ca="1" si="64"/>
        <v>-508.52849019253631</v>
      </c>
      <c r="R135" s="9">
        <f t="shared" ca="1" si="64"/>
        <v>-623.11616714874128</v>
      </c>
      <c r="S135" s="9">
        <f t="shared" ca="1" si="64"/>
        <v>-719.88343593815591</v>
      </c>
      <c r="T135" s="9">
        <f t="shared" ca="1" si="64"/>
        <v>-758.48094453580586</v>
      </c>
      <c r="U135" s="9">
        <f t="shared" ca="1" si="64"/>
        <v>-743.24460190093532</v>
      </c>
      <c r="V135" s="9">
        <f t="shared" ca="1" si="64"/>
        <v>-674.23226113579835</v>
      </c>
      <c r="W135" s="9">
        <f t="shared" ca="1" si="64"/>
        <v>-547.23336081727939</v>
      </c>
      <c r="X135" s="7">
        <f t="shared" ca="1" si="64"/>
        <v>-402.75301283447817</v>
      </c>
      <c r="Y135" s="7">
        <f t="shared" ca="1" si="64"/>
        <v>-280.71403977387354</v>
      </c>
      <c r="Z135" s="7">
        <f t="shared" ca="1" si="64"/>
        <v>-175.03526665908535</v>
      </c>
      <c r="AA135" s="7">
        <f t="shared" ca="1" si="64"/>
        <v>-82.155435947913205</v>
      </c>
      <c r="AB135" s="8">
        <f t="shared" ca="1" si="64"/>
        <v>2.537912955379136E-4</v>
      </c>
    </row>
    <row r="136" spans="4:28" x14ac:dyDescent="0.25">
      <c r="D136" s="15"/>
      <c r="E136" s="2">
        <f t="shared" si="35"/>
        <v>1.0999999999999999</v>
      </c>
      <c r="H136" s="8">
        <f t="shared" ref="H136:AB136" ca="1" si="65" xml:space="preserve"> -(D*(nu*H87+G86+nu*H85+I86+((-2*nu)-2)*H86))/delta^2</f>
        <v>4.482182674205954E-5</v>
      </c>
      <c r="I136" s="7">
        <f t="shared" ca="1" si="65"/>
        <v>-37.171784470625973</v>
      </c>
      <c r="J136" s="7">
        <f t="shared" ca="1" si="65"/>
        <v>-75.364469378798205</v>
      </c>
      <c r="K136" s="7">
        <f t="shared" ca="1" si="65"/>
        <v>-115.63013347074718</v>
      </c>
      <c r="L136" s="7">
        <f t="shared" ca="1" si="65"/>
        <v>-159.08573352683263</v>
      </c>
      <c r="M136" s="7">
        <f t="shared" ca="1" si="65"/>
        <v>-206.95088608099104</v>
      </c>
      <c r="N136" s="7">
        <f t="shared" ca="1" si="65"/>
        <v>-260.59667874192832</v>
      </c>
      <c r="O136" s="7">
        <f t="shared" ca="1" si="65"/>
        <v>-321.62461976080573</v>
      </c>
      <c r="P136" s="7">
        <f t="shared" ca="1" si="65"/>
        <v>-392.04021044304875</v>
      </c>
      <c r="Q136" s="7">
        <f t="shared" ca="1" si="65"/>
        <v>-474.75892035370657</v>
      </c>
      <c r="R136" s="9">
        <f t="shared" ca="1" si="65"/>
        <v>-575.4005339813516</v>
      </c>
      <c r="S136" s="9">
        <f t="shared" ca="1" si="65"/>
        <v>-659.53769101933722</v>
      </c>
      <c r="T136" s="9">
        <f t="shared" ca="1" si="65"/>
        <v>-692.30455307406532</v>
      </c>
      <c r="U136" s="9">
        <f t="shared" ca="1" si="65"/>
        <v>-677.90496353606056</v>
      </c>
      <c r="V136" s="9">
        <f t="shared" ca="1" si="65"/>
        <v>-616.38570308283056</v>
      </c>
      <c r="W136" s="9">
        <f t="shared" ca="1" si="65"/>
        <v>-503.64202627464533</v>
      </c>
      <c r="X136" s="7">
        <f t="shared" ca="1" si="65"/>
        <v>-374.65608584562085</v>
      </c>
      <c r="Y136" s="7">
        <f t="shared" ca="1" si="65"/>
        <v>-264.00259204051378</v>
      </c>
      <c r="Z136" s="7">
        <f t="shared" ca="1" si="65"/>
        <v>-166.25895554646456</v>
      </c>
      <c r="AA136" s="7">
        <f t="shared" ca="1" si="65"/>
        <v>-78.787240700765238</v>
      </c>
      <c r="AB136" s="8">
        <f t="shared" ca="1" si="65"/>
        <v>2.3595059241435131E-4</v>
      </c>
    </row>
    <row r="137" spans="4:28" x14ac:dyDescent="0.25">
      <c r="D137" s="15"/>
      <c r="E137" s="2">
        <f t="shared" si="35"/>
        <v>0.99999999999999989</v>
      </c>
      <c r="H137" s="8">
        <f t="shared" ref="H137:AB137" ca="1" si="66" xml:space="preserve"> -(D*(nu*H88+G87+nu*H86+I87+((-2*nu)-2)*H87))/delta^2</f>
        <v>4.1670618212936937E-5</v>
      </c>
      <c r="I137" s="7">
        <f t="shared" ca="1" si="66"/>
        <v>-35.477777690045059</v>
      </c>
      <c r="J137" s="7">
        <f t="shared" ca="1" si="66"/>
        <v>-71.879364463512218</v>
      </c>
      <c r="K137" s="7">
        <f t="shared" ca="1" si="66"/>
        <v>-110.14295947467218</v>
      </c>
      <c r="L137" s="7">
        <f t="shared" ca="1" si="66"/>
        <v>-151.23468035338033</v>
      </c>
      <c r="M137" s="7">
        <f t="shared" ca="1" si="66"/>
        <v>-196.15816635534759</v>
      </c>
      <c r="N137" s="7">
        <f t="shared" ca="1" si="66"/>
        <v>-245.95808465173195</v>
      </c>
      <c r="O137" s="7">
        <f t="shared" ca="1" si="66"/>
        <v>-301.71404985477409</v>
      </c>
      <c r="P137" s="7">
        <f t="shared" ca="1" si="66"/>
        <v>-364.52097100077742</v>
      </c>
      <c r="Q137" s="7">
        <f t="shared" ca="1" si="66"/>
        <v>-435.45230735036836</v>
      </c>
      <c r="R137" s="9">
        <f t="shared" ca="1" si="66"/>
        <v>-515.50511321203385</v>
      </c>
      <c r="S137" s="9">
        <f t="shared" ca="1" si="66"/>
        <v>-580.53065748750942</v>
      </c>
      <c r="T137" s="9">
        <f t="shared" ca="1" si="66"/>
        <v>-606.1609724884006</v>
      </c>
      <c r="U137" s="9">
        <f t="shared" ca="1" si="66"/>
        <v>-592.74687182747073</v>
      </c>
      <c r="V137" s="9">
        <f t="shared" ca="1" si="66"/>
        <v>-540.32291007019796</v>
      </c>
      <c r="W137" s="9">
        <f t="shared" ca="1" si="66"/>
        <v>-448.60855472373061</v>
      </c>
      <c r="X137" s="7">
        <f t="shared" ca="1" si="66"/>
        <v>-342.04512602241346</v>
      </c>
      <c r="Y137" s="7">
        <f t="shared" ca="1" si="66"/>
        <v>-244.85824072893263</v>
      </c>
      <c r="Z137" s="7">
        <f t="shared" ca="1" si="66"/>
        <v>-156.12899140745975</v>
      </c>
      <c r="AA137" s="7">
        <f t="shared" ca="1" si="66"/>
        <v>-74.856571832627296</v>
      </c>
      <c r="AB137" s="8">
        <f t="shared" ca="1" si="66"/>
        <v>2.1666550264657874E-4</v>
      </c>
    </row>
    <row r="138" spans="4:28" x14ac:dyDescent="0.25">
      <c r="D138" s="15"/>
      <c r="E138" s="2">
        <f t="shared" si="35"/>
        <v>0.89999999999999991</v>
      </c>
      <c r="H138" s="8">
        <f t="shared" ref="H138:AB138" ca="1" si="67" xml:space="preserve"> -(D*(nu*H89+G88+nu*H87+I88+((-2*nu)-2)*H88))/delta^2</f>
        <v>3.8264403899405368E-5</v>
      </c>
      <c r="I138" s="7">
        <f t="shared" ca="1" si="67"/>
        <v>-33.435381230945239</v>
      </c>
      <c r="J138" s="7">
        <f t="shared" ca="1" si="67"/>
        <v>-67.685660331159951</v>
      </c>
      <c r="K138" s="7">
        <f t="shared" ca="1" si="67"/>
        <v>-103.56419237561356</v>
      </c>
      <c r="L138" s="7">
        <f t="shared" ca="1" si="67"/>
        <v>-141.87730984188858</v>
      </c>
      <c r="M138" s="7">
        <f t="shared" ca="1" si="67"/>
        <v>-183.40750382055697</v>
      </c>
      <c r="N138" s="7">
        <f t="shared" ca="1" si="67"/>
        <v>-228.87413206962486</v>
      </c>
      <c r="O138" s="7">
        <f t="shared" ca="1" si="67"/>
        <v>-278.8454235937553</v>
      </c>
      <c r="P138" s="7">
        <f t="shared" ca="1" si="67"/>
        <v>-333.5286103420039</v>
      </c>
      <c r="Q138" s="7">
        <f t="shared" ca="1" si="67"/>
        <v>-392.19187524734309</v>
      </c>
      <c r="R138" s="7">
        <f t="shared" ca="1" si="67"/>
        <v>-451.25785906544127</v>
      </c>
      <c r="S138" s="7">
        <f t="shared" ca="1" si="67"/>
        <v>-496.9089881502511</v>
      </c>
      <c r="T138" s="7">
        <f t="shared" ca="1" si="67"/>
        <v>-515.32031082655533</v>
      </c>
      <c r="U138" s="7">
        <f t="shared" ca="1" si="67"/>
        <v>-503.01562439450765</v>
      </c>
      <c r="V138" s="7">
        <f t="shared" ca="1" si="67"/>
        <v>-460.01703913428412</v>
      </c>
      <c r="W138" s="7">
        <f t="shared" ca="1" si="67"/>
        <v>-389.84204326746448</v>
      </c>
      <c r="X138" s="7">
        <f t="shared" ca="1" si="67"/>
        <v>-306.34665134275286</v>
      </c>
      <c r="Y138" s="7">
        <f t="shared" ca="1" si="67"/>
        <v>-223.35720359271377</v>
      </c>
      <c r="Z138" s="7">
        <f t="shared" ca="1" si="67"/>
        <v>-144.4153459797576</v>
      </c>
      <c r="AA138" s="7">
        <f t="shared" ca="1" si="67"/>
        <v>-70.13022947348415</v>
      </c>
      <c r="AB138" s="8">
        <f t="shared" ca="1" si="67"/>
        <v>1.9605534059867374E-4</v>
      </c>
    </row>
    <row r="139" spans="4:28" x14ac:dyDescent="0.25">
      <c r="D139" s="15"/>
      <c r="E139" s="2">
        <f t="shared" si="35"/>
        <v>0.79999999999999993</v>
      </c>
      <c r="H139" s="8">
        <f t="shared" ref="H139:AB139" ca="1" si="68" xml:space="preserve"> -(D*(nu*H90+G89+nu*H88+I89+((-2*nu)-2)*H89))/delta^2</f>
        <v>3.4624234199113627E-5</v>
      </c>
      <c r="I139" s="7">
        <f t="shared" ca="1" si="68"/>
        <v>-31.00755059396295</v>
      </c>
      <c r="J139" s="7">
        <f t="shared" ca="1" si="68"/>
        <v>-62.711695558454181</v>
      </c>
      <c r="K139" s="7">
        <f t="shared" ca="1" si="68"/>
        <v>-95.792710389285361</v>
      </c>
      <c r="L139" s="7">
        <f t="shared" ca="1" si="68"/>
        <v>-130.89158043417507</v>
      </c>
      <c r="M139" s="7">
        <f t="shared" ca="1" si="68"/>
        <v>-168.56940991450105</v>
      </c>
      <c r="N139" s="7">
        <f t="shared" ca="1" si="68"/>
        <v>-209.23191049196365</v>
      </c>
      <c r="O139" s="7">
        <f t="shared" ca="1" si="68"/>
        <v>-252.98275748903401</v>
      </c>
      <c r="P139" s="7">
        <f t="shared" ca="1" si="68"/>
        <v>-299.32580442590591</v>
      </c>
      <c r="Q139" s="7">
        <f t="shared" ca="1" si="68"/>
        <v>-346.54125494838024</v>
      </c>
      <c r="R139" s="7">
        <f t="shared" ca="1" si="68"/>
        <v>-390.4355268870172</v>
      </c>
      <c r="S139" s="7">
        <f t="shared" ca="1" si="68"/>
        <v>-422.63982823604709</v>
      </c>
      <c r="T139" s="7">
        <f t="shared" ca="1" si="68"/>
        <v>-434.95618204318015</v>
      </c>
      <c r="U139" s="7">
        <f t="shared" ca="1" si="68"/>
        <v>-423.85928947176382</v>
      </c>
      <c r="V139" s="7">
        <f t="shared" ca="1" si="68"/>
        <v>-389.35946327654966</v>
      </c>
      <c r="W139" s="7">
        <f t="shared" ca="1" si="68"/>
        <v>-334.99630856357027</v>
      </c>
      <c r="X139" s="7">
        <f t="shared" ca="1" si="68"/>
        <v>-268.96108757714177</v>
      </c>
      <c r="Y139" s="7">
        <f t="shared" ca="1" si="68"/>
        <v>-199.5732395690998</v>
      </c>
      <c r="Z139" s="7">
        <f t="shared" ca="1" si="68"/>
        <v>-130.89837265958079</v>
      </c>
      <c r="AA139" s="7">
        <f t="shared" ca="1" si="68"/>
        <v>-64.385812042134987</v>
      </c>
      <c r="AB139" s="8">
        <f t="shared" ca="1" si="68"/>
        <v>1.7424697877485893E-4</v>
      </c>
    </row>
    <row r="140" spans="4:28" x14ac:dyDescent="0.25">
      <c r="D140" s="15"/>
      <c r="E140" s="2">
        <f t="shared" si="35"/>
        <v>0.7</v>
      </c>
      <c r="H140" s="8">
        <f t="shared" ref="H140:AB140" ca="1" si="69" xml:space="preserve"> -(D*(nu*H91+G90+nu*H89+I90+((-2*nu)-2)*H90))/delta^2</f>
        <v>3.0772567701985291E-5</v>
      </c>
      <c r="I140" s="7">
        <f t="shared" ca="1" si="69"/>
        <v>-28.177260123289784</v>
      </c>
      <c r="J140" s="7">
        <f t="shared" ca="1" si="69"/>
        <v>-56.928121548823299</v>
      </c>
      <c r="K140" s="7">
        <f t="shared" ca="1" si="69"/>
        <v>-86.797607756420106</v>
      </c>
      <c r="L140" s="7">
        <f t="shared" ca="1" si="69"/>
        <v>-118.26543474368161</v>
      </c>
      <c r="M140" s="7">
        <f t="shared" ca="1" si="69"/>
        <v>-151.68904791945266</v>
      </c>
      <c r="N140" s="7">
        <f t="shared" ca="1" si="69"/>
        <v>-187.20936470558723</v>
      </c>
      <c r="O140" s="7">
        <f t="shared" ca="1" si="69"/>
        <v>-224.59037710805941</v>
      </c>
      <c r="P140" s="7">
        <f t="shared" ca="1" si="69"/>
        <v>-262.94743661443368</v>
      </c>
      <c r="Q140" s="7">
        <f t="shared" ca="1" si="69"/>
        <v>-300.31457516114239</v>
      </c>
      <c r="R140" s="7">
        <f t="shared" ca="1" si="69"/>
        <v>-333.09728469623099</v>
      </c>
      <c r="S140" s="7">
        <f t="shared" ca="1" si="69"/>
        <v>-355.94869105043733</v>
      </c>
      <c r="T140" s="7">
        <f t="shared" ca="1" si="69"/>
        <v>-363.79516387622152</v>
      </c>
      <c r="U140" s="7">
        <f t="shared" ca="1" si="69"/>
        <v>-353.98054091950524</v>
      </c>
      <c r="V140" s="7">
        <f t="shared" ca="1" si="69"/>
        <v>-326.50482100770819</v>
      </c>
      <c r="W140" s="7">
        <f t="shared" ca="1" si="69"/>
        <v>-284.01552759850591</v>
      </c>
      <c r="X140" s="7">
        <f t="shared" ca="1" si="69"/>
        <v>-231.54949097119038</v>
      </c>
      <c r="Y140" s="7">
        <f t="shared" ca="1" si="69"/>
        <v>-174.36172296829139</v>
      </c>
      <c r="Z140" s="7">
        <f t="shared" ca="1" si="69"/>
        <v>-115.85831439300975</v>
      </c>
      <c r="AA140" s="7">
        <f t="shared" ca="1" si="69"/>
        <v>-57.652669179119584</v>
      </c>
      <c r="AB140" s="8">
        <f t="shared" ca="1" si="69"/>
        <v>1.5137484781950163E-4</v>
      </c>
    </row>
    <row r="141" spans="4:28" x14ac:dyDescent="0.25">
      <c r="D141" s="15"/>
      <c r="E141" s="2">
        <f t="shared" si="35"/>
        <v>0.6</v>
      </c>
      <c r="H141" s="8">
        <f t="shared" ref="H141:AB141" ca="1" si="70" xml:space="preserve"> -(D*(nu*H92+G91+nu*H90+I91+((-2*nu)-2)*H91))/delta^2</f>
        <v>2.6733118072724462E-5</v>
      </c>
      <c r="I141" s="7">
        <f t="shared" ca="1" si="70"/>
        <v>-24.952903012619711</v>
      </c>
      <c r="J141" s="7">
        <f t="shared" ca="1" si="70"/>
        <v>-50.358635240031859</v>
      </c>
      <c r="K141" s="7">
        <f t="shared" ca="1" si="70"/>
        <v>-76.633423890439602</v>
      </c>
      <c r="L141" s="7">
        <f t="shared" ca="1" si="70"/>
        <v>-104.11231478979303</v>
      </c>
      <c r="M141" s="7">
        <f t="shared" ca="1" si="70"/>
        <v>-132.98601958511969</v>
      </c>
      <c r="N141" s="7">
        <f t="shared" ca="1" si="70"/>
        <v>-163.20692179170538</v>
      </c>
      <c r="O141" s="7">
        <f t="shared" ca="1" si="70"/>
        <v>-194.34916479917942</v>
      </c>
      <c r="P141" s="7">
        <f t="shared" ca="1" si="70"/>
        <v>-225.41146717789968</v>
      </c>
      <c r="Q141" s="7">
        <f t="shared" ca="1" si="70"/>
        <v>-254.57987092414797</v>
      </c>
      <c r="R141" s="7">
        <f t="shared" ca="1" si="70"/>
        <v>-279.06390921823476</v>
      </c>
      <c r="S141" s="7">
        <f t="shared" ca="1" si="70"/>
        <v>-295.32609162556906</v>
      </c>
      <c r="T141" s="7">
        <f t="shared" ca="1" si="70"/>
        <v>-300.12943693020162</v>
      </c>
      <c r="U141" s="7">
        <f t="shared" ca="1" si="70"/>
        <v>-291.65100780140159</v>
      </c>
      <c r="V141" s="7">
        <f t="shared" ca="1" si="70"/>
        <v>-269.88273887536673</v>
      </c>
      <c r="W141" s="7">
        <f t="shared" ca="1" si="70"/>
        <v>-236.62170568862001</v>
      </c>
      <c r="X141" s="7">
        <f t="shared" ca="1" si="70"/>
        <v>-195.04780826630196</v>
      </c>
      <c r="Y141" s="7">
        <f t="shared" ca="1" si="70"/>
        <v>-148.58233086387585</v>
      </c>
      <c r="Z141" s="7">
        <f t="shared" ca="1" si="70"/>
        <v>-99.800684010825023</v>
      </c>
      <c r="AA141" s="7">
        <f t="shared" ca="1" si="70"/>
        <v>-50.144440439807468</v>
      </c>
      <c r="AB141" s="8">
        <f t="shared" ca="1" si="70"/>
        <v>1.2757952913929383E-4</v>
      </c>
    </row>
    <row r="142" spans="4:28" x14ac:dyDescent="0.25">
      <c r="D142" s="15"/>
      <c r="E142" s="2">
        <f t="shared" si="35"/>
        <v>0.5</v>
      </c>
      <c r="H142" s="8">
        <f t="shared" ref="H142:AB142" ca="1" si="71" xml:space="preserve"> -(D*(nu*H93+G92+nu*H91+I92+((-2*nu)-2)*H92))/delta^2</f>
        <v>2.2530700933321424E-5</v>
      </c>
      <c r="I142" s="7">
        <f t="shared" ca="1" si="71"/>
        <v>-21.366760212597818</v>
      </c>
      <c r="J142" s="7">
        <f t="shared" ca="1" si="71"/>
        <v>-43.074915496049115</v>
      </c>
      <c r="K142" s="7">
        <f t="shared" ca="1" si="71"/>
        <v>-65.426413085702976</v>
      </c>
      <c r="L142" s="7">
        <f t="shared" ca="1" si="71"/>
        <v>-88.637783807594673</v>
      </c>
      <c r="M142" s="7">
        <f t="shared" ca="1" si="71"/>
        <v>-112.77992375164317</v>
      </c>
      <c r="N142" s="7">
        <f t="shared" ca="1" si="71"/>
        <v>-137.69705082322588</v>
      </c>
      <c r="O142" s="7">
        <f t="shared" ca="1" si="71"/>
        <v>-162.90098500518872</v>
      </c>
      <c r="P142" s="7">
        <f t="shared" ca="1" si="71"/>
        <v>-187.44769479591008</v>
      </c>
      <c r="Q142" s="7">
        <f t="shared" ca="1" si="71"/>
        <v>-209.83090713227091</v>
      </c>
      <c r="R142" s="7">
        <f t="shared" ca="1" si="71"/>
        <v>-227.98136499782836</v>
      </c>
      <c r="S142" s="7">
        <f t="shared" ca="1" si="71"/>
        <v>-239.51890335033653</v>
      </c>
      <c r="T142" s="7">
        <f t="shared" ca="1" si="71"/>
        <v>-242.34067054919248</v>
      </c>
      <c r="U142" s="7">
        <f t="shared" ca="1" si="71"/>
        <v>-235.23594515774079</v>
      </c>
      <c r="V142" s="7">
        <f t="shared" ca="1" si="71"/>
        <v>-218.19142024733139</v>
      </c>
      <c r="W142" s="7">
        <f t="shared" ca="1" si="71"/>
        <v>-192.38154755829331</v>
      </c>
      <c r="X142" s="7">
        <f t="shared" ca="1" si="71"/>
        <v>-159.84238959968056</v>
      </c>
      <c r="Y142" s="7">
        <f t="shared" ca="1" si="71"/>
        <v>-122.83123682035031</v>
      </c>
      <c r="Z142" s="7">
        <f t="shared" ca="1" si="71"/>
        <v>-83.204968184445704</v>
      </c>
      <c r="AA142" s="7">
        <f t="shared" ca="1" si="71"/>
        <v>-42.124170864013692</v>
      </c>
      <c r="AB142" s="8">
        <f t="shared" ca="1" si="71"/>
        <v>1.0300705121434212E-4</v>
      </c>
    </row>
    <row r="143" spans="4:28" x14ac:dyDescent="0.25">
      <c r="D143" s="15"/>
      <c r="E143" s="2">
        <f t="shared" si="35"/>
        <v>0.4</v>
      </c>
      <c r="H143" s="8">
        <f t="shared" ref="H143:AB143" ca="1" si="72" xml:space="preserve"> -(D*(nu*H94+G93+nu*H92+I93+((-2*nu)-2)*H93))/delta^2</f>
        <v>1.8191088890105897E-5</v>
      </c>
      <c r="I143" s="7">
        <f t="shared" ca="1" si="72"/>
        <v>-17.468823264082548</v>
      </c>
      <c r="J143" s="7">
        <f t="shared" ca="1" si="72"/>
        <v>-35.18213832315238</v>
      </c>
      <c r="K143" s="7">
        <f t="shared" ca="1" si="72"/>
        <v>-53.347141616594804</v>
      </c>
      <c r="L143" s="7">
        <f t="shared" ca="1" si="72"/>
        <v>-72.091873724987934</v>
      </c>
      <c r="M143" s="7">
        <f t="shared" ca="1" si="72"/>
        <v>-91.414002586363068</v>
      </c>
      <c r="N143" s="7">
        <f t="shared" ca="1" si="72"/>
        <v>-111.11799778361417</v>
      </c>
      <c r="O143" s="7">
        <f t="shared" ca="1" si="72"/>
        <v>-130.7429645397909</v>
      </c>
      <c r="P143" s="7">
        <f t="shared" ca="1" si="72"/>
        <v>-149.49366249565168</v>
      </c>
      <c r="Q143" s="7">
        <f t="shared" ca="1" si="72"/>
        <v>-166.20537029674296</v>
      </c>
      <c r="R143" s="7">
        <f t="shared" ca="1" si="72"/>
        <v>-179.39612178525894</v>
      </c>
      <c r="S143" s="7">
        <f t="shared" ca="1" si="72"/>
        <v>-187.46600914992794</v>
      </c>
      <c r="T143" s="7">
        <f t="shared" ca="1" si="72"/>
        <v>-189.04373363365789</v>
      </c>
      <c r="U143" s="7">
        <f t="shared" ca="1" si="72"/>
        <v>-183.33789362544854</v>
      </c>
      <c r="V143" s="7">
        <f t="shared" ca="1" si="72"/>
        <v>-170.33302267478763</v>
      </c>
      <c r="W143" s="7">
        <f t="shared" ca="1" si="72"/>
        <v>-150.78096754150877</v>
      </c>
      <c r="X143" s="7">
        <f t="shared" ca="1" si="72"/>
        <v>-125.98658601050872</v>
      </c>
      <c r="Y143" s="7">
        <f t="shared" ca="1" si="72"/>
        <v>-97.435283123068345</v>
      </c>
      <c r="Z143" s="7">
        <f t="shared" ca="1" si="72"/>
        <v>-66.421095160937767</v>
      </c>
      <c r="AA143" s="7">
        <f t="shared" ca="1" si="72"/>
        <v>-33.81820111042812</v>
      </c>
      <c r="AB143" s="8">
        <f t="shared" ca="1" si="72"/>
        <v>7.7807716783317781E-5</v>
      </c>
    </row>
    <row r="144" spans="4:28" x14ac:dyDescent="0.25">
      <c r="D144" s="15"/>
      <c r="E144" s="2">
        <f t="shared" si="35"/>
        <v>0.30000000000000004</v>
      </c>
      <c r="H144" s="8">
        <f t="shared" ref="H144:AB144" ca="1" si="73" xml:space="preserve"> -(D*(nu*H95+G94+nu*H93+I94+((-2*nu)-2)*H94))/delta^2</f>
        <v>1.3740836833201684E-5</v>
      </c>
      <c r="I144" s="7">
        <f t="shared" ca="1" si="73"/>
        <v>-13.319288165721307</v>
      </c>
      <c r="J144" s="7">
        <f t="shared" ca="1" si="73"/>
        <v>-26.802796494072627</v>
      </c>
      <c r="K144" s="7">
        <f t="shared" ca="1" si="73"/>
        <v>-40.583638072719516</v>
      </c>
      <c r="L144" s="7">
        <f t="shared" ca="1" si="73"/>
        <v>-54.72994672967242</v>
      </c>
      <c r="M144" s="7">
        <f t="shared" ca="1" si="73"/>
        <v>-69.205713038913856</v>
      </c>
      <c r="N144" s="7">
        <f t="shared" ca="1" si="73"/>
        <v>-83.826459129286476</v>
      </c>
      <c r="O144" s="7">
        <f t="shared" ca="1" si="73"/>
        <v>-98.213987833777935</v>
      </c>
      <c r="P144" s="7">
        <f t="shared" ca="1" si="73"/>
        <v>-111.76167935729036</v>
      </c>
      <c r="Q144" s="7">
        <f t="shared" ca="1" si="73"/>
        <v>-123.63147461732724</v>
      </c>
      <c r="R144" s="7">
        <f t="shared" ca="1" si="73"/>
        <v>-132.81109169989756</v>
      </c>
      <c r="S144" s="7">
        <f t="shared" ca="1" si="73"/>
        <v>-138.25307080110093</v>
      </c>
      <c r="T144" s="7">
        <f t="shared" ca="1" si="73"/>
        <v>-139.08078180934433</v>
      </c>
      <c r="U144" s="7">
        <f t="shared" ca="1" si="73"/>
        <v>-134.79017250630665</v>
      </c>
      <c r="V144" s="7">
        <f t="shared" ca="1" si="73"/>
        <v>-125.36659300064044</v>
      </c>
      <c r="W144" s="7">
        <f t="shared" ca="1" si="73"/>
        <v>-111.27788705160344</v>
      </c>
      <c r="X144" s="7">
        <f t="shared" ca="1" si="73"/>
        <v>-93.343178989820586</v>
      </c>
      <c r="Y144" s="7">
        <f t="shared" ca="1" si="73"/>
        <v>-72.515246029255024</v>
      </c>
      <c r="Z144" s="7">
        <f t="shared" ca="1" si="73"/>
        <v>-49.657016886035848</v>
      </c>
      <c r="AA144" s="7">
        <f t="shared" ca="1" si="73"/>
        <v>-25.385058690675137</v>
      </c>
      <c r="AB144" s="8">
        <f t="shared" ca="1" si="73"/>
        <v>5.2135555529859989E-5</v>
      </c>
    </row>
    <row r="145" spans="4:28" x14ac:dyDescent="0.25">
      <c r="D145" s="15"/>
      <c r="E145" s="2">
        <f t="shared" si="35"/>
        <v>0.2</v>
      </c>
      <c r="H145" s="8">
        <f t="shared" ref="H145:AB145" ca="1" si="74" xml:space="preserve"> -(D*(nu*H96+G95+nu*H94+I95+((-2*nu)-2)*H95))/delta^2</f>
        <v>9.2071166022109936E-6</v>
      </c>
      <c r="I145" s="7">
        <f t="shared" ca="1" si="74"/>
        <v>-8.9822363371072811</v>
      </c>
      <c r="J145" s="7">
        <f t="shared" ca="1" si="74"/>
        <v>-18.063956988645188</v>
      </c>
      <c r="K145" s="7">
        <f t="shared" ca="1" si="74"/>
        <v>-27.322536269392472</v>
      </c>
      <c r="L145" s="7">
        <f t="shared" ca="1" si="74"/>
        <v>-36.789693818129059</v>
      </c>
      <c r="M145" s="7">
        <f t="shared" ca="1" si="74"/>
        <v>-46.425404625311153</v>
      </c>
      <c r="N145" s="7">
        <f t="shared" ca="1" si="74"/>
        <v>-56.090179905483687</v>
      </c>
      <c r="O145" s="7">
        <f t="shared" ca="1" si="74"/>
        <v>-65.519464074027482</v>
      </c>
      <c r="P145" s="7">
        <f t="shared" ca="1" si="74"/>
        <v>-74.308121564663338</v>
      </c>
      <c r="Q145" s="7">
        <f t="shared" ca="1" si="74"/>
        <v>-81.917411218317156</v>
      </c>
      <c r="R145" s="7">
        <f t="shared" ca="1" si="74"/>
        <v>-87.718231352430507</v>
      </c>
      <c r="S145" s="7">
        <f t="shared" ca="1" si="74"/>
        <v>-91.077274880634832</v>
      </c>
      <c r="T145" s="7">
        <f t="shared" ca="1" si="74"/>
        <v>-91.473398385352141</v>
      </c>
      <c r="U145" s="7">
        <f t="shared" ca="1" si="74"/>
        <v>-88.608198726395869</v>
      </c>
      <c r="V145" s="7">
        <f t="shared" ca="1" si="74"/>
        <v>-82.470374202440638</v>
      </c>
      <c r="W145" s="7">
        <f t="shared" ca="1" si="74"/>
        <v>-73.330945300360398</v>
      </c>
      <c r="X145" s="7">
        <f t="shared" ca="1" si="74"/>
        <v>-61.66906928113869</v>
      </c>
      <c r="Y145" s="7">
        <f t="shared" ca="1" si="74"/>
        <v>-48.051040131704305</v>
      </c>
      <c r="Z145" s="7">
        <f t="shared" ca="1" si="74"/>
        <v>-33.003232434143122</v>
      </c>
      <c r="AA145" s="7">
        <f t="shared" ca="1" si="74"/>
        <v>-16.916680866263746</v>
      </c>
      <c r="AB145" s="8">
        <f t="shared" ca="1" si="74"/>
        <v>2.6147007923688553E-5</v>
      </c>
    </row>
    <row r="146" spans="4:28" x14ac:dyDescent="0.25">
      <c r="D146" s="15"/>
      <c r="E146" s="2">
        <f t="shared" si="35"/>
        <v>0.1</v>
      </c>
      <c r="H146" s="8">
        <f t="shared" ref="H146:AB146" ca="1" si="75" xml:space="preserve"> -(D*(nu*H97+G96+nu*H95+I96+((-2*nu)-2)*H96))/delta^2</f>
        <v>4.6175441181922761E-6</v>
      </c>
      <c r="I146" s="7">
        <f t="shared" ca="1" si="75"/>
        <v>-4.5216739421505734</v>
      </c>
      <c r="J146" s="7">
        <f t="shared" ca="1" si="75"/>
        <v>-9.0899178204919693</v>
      </c>
      <c r="K146" s="7">
        <f t="shared" ca="1" si="75"/>
        <v>-13.739865746411972</v>
      </c>
      <c r="L146" s="7">
        <f t="shared" ca="1" si="75"/>
        <v>-18.483202931783165</v>
      </c>
      <c r="M146" s="7">
        <f t="shared" ca="1" si="75"/>
        <v>-23.295201199615551</v>
      </c>
      <c r="N146" s="7">
        <f t="shared" ca="1" si="75"/>
        <v>-28.101494542050403</v>
      </c>
      <c r="O146" s="7">
        <f t="shared" ca="1" si="75"/>
        <v>-32.766680865115525</v>
      </c>
      <c r="P146" s="7">
        <f t="shared" ca="1" si="75"/>
        <v>-37.088715712791902</v>
      </c>
      <c r="Q146" s="7">
        <f t="shared" ca="1" si="75"/>
        <v>-40.804684528119594</v>
      </c>
      <c r="R146" s="7">
        <f t="shared" ca="1" si="75"/>
        <v>-43.61339352837458</v>
      </c>
      <c r="S146" s="7">
        <f t="shared" ca="1" si="75"/>
        <v>-45.216319787186087</v>
      </c>
      <c r="T146" s="7">
        <f t="shared" ca="1" si="75"/>
        <v>-45.370254712799856</v>
      </c>
      <c r="U146" s="7">
        <f t="shared" ca="1" si="75"/>
        <v>-43.936322783046343</v>
      </c>
      <c r="V146" s="7">
        <f t="shared" ca="1" si="75"/>
        <v>-40.908396665014322</v>
      </c>
      <c r="W146" s="7">
        <f t="shared" ca="1" si="75"/>
        <v>-36.410664150026328</v>
      </c>
      <c r="X146" s="7">
        <f t="shared" ca="1" si="75"/>
        <v>-30.664252903916257</v>
      </c>
      <c r="Y146" s="7">
        <f t="shared" ca="1" si="75"/>
        <v>-23.933082104513758</v>
      </c>
      <c r="Z146" s="7">
        <f t="shared" ca="1" si="75"/>
        <v>-16.466214010254543</v>
      </c>
      <c r="AA146" s="7">
        <f t="shared" ca="1" si="75"/>
        <v>-8.4530268563057813</v>
      </c>
      <c r="AB146" s="8">
        <f t="shared" ca="1" si="75"/>
        <v>0</v>
      </c>
    </row>
    <row r="147" spans="4:28" x14ac:dyDescent="0.25">
      <c r="D147" s="15"/>
      <c r="E147" s="2">
        <v>0</v>
      </c>
      <c r="H147" s="8">
        <f t="shared" ref="H147:AB147" si="76" xml:space="preserve"> -(D*(nu*H98+G97+nu*H96+I97+((-2*nu)-2)*H97))/delta^2</f>
        <v>0</v>
      </c>
      <c r="I147" s="8">
        <f t="shared" ca="1" si="76"/>
        <v>0</v>
      </c>
      <c r="J147" s="8">
        <f t="shared" ca="1" si="76"/>
        <v>0</v>
      </c>
      <c r="K147" s="8">
        <f t="shared" ca="1" si="76"/>
        <v>0</v>
      </c>
      <c r="L147" s="8">
        <f t="shared" ca="1" si="76"/>
        <v>0</v>
      </c>
      <c r="M147" s="8">
        <f t="shared" ca="1" si="76"/>
        <v>0</v>
      </c>
      <c r="N147" s="8">
        <f t="shared" ca="1" si="76"/>
        <v>0</v>
      </c>
      <c r="O147" s="8">
        <f t="shared" ca="1" si="76"/>
        <v>0</v>
      </c>
      <c r="P147" s="8">
        <f t="shared" ca="1" si="76"/>
        <v>0</v>
      </c>
      <c r="Q147" s="8">
        <f t="shared" ca="1" si="76"/>
        <v>0</v>
      </c>
      <c r="R147" s="8">
        <f t="shared" ca="1" si="76"/>
        <v>0</v>
      </c>
      <c r="S147" s="8">
        <f t="shared" ca="1" si="76"/>
        <v>0</v>
      </c>
      <c r="T147" s="8">
        <f t="shared" ca="1" si="76"/>
        <v>0</v>
      </c>
      <c r="U147" s="8">
        <f t="shared" ca="1" si="76"/>
        <v>0</v>
      </c>
      <c r="V147" s="8">
        <f t="shared" ca="1" si="76"/>
        <v>0</v>
      </c>
      <c r="W147" s="8">
        <f t="shared" ca="1" si="76"/>
        <v>0</v>
      </c>
      <c r="X147" s="8">
        <f t="shared" ca="1" si="76"/>
        <v>0</v>
      </c>
      <c r="Y147" s="8">
        <f t="shared" ca="1" si="76"/>
        <v>0</v>
      </c>
      <c r="Z147" s="8">
        <f t="shared" ca="1" si="76"/>
        <v>0</v>
      </c>
      <c r="AA147" s="8">
        <f t="shared" ca="1" si="76"/>
        <v>0</v>
      </c>
      <c r="AB147" s="8">
        <f t="shared" ca="1" si="76"/>
        <v>0</v>
      </c>
    </row>
    <row r="152" spans="4:28" ht="18.75" x14ac:dyDescent="0.3">
      <c r="E152" s="1" t="s">
        <v>19</v>
      </c>
    </row>
    <row r="153" spans="4:28" x14ac:dyDescent="0.25">
      <c r="H153" s="16" t="s">
        <v>17</v>
      </c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</row>
    <row r="154" spans="4:28" x14ac:dyDescent="0.25">
      <c r="H154" s="2">
        <v>0</v>
      </c>
      <c r="I154" s="2">
        <f t="shared" ref="I154:AB154" si="77">+H154+delta</f>
        <v>0.1</v>
      </c>
      <c r="J154" s="2">
        <f t="shared" si="77"/>
        <v>0.2</v>
      </c>
      <c r="K154" s="2">
        <f t="shared" si="77"/>
        <v>0.30000000000000004</v>
      </c>
      <c r="L154" s="2">
        <f t="shared" si="77"/>
        <v>0.4</v>
      </c>
      <c r="M154" s="2">
        <f t="shared" si="77"/>
        <v>0.5</v>
      </c>
      <c r="N154" s="2">
        <f t="shared" si="77"/>
        <v>0.6</v>
      </c>
      <c r="O154" s="2">
        <f t="shared" si="77"/>
        <v>0.7</v>
      </c>
      <c r="P154" s="2">
        <f t="shared" si="77"/>
        <v>0.79999999999999993</v>
      </c>
      <c r="Q154" s="2">
        <f t="shared" si="77"/>
        <v>0.89999999999999991</v>
      </c>
      <c r="R154" s="2">
        <f t="shared" si="77"/>
        <v>0.99999999999999989</v>
      </c>
      <c r="S154" s="2">
        <f t="shared" si="77"/>
        <v>1.0999999999999999</v>
      </c>
      <c r="T154" s="2">
        <f t="shared" si="77"/>
        <v>1.2</v>
      </c>
      <c r="U154" s="2">
        <f t="shared" si="77"/>
        <v>1.3</v>
      </c>
      <c r="V154" s="2">
        <f t="shared" si="77"/>
        <v>1.4000000000000001</v>
      </c>
      <c r="W154" s="2">
        <f t="shared" si="77"/>
        <v>1.5000000000000002</v>
      </c>
      <c r="X154" s="2">
        <f t="shared" si="77"/>
        <v>1.6000000000000003</v>
      </c>
      <c r="Y154" s="2">
        <f t="shared" si="77"/>
        <v>1.7000000000000004</v>
      </c>
      <c r="Z154" s="2">
        <f t="shared" si="77"/>
        <v>1.8000000000000005</v>
      </c>
      <c r="AA154" s="2">
        <f t="shared" si="77"/>
        <v>1.9000000000000006</v>
      </c>
      <c r="AB154" s="2">
        <f t="shared" si="77"/>
        <v>2.0000000000000004</v>
      </c>
    </row>
    <row r="157" spans="4:28" x14ac:dyDescent="0.25">
      <c r="D157" s="15" t="s">
        <v>16</v>
      </c>
      <c r="E157" s="2">
        <f t="shared" ref="E157:E196" si="78">E158+delta</f>
        <v>4.0000000000000018</v>
      </c>
      <c r="H157" s="8">
        <f t="shared" ref="H157:AB157" si="79" xml:space="preserve"> -(D*(H58+nu*G57+H56+nu*I57+((-2*nu)-2)*H57))/delta^2</f>
        <v>0</v>
      </c>
      <c r="I157" s="8">
        <f t="shared" ca="1" si="79"/>
        <v>4.6537647537581705E-6</v>
      </c>
      <c r="J157" s="8">
        <f t="shared" ca="1" si="79"/>
        <v>9.2985424065004972E-6</v>
      </c>
      <c r="K157" s="8">
        <f t="shared" ca="1" si="79"/>
        <v>1.3925826792745131E-5</v>
      </c>
      <c r="L157" s="8">
        <f t="shared" ca="1" si="79"/>
        <v>1.8527716072439897E-5</v>
      </c>
      <c r="M157" s="8">
        <f t="shared" ca="1" si="79"/>
        <v>2.3097091911008829E-5</v>
      </c>
      <c r="N157" s="8">
        <f t="shared" ca="1" si="79"/>
        <v>2.7627793365442791E-5</v>
      </c>
      <c r="O157" s="8">
        <f t="shared" ca="1" si="79"/>
        <v>3.2114827420854141E-5</v>
      </c>
      <c r="P157" s="8">
        <f t="shared" ca="1" si="79"/>
        <v>3.6554550613887556E-5</v>
      </c>
      <c r="Q157" s="8">
        <f t="shared" ca="1" si="79"/>
        <v>4.0944912147464975E-5</v>
      </c>
      <c r="R157" s="8">
        <f t="shared" ca="1" si="79"/>
        <v>4.5285670942978325E-5</v>
      </c>
      <c r="S157" s="8">
        <f t="shared" ca="1" si="79"/>
        <v>4.9578664410359343E-5</v>
      </c>
      <c r="T157" s="8">
        <f t="shared" ca="1" si="79"/>
        <v>5.382809024942548E-5</v>
      </c>
      <c r="U157" s="8">
        <f t="shared" ca="1" si="79"/>
        <v>5.8040795581318632E-5</v>
      </c>
      <c r="V157" s="8">
        <f t="shared" ca="1" si="79"/>
        <v>6.2226633679688675E-5</v>
      </c>
      <c r="W157" s="8">
        <f t="shared" ca="1" si="79"/>
        <v>6.6398849207793573E-5</v>
      </c>
      <c r="X157" s="8">
        <f t="shared" ca="1" si="79"/>
        <v>7.0574467527873097E-5</v>
      </c>
      <c r="Y157" s="8">
        <f t="shared" ca="1" si="79"/>
        <v>7.4774802920917293E-5</v>
      </c>
      <c r="Z157" s="8">
        <f t="shared" ca="1" si="79"/>
        <v>7.9025991240077537E-5</v>
      </c>
      <c r="AA157" s="8">
        <f t="shared" ca="1" si="79"/>
        <v>8.3359576318091448E-5</v>
      </c>
      <c r="AB157" s="8">
        <f t="shared" ca="1" si="79"/>
        <v>8.7813283699302123E-5</v>
      </c>
    </row>
    <row r="158" spans="4:28" x14ac:dyDescent="0.25">
      <c r="D158" s="15"/>
      <c r="E158" s="2">
        <f t="shared" si="78"/>
        <v>3.9000000000000021</v>
      </c>
      <c r="H158" s="8">
        <f t="shared" ref="H158:AB158" ca="1" si="80" xml:space="preserve"> -(D*(H59+nu*G58+H57+nu*I58+((-2*nu)-2)*H58))/delta^2</f>
        <v>1.3961294363081359E-6</v>
      </c>
      <c r="I158" s="7">
        <f t="shared" ca="1" si="80"/>
        <v>-2.0060811651599235</v>
      </c>
      <c r="J158" s="7">
        <f t="shared" ca="1" si="80"/>
        <v>-4.0062833609789585</v>
      </c>
      <c r="K158" s="7">
        <f t="shared" ca="1" si="80"/>
        <v>-5.9952433752524525</v>
      </c>
      <c r="L158" s="7">
        <f t="shared" ca="1" si="80"/>
        <v>-7.9685778041526003</v>
      </c>
      <c r="M158" s="7">
        <f t="shared" ca="1" si="80"/>
        <v>-9.9231879044370022</v>
      </c>
      <c r="N158" s="7">
        <f t="shared" ca="1" si="80"/>
        <v>-11.85736349192835</v>
      </c>
      <c r="O158" s="7">
        <f t="shared" ca="1" si="80"/>
        <v>-13.770647551475745</v>
      </c>
      <c r="P158" s="7">
        <f t="shared" ca="1" si="80"/>
        <v>-15.663452719048101</v>
      </c>
      <c r="Q158" s="7">
        <f t="shared" ca="1" si="80"/>
        <v>-17.536455242623248</v>
      </c>
      <c r="R158" s="7">
        <f t="shared" ca="1" si="80"/>
        <v>-19.389828623518941</v>
      </c>
      <c r="S158" s="7">
        <f t="shared" ca="1" si="80"/>
        <v>-21.2224110827927</v>
      </c>
      <c r="T158" s="7">
        <f t="shared" ca="1" si="80"/>
        <v>-23.030920146216161</v>
      </c>
      <c r="U158" s="7">
        <f t="shared" ca="1" si="80"/>
        <v>-24.809326952739013</v>
      </c>
      <c r="V158" s="7">
        <f t="shared" ca="1" si="80"/>
        <v>-26.548479307987822</v>
      </c>
      <c r="W158" s="7">
        <f t="shared" ca="1" si="80"/>
        <v>-28.23601903130249</v>
      </c>
      <c r="X158" s="7">
        <f t="shared" ca="1" si="80"/>
        <v>-29.856584977167056</v>
      </c>
      <c r="Y158" s="7">
        <f t="shared" ca="1" si="80"/>
        <v>-31.392241413766445</v>
      </c>
      <c r="Z158" s="7">
        <f t="shared" ca="1" si="80"/>
        <v>-32.823035499789434</v>
      </c>
      <c r="AA158" s="7">
        <f t="shared" ca="1" si="80"/>
        <v>-34.12757670819407</v>
      </c>
      <c r="AB158" s="8">
        <f t="shared" ca="1" si="80"/>
        <v>-35.28354737646989</v>
      </c>
    </row>
    <row r="159" spans="4:28" x14ac:dyDescent="0.25">
      <c r="D159" s="15"/>
      <c r="E159" s="2">
        <f t="shared" si="78"/>
        <v>3.800000000000002</v>
      </c>
      <c r="H159" s="8">
        <f t="shared" ref="H159:AB159" ca="1" si="81" xml:space="preserve"> -(D*(H60+nu*G59+H58+nu*I59+((-2*nu)-2)*H59))/delta^2</f>
        <v>2.7834893328273847E-6</v>
      </c>
      <c r="I159" s="7">
        <f t="shared" ca="1" si="81"/>
        <v>-4.0406868742323487</v>
      </c>
      <c r="J159" s="7">
        <f t="shared" ca="1" si="81"/>
        <v>-8.069036854245903</v>
      </c>
      <c r="K159" s="7">
        <f t="shared" ca="1" si="81"/>
        <v>-12.073794416087928</v>
      </c>
      <c r="L159" s="7">
        <f t="shared" ca="1" si="81"/>
        <v>-16.045760595089259</v>
      </c>
      <c r="M159" s="7">
        <f t="shared" ca="1" si="81"/>
        <v>-19.978443726122549</v>
      </c>
      <c r="N159" s="7">
        <f t="shared" ca="1" si="81"/>
        <v>-23.868297257356055</v>
      </c>
      <c r="O159" s="7">
        <f t="shared" ca="1" si="81"/>
        <v>-27.714462113220002</v>
      </c>
      <c r="P159" s="7">
        <f t="shared" ca="1" si="81"/>
        <v>-31.517990405209677</v>
      </c>
      <c r="Q159" s="7">
        <f t="shared" ca="1" si="81"/>
        <v>-35.280598637190771</v>
      </c>
      <c r="R159" s="7">
        <f t="shared" ca="1" si="81"/>
        <v>-39.003076454468577</v>
      </c>
      <c r="S159" s="7">
        <f t="shared" ca="1" si="81"/>
        <v>-42.683546979412448</v>
      </c>
      <c r="T159" s="7">
        <f t="shared" ca="1" si="81"/>
        <v>-46.315818709328553</v>
      </c>
      <c r="U159" s="7">
        <f t="shared" ca="1" si="81"/>
        <v>-49.888070426544445</v>
      </c>
      <c r="V159" s="7">
        <f t="shared" ca="1" si="81"/>
        <v>-53.382061724321709</v>
      </c>
      <c r="W159" s="7">
        <f t="shared" ca="1" si="81"/>
        <v>-56.77296838790523</v>
      </c>
      <c r="X159" s="7">
        <f t="shared" ca="1" si="81"/>
        <v>-60.029824018104847</v>
      </c>
      <c r="Y159" s="7">
        <f t="shared" ca="1" si="81"/>
        <v>-63.116436234595028</v>
      </c>
      <c r="Z159" s="7">
        <f t="shared" ca="1" si="81"/>
        <v>-65.992567258539182</v>
      </c>
      <c r="AA159" s="7">
        <f t="shared" ca="1" si="81"/>
        <v>-68.615145544353396</v>
      </c>
      <c r="AB159" s="8">
        <f t="shared" ca="1" si="81"/>
        <v>-70.939313331304135</v>
      </c>
    </row>
    <row r="160" spans="4:28" x14ac:dyDescent="0.25">
      <c r="D160" s="15"/>
      <c r="E160" s="2">
        <f t="shared" si="78"/>
        <v>3.700000000000002</v>
      </c>
      <c r="H160" s="8">
        <f t="shared" ref="H160:AB160" ca="1" si="82" xml:space="preserve"> -(D*(H61+nu*G60+H59+nu*I60+((-2*nu)-2)*H60))/delta^2</f>
        <v>4.1534030485145776E-6</v>
      </c>
      <c r="I160" s="7">
        <f t="shared" ca="1" si="82"/>
        <v>-6.1329533847444706</v>
      </c>
      <c r="J160" s="7">
        <f t="shared" ca="1" si="82"/>
        <v>-12.245930063506583</v>
      </c>
      <c r="K160" s="7">
        <f t="shared" ca="1" si="82"/>
        <v>-18.320699373674049</v>
      </c>
      <c r="L160" s="7">
        <f t="shared" ca="1" si="82"/>
        <v>-24.342357581383627</v>
      </c>
      <c r="M160" s="7">
        <f t="shared" ca="1" si="82"/>
        <v>-30.300408677382372</v>
      </c>
      <c r="N160" s="7">
        <f t="shared" ca="1" si="82"/>
        <v>-36.18919995495316</v>
      </c>
      <c r="O160" s="7">
        <f t="shared" ca="1" si="82"/>
        <v>-42.007573109281942</v>
      </c>
      <c r="P160" s="7">
        <f t="shared" ca="1" si="82"/>
        <v>-47.757680653737069</v>
      </c>
      <c r="Q160" s="7">
        <f t="shared" ca="1" si="82"/>
        <v>-53.443030296322092</v>
      </c>
      <c r="R160" s="7">
        <f t="shared" ca="1" si="82"/>
        <v>-59.065949015162843</v>
      </c>
      <c r="S160" s="7">
        <f t="shared" ca="1" si="82"/>
        <v>-64.624780127225662</v>
      </c>
      <c r="T160" s="7">
        <f t="shared" ca="1" si="82"/>
        <v>-70.111208370460815</v>
      </c>
      <c r="U160" s="7">
        <f t="shared" ca="1" si="82"/>
        <v>-75.508118766353718</v>
      </c>
      <c r="V160" s="7">
        <f t="shared" ca="1" si="82"/>
        <v>-80.788317867569859</v>
      </c>
      <c r="W160" s="7">
        <f t="shared" ca="1" si="82"/>
        <v>-85.9142888221607</v>
      </c>
      <c r="X160" s="7">
        <f t="shared" ca="1" si="82"/>
        <v>-90.838949061371366</v>
      </c>
      <c r="Y160" s="7">
        <f t="shared" ca="1" si="82"/>
        <v>-95.507183530645477</v>
      </c>
      <c r="Z160" s="7">
        <f t="shared" ca="1" si="82"/>
        <v>-99.857790471675798</v>
      </c>
      <c r="AA160" s="7">
        <f t="shared" ca="1" si="82"/>
        <v>-103.82543795457973</v>
      </c>
      <c r="AB160" s="8">
        <f t="shared" ca="1" si="82"/>
        <v>-107.34229764264545</v>
      </c>
    </row>
    <row r="161" spans="4:28" x14ac:dyDescent="0.25">
      <c r="D161" s="15"/>
      <c r="E161" s="2">
        <f t="shared" si="78"/>
        <v>3.6000000000000019</v>
      </c>
      <c r="H161" s="8">
        <f t="shared" ref="H161:AB161" ca="1" si="83" xml:space="preserve"> -(D*(H62+nu*G61+H60+nu*I61+((-2*nu)-2)*H61))/delta^2</f>
        <v>5.497324865928729E-6</v>
      </c>
      <c r="I161" s="7">
        <f t="shared" ca="1" si="83"/>
        <v>-8.3132806012966789</v>
      </c>
      <c r="J161" s="7">
        <f t="shared" ca="1" si="83"/>
        <v>-16.597115752980862</v>
      </c>
      <c r="K161" s="7">
        <f t="shared" ca="1" si="83"/>
        <v>-24.824616516494242</v>
      </c>
      <c r="L161" s="7">
        <f t="shared" ca="1" si="83"/>
        <v>-32.973778947794059</v>
      </c>
      <c r="M161" s="7">
        <f t="shared" ca="1" si="83"/>
        <v>-41.029126066175074</v>
      </c>
      <c r="N161" s="7">
        <f t="shared" ca="1" si="83"/>
        <v>-48.982446849048884</v>
      </c>
      <c r="O161" s="7">
        <f t="shared" ca="1" si="83"/>
        <v>-56.832415366983625</v>
      </c>
      <c r="P161" s="7">
        <f t="shared" ca="1" si="83"/>
        <v>-64.582989644109816</v>
      </c>
      <c r="Q161" s="7">
        <f t="shared" ca="1" si="83"/>
        <v>-72.240650000304257</v>
      </c>
      <c r="R161" s="7">
        <f t="shared" ca="1" si="83"/>
        <v>-79.810732779908946</v>
      </c>
      <c r="S161" s="7">
        <f t="shared" ca="1" si="83"/>
        <v>-87.293312211216232</v>
      </c>
      <c r="T161" s="7">
        <f t="shared" ca="1" si="83"/>
        <v>-94.679227065741358</v>
      </c>
      <c r="U161" s="7">
        <f t="shared" ca="1" si="83"/>
        <v>-101.94688356132495</v>
      </c>
      <c r="V161" s="7">
        <f t="shared" ca="1" si="83"/>
        <v>-109.06035689637248</v>
      </c>
      <c r="W161" s="7">
        <f t="shared" ca="1" si="83"/>
        <v>-115.96906898197834</v>
      </c>
      <c r="X161" s="7">
        <f t="shared" ca="1" si="83"/>
        <v>-122.60899516788332</v>
      </c>
      <c r="Y161" s="7">
        <f t="shared" ca="1" si="83"/>
        <v>-128.90503575670667</v>
      </c>
      <c r="Z161" s="7">
        <f t="shared" ca="1" si="83"/>
        <v>-134.77396879128028</v>
      </c>
      <c r="AA161" s="7">
        <f t="shared" ca="1" si="83"/>
        <v>-140.12734050490613</v>
      </c>
      <c r="AB161" s="8">
        <f t="shared" ca="1" si="83"/>
        <v>-144.87376345223728</v>
      </c>
    </row>
    <row r="162" spans="4:28" x14ac:dyDescent="0.25">
      <c r="D162" s="15"/>
      <c r="E162" s="2">
        <f t="shared" si="78"/>
        <v>3.5000000000000018</v>
      </c>
      <c r="H162" s="8">
        <f t="shared" ref="H162:AB162" ca="1" si="84" xml:space="preserve"> -(D*(H63+nu*G62+H61+nu*I62+((-2*nu)-2)*H62))/delta^2</f>
        <v>6.8068895202609447E-6</v>
      </c>
      <c r="I162" s="7">
        <f t="shared" ca="1" si="84"/>
        <v>-10.613945351673678</v>
      </c>
      <c r="J162" s="7">
        <f t="shared" ca="1" si="84"/>
        <v>-21.186445476838905</v>
      </c>
      <c r="K162" s="7">
        <f t="shared" ca="1" si="84"/>
        <v>-31.679607848729074</v>
      </c>
      <c r="L162" s="7">
        <f t="shared" ca="1" si="84"/>
        <v>-42.06235531903598</v>
      </c>
      <c r="M162" s="7">
        <f t="shared" ca="1" si="84"/>
        <v>-52.312811907872259</v>
      </c>
      <c r="N162" s="7">
        <f t="shared" ca="1" si="84"/>
        <v>-62.419505351318563</v>
      </c>
      <c r="O162" s="7">
        <f t="shared" ca="1" si="84"/>
        <v>-72.381060355625195</v>
      </c>
      <c r="P162" s="7">
        <f t="shared" ca="1" si="84"/>
        <v>-82.204192421327988</v>
      </c>
      <c r="Q162" s="7">
        <f t="shared" ca="1" si="84"/>
        <v>-91.900024403312983</v>
      </c>
      <c r="R162" s="7">
        <f t="shared" ca="1" si="84"/>
        <v>-101.47903375572452</v>
      </c>
      <c r="S162" s="7">
        <f t="shared" ca="1" si="84"/>
        <v>-110.9452492087423</v>
      </c>
      <c r="T162" s="7">
        <f t="shared" ca="1" si="84"/>
        <v>-120.29056510412508</v>
      </c>
      <c r="U162" s="7">
        <f t="shared" ca="1" si="84"/>
        <v>-129.49012961701683</v>
      </c>
      <c r="V162" s="7">
        <f t="shared" ca="1" si="84"/>
        <v>-138.49962001499296</v>
      </c>
      <c r="W162" s="7">
        <f t="shared" ca="1" si="84"/>
        <v>-147.25484751303367</v>
      </c>
      <c r="X162" s="7">
        <f t="shared" ca="1" si="84"/>
        <v>-155.67362494953255</v>
      </c>
      <c r="Y162" s="7">
        <f t="shared" ca="1" si="84"/>
        <v>-163.65932826388652</v>
      </c>
      <c r="Z162" s="7">
        <f t="shared" ca="1" si="84"/>
        <v>-171.10523738656838</v>
      </c>
      <c r="AA162" s="7">
        <f t="shared" ca="1" si="84"/>
        <v>-177.89865335666039</v>
      </c>
      <c r="AB162" s="8">
        <f t="shared" ca="1" si="84"/>
        <v>-183.92397440459433</v>
      </c>
    </row>
    <row r="163" spans="4:28" x14ac:dyDescent="0.25">
      <c r="D163" s="15"/>
      <c r="E163" s="2">
        <f t="shared" si="78"/>
        <v>3.4000000000000017</v>
      </c>
      <c r="H163" s="8">
        <f t="shared" ref="H163:AB163" ca="1" si="85" xml:space="preserve"> -(D*(H64+nu*G63+H62+nu*I63+((-2*nu)-2)*H63))/delta^2</f>
        <v>8.0739652916038961E-6</v>
      </c>
      <c r="I163" s="7">
        <f t="shared" ca="1" si="85"/>
        <v>-13.069683854605657</v>
      </c>
      <c r="J163" s="7">
        <f t="shared" ca="1" si="85"/>
        <v>-26.082640624481286</v>
      </c>
      <c r="K163" s="7">
        <f t="shared" ca="1" si="85"/>
        <v>-38.986902448484301</v>
      </c>
      <c r="L163" s="7">
        <f t="shared" ca="1" si="85"/>
        <v>-51.739680189806862</v>
      </c>
      <c r="M163" s="7">
        <f t="shared" ca="1" si="85"/>
        <v>-64.310730561722423</v>
      </c>
      <c r="N163" s="7">
        <f t="shared" ca="1" si="85"/>
        <v>-76.68425462081305</v>
      </c>
      <c r="O163" s="7">
        <f t="shared" ca="1" si="85"/>
        <v>-88.858847833627919</v>
      </c>
      <c r="P163" s="7">
        <f t="shared" ca="1" si="85"/>
        <v>-100.84515759358028</v>
      </c>
      <c r="Q163" s="7">
        <f t="shared" ca="1" si="85"/>
        <v>-112.66116726245095</v>
      </c>
      <c r="R163" s="7">
        <f t="shared" ca="1" si="85"/>
        <v>-124.32543013887707</v>
      </c>
      <c r="S163" s="7">
        <f t="shared" ca="1" si="85"/>
        <v>-135.84906228021407</v>
      </c>
      <c r="T163" s="7">
        <f t="shared" ca="1" si="85"/>
        <v>-147.22773393741372</v>
      </c>
      <c r="U163" s="7">
        <f t="shared" ca="1" si="85"/>
        <v>-158.43509736698982</v>
      </c>
      <c r="V163" s="7">
        <f t="shared" ca="1" si="85"/>
        <v>-169.4189153633863</v>
      </c>
      <c r="W163" s="7">
        <f t="shared" ca="1" si="85"/>
        <v>-180.100598506126</v>
      </c>
      <c r="X163" s="7">
        <f t="shared" ca="1" si="85"/>
        <v>-190.37806233543432</v>
      </c>
      <c r="Y163" s="7">
        <f t="shared" ca="1" si="85"/>
        <v>-200.13102236846231</v>
      </c>
      <c r="Z163" s="7">
        <f t="shared" ca="1" si="85"/>
        <v>-209.22730529939881</v>
      </c>
      <c r="AA163" s="7">
        <f t="shared" ca="1" si="85"/>
        <v>-217.52862980029599</v>
      </c>
      <c r="AB163" s="8">
        <f t="shared" ca="1" si="85"/>
        <v>-224.89461633795455</v>
      </c>
    </row>
    <row r="164" spans="4:28" x14ac:dyDescent="0.25">
      <c r="D164" s="15"/>
      <c r="E164" s="2">
        <f t="shared" si="78"/>
        <v>3.3000000000000016</v>
      </c>
      <c r="H164" s="8">
        <f t="shared" ref="H164:AB164" ca="1" si="86" xml:space="preserve"> -(D*(H65+nu*G64+H63+nu*I64+((-2*nu)-2)*H64))/delta^2</f>
        <v>9.2906998180318923E-6</v>
      </c>
      <c r="I164" s="7">
        <f t="shared" ca="1" si="86"/>
        <v>-15.718186649165371</v>
      </c>
      <c r="J164" s="7">
        <f t="shared" ca="1" si="86"/>
        <v>-31.360317547138116</v>
      </c>
      <c r="K164" s="7">
        <f t="shared" ca="1" si="86"/>
        <v>-46.856507755838294</v>
      </c>
      <c r="L164" s="7">
        <f t="shared" ca="1" si="86"/>
        <v>-62.148857936086074</v>
      </c>
      <c r="M164" s="7">
        <f t="shared" ca="1" si="86"/>
        <v>-77.196093369724281</v>
      </c>
      <c r="N164" s="7">
        <f t="shared" ca="1" si="86"/>
        <v>-91.976485238307603</v>
      </c>
      <c r="O164" s="7">
        <f t="shared" ca="1" si="86"/>
        <v>-106.48836213712872</v>
      </c>
      <c r="P164" s="7">
        <f t="shared" ca="1" si="86"/>
        <v>-120.74761374965193</v>
      </c>
      <c r="Q164" s="7">
        <f t="shared" ca="1" si="86"/>
        <v>-134.78188480524298</v>
      </c>
      <c r="R164" s="7">
        <f t="shared" ca="1" si="86"/>
        <v>-148.62171129685893</v>
      </c>
      <c r="S164" s="7">
        <f t="shared" ca="1" si="86"/>
        <v>-162.28960359667488</v>
      </c>
      <c r="T164" s="7">
        <f t="shared" ca="1" si="86"/>
        <v>-175.78882531687685</v>
      </c>
      <c r="U164" s="7">
        <f t="shared" ca="1" si="86"/>
        <v>-189.09403462858364</v>
      </c>
      <c r="V164" s="7">
        <f t="shared" ca="1" si="86"/>
        <v>-202.1457695825367</v>
      </c>
      <c r="W164" s="7">
        <f t="shared" ca="1" si="86"/>
        <v>-214.84992162857856</v>
      </c>
      <c r="X164" s="7">
        <f t="shared" ca="1" si="86"/>
        <v>-227.08208710225065</v>
      </c>
      <c r="Y164" s="7">
        <f t="shared" ca="1" si="86"/>
        <v>-238.69542747247897</v>
      </c>
      <c r="Z164" s="7">
        <f t="shared" ca="1" si="86"/>
        <v>-249.52982709499486</v>
      </c>
      <c r="AA164" s="7">
        <f t="shared" ca="1" si="86"/>
        <v>-259.41997468110094</v>
      </c>
      <c r="AB164" s="8">
        <f t="shared" ca="1" si="86"/>
        <v>-268.20050891328464</v>
      </c>
    </row>
    <row r="165" spans="4:28" x14ac:dyDescent="0.25">
      <c r="D165" s="15"/>
      <c r="E165" s="2">
        <f t="shared" si="78"/>
        <v>3.2000000000000015</v>
      </c>
      <c r="H165" s="8">
        <f t="shared" ref="H165:AB165" ca="1" si="87" xml:space="preserve"> -(D*(H66+nu*G65+H64+nu*I65+((-2*nu)-2)*H65))/delta^2</f>
        <v>1.044956651952204E-5</v>
      </c>
      <c r="I165" s="7">
        <f t="shared" ca="1" si="87"/>
        <v>-18.600410904339061</v>
      </c>
      <c r="J165" s="7">
        <f t="shared" ca="1" si="87"/>
        <v>-37.100694189500196</v>
      </c>
      <c r="K165" s="7">
        <f t="shared" ca="1" si="87"/>
        <v>-55.408452183258994</v>
      </c>
      <c r="L165" s="7">
        <f t="shared" ca="1" si="87"/>
        <v>-73.44644184017821</v>
      </c>
      <c r="M165" s="7">
        <f t="shared" ca="1" si="87"/>
        <v>-91.158815115256914</v>
      </c>
      <c r="N165" s="7">
        <f t="shared" ca="1" si="87"/>
        <v>-108.51550722152383</v>
      </c>
      <c r="O165" s="7">
        <f t="shared" ca="1" si="87"/>
        <v>-125.51380049642562</v>
      </c>
      <c r="P165" s="7">
        <f t="shared" ca="1" si="87"/>
        <v>-142.17606502491176</v>
      </c>
      <c r="Q165" s="7">
        <f t="shared" ca="1" si="87"/>
        <v>-158.54295068077644</v>
      </c>
      <c r="R165" s="7">
        <f t="shared" ca="1" si="87"/>
        <v>-174.66202706255422</v>
      </c>
      <c r="S165" s="7">
        <f t="shared" ca="1" si="87"/>
        <v>-190.57302159509652</v>
      </c>
      <c r="T165" s="7">
        <f t="shared" ca="1" si="87"/>
        <v>-206.29209364463509</v>
      </c>
      <c r="U165" s="7">
        <f t="shared" ca="1" si="87"/>
        <v>-221.79843381464516</v>
      </c>
      <c r="V165" s="7">
        <f t="shared" ca="1" si="87"/>
        <v>-237.02633244681758</v>
      </c>
      <c r="W165" s="7">
        <f t="shared" ca="1" si="87"/>
        <v>-251.86458727778324</v>
      </c>
      <c r="X165" s="7">
        <f t="shared" ca="1" si="87"/>
        <v>-266.16312468200482</v>
      </c>
      <c r="Y165" s="7">
        <f t="shared" ca="1" si="87"/>
        <v>-279.74469498815961</v>
      </c>
      <c r="Z165" s="7">
        <f t="shared" ca="1" si="87"/>
        <v>-292.41818374532795</v>
      </c>
      <c r="AA165" s="7">
        <f t="shared" ca="1" si="87"/>
        <v>-303.98990053030718</v>
      </c>
      <c r="AB165" s="8">
        <f t="shared" ca="1" si="87"/>
        <v>-314.27010046902836</v>
      </c>
    </row>
    <row r="166" spans="4:28" x14ac:dyDescent="0.25">
      <c r="D166" s="15"/>
      <c r="E166" s="2">
        <f t="shared" si="78"/>
        <v>3.1000000000000014</v>
      </c>
      <c r="H166" s="8">
        <f t="shared" ref="H166:AB166" ca="1" si="88" xml:space="preserve"> -(D*(H67+nu*G66+H65+nu*I66+((-2*nu)-2)*H66))/delta^2</f>
        <v>1.1543413465239645E-5</v>
      </c>
      <c r="I166" s="7">
        <f t="shared" ca="1" si="88"/>
        <v>-21.760551418905326</v>
      </c>
      <c r="J166" s="7">
        <f t="shared" ca="1" si="88"/>
        <v>-43.391684342942078</v>
      </c>
      <c r="K166" s="7">
        <f t="shared" ca="1" si="88"/>
        <v>-64.77327657045646</v>
      </c>
      <c r="L166" s="7">
        <f t="shared" ca="1" si="88"/>
        <v>-85.803658039306754</v>
      </c>
      <c r="M166" s="7">
        <f t="shared" ca="1" si="88"/>
        <v>-106.40778206369525</v>
      </c>
      <c r="N166" s="7">
        <f t="shared" ca="1" si="88"/>
        <v>-126.54365516660395</v>
      </c>
      <c r="O166" s="7">
        <f t="shared" ca="1" si="88"/>
        <v>-146.20571258757374</v>
      </c>
      <c r="P166" s="7">
        <f t="shared" ca="1" si="88"/>
        <v>-165.42354233267989</v>
      </c>
      <c r="Q166" s="7">
        <f t="shared" ca="1" si="88"/>
        <v>-184.25447854395233</v>
      </c>
      <c r="R166" s="7">
        <f t="shared" ca="1" si="88"/>
        <v>-202.76944117060577</v>
      </c>
      <c r="S166" s="7">
        <f t="shared" ca="1" si="88"/>
        <v>-221.03313081326573</v>
      </c>
      <c r="T166" s="7">
        <f t="shared" ca="1" si="88"/>
        <v>-239.08191944686169</v>
      </c>
      <c r="U166" s="7">
        <f t="shared" ca="1" si="88"/>
        <v>-256.90448433373791</v>
      </c>
      <c r="V166" s="7">
        <f t="shared" ca="1" si="88"/>
        <v>-274.43024694823174</v>
      </c>
      <c r="W166" s="7">
        <f t="shared" ca="1" si="88"/>
        <v>-291.52869895825899</v>
      </c>
      <c r="X166" s="7">
        <f t="shared" ca="1" si="88"/>
        <v>-308.01948875752936</v>
      </c>
      <c r="Y166" s="7">
        <f t="shared" ca="1" si="88"/>
        <v>-323.68989484751563</v>
      </c>
      <c r="Z166" s="7">
        <f t="shared" ca="1" si="88"/>
        <v>-338.31422636128855</v>
      </c>
      <c r="AA166" s="7">
        <f t="shared" ca="1" si="88"/>
        <v>-351.66956832555684</v>
      </c>
      <c r="AB166" s="8">
        <f t="shared" ca="1" si="88"/>
        <v>-363.54391229654215</v>
      </c>
    </row>
    <row r="167" spans="4:28" x14ac:dyDescent="0.25">
      <c r="D167" s="15"/>
      <c r="E167" s="2">
        <f t="shared" si="78"/>
        <v>3.0000000000000013</v>
      </c>
      <c r="H167" s="8">
        <f t="shared" ref="H167:AB167" ca="1" si="89" xml:space="preserve"> -(D*(H68+nu*G67+H66+nu*I67+((-2*nu)-2)*H67))/delta^2</f>
        <v>1.2565499209547538E-5</v>
      </c>
      <c r="I167" s="7">
        <f t="shared" ca="1" si="89"/>
        <v>-25.245423388741472</v>
      </c>
      <c r="J167" s="7">
        <f t="shared" ca="1" si="89"/>
        <v>-50.326912996353592</v>
      </c>
      <c r="K167" s="7">
        <f t="shared" ca="1" si="89"/>
        <v>-75.091146384704075</v>
      </c>
      <c r="L167" s="7">
        <f t="shared" ca="1" si="89"/>
        <v>-99.406217336792238</v>
      </c>
      <c r="M167" s="7">
        <f t="shared" ca="1" si="89"/>
        <v>-123.17198443275517</v>
      </c>
      <c r="N167" s="7">
        <f t="shared" ca="1" si="89"/>
        <v>-146.32922643718391</v>
      </c>
      <c r="O167" s="7">
        <f t="shared" ca="1" si="89"/>
        <v>-168.86594158951607</v>
      </c>
      <c r="P167" s="7">
        <f t="shared" ca="1" si="89"/>
        <v>-190.8183697834977</v>
      </c>
      <c r="Q167" s="7">
        <f t="shared" ca="1" si="89"/>
        <v>-212.26400160241124</v>
      </c>
      <c r="R167" s="7">
        <f t="shared" ca="1" si="89"/>
        <v>-233.30464856868963</v>
      </c>
      <c r="S167" s="7">
        <f t="shared" ca="1" si="89"/>
        <v>-254.04014209993704</v>
      </c>
      <c r="T167" s="7">
        <f t="shared" ca="1" si="89"/>
        <v>-274.5371007926434</v>
      </c>
      <c r="U167" s="7">
        <f t="shared" ca="1" si="89"/>
        <v>-294.80062607151456</v>
      </c>
      <c r="V167" s="7">
        <f t="shared" ca="1" si="89"/>
        <v>-314.75720839179218</v>
      </c>
      <c r="W167" s="7">
        <f t="shared" ca="1" si="89"/>
        <v>-334.25393167320061</v>
      </c>
      <c r="X167" s="7">
        <f t="shared" ca="1" si="89"/>
        <v>-353.07387317799652</v>
      </c>
      <c r="Y167" s="7">
        <f t="shared" ca="1" si="89"/>
        <v>-370.9623422169326</v>
      </c>
      <c r="Z167" s="7">
        <f t="shared" ca="1" si="89"/>
        <v>-387.65521935528153</v>
      </c>
      <c r="AA167" s="7">
        <f t="shared" ca="1" si="89"/>
        <v>-402.90078986591277</v>
      </c>
      <c r="AB167" s="8">
        <f t="shared" ca="1" si="89"/>
        <v>-416.46957121415113</v>
      </c>
    </row>
    <row r="168" spans="4:28" x14ac:dyDescent="0.25">
      <c r="D168" s="15"/>
      <c r="E168" s="2">
        <f t="shared" si="78"/>
        <v>2.9000000000000012</v>
      </c>
      <c r="H168" s="8">
        <f t="shared" ref="H168:AB168" ca="1" si="90" xml:space="preserve"> -(D*(H69+nu*G68+H67+nu*I68+((-2*nu)-2)*H68))/delta^2</f>
        <v>1.3509541048450407E-5</v>
      </c>
      <c r="I168" s="7">
        <f t="shared" ca="1" si="90"/>
        <v>-29.102897701569731</v>
      </c>
      <c r="J168" s="7">
        <f t="shared" ca="1" si="90"/>
        <v>-58.00295791671639</v>
      </c>
      <c r="K168" s="7">
        <f t="shared" ca="1" si="90"/>
        <v>-86.508612763625095</v>
      </c>
      <c r="L168" s="7">
        <f t="shared" ca="1" si="90"/>
        <v>-114.45157599402349</v>
      </c>
      <c r="M168" s="7">
        <f t="shared" ca="1" si="90"/>
        <v>-141.69937800705657</v>
      </c>
      <c r="N168" s="7">
        <f t="shared" ca="1" si="90"/>
        <v>-168.16793725364496</v>
      </c>
      <c r="O168" s="7">
        <f t="shared" ca="1" si="90"/>
        <v>-193.83228583134206</v>
      </c>
      <c r="P168" s="7">
        <f t="shared" ca="1" si="90"/>
        <v>-218.73204028687488</v>
      </c>
      <c r="Q168" s="7">
        <f t="shared" ca="1" si="90"/>
        <v>-242.96694231430575</v>
      </c>
      <c r="R168" s="7">
        <f t="shared" ca="1" si="90"/>
        <v>-266.67802527414625</v>
      </c>
      <c r="S168" s="7">
        <f t="shared" ca="1" si="90"/>
        <v>-290.01324334557177</v>
      </c>
      <c r="T168" s="7">
        <f t="shared" ca="1" si="90"/>
        <v>-313.08309686609493</v>
      </c>
      <c r="U168" s="7">
        <f t="shared" ca="1" si="90"/>
        <v>-335.91875645393043</v>
      </c>
      <c r="V168" s="7">
        <f t="shared" ca="1" si="90"/>
        <v>-358.44648465287804</v>
      </c>
      <c r="W168" s="7">
        <f t="shared" ca="1" si="90"/>
        <v>-380.4866442256527</v>
      </c>
      <c r="X168" s="7">
        <f t="shared" ca="1" si="90"/>
        <v>-401.77724820990016</v>
      </c>
      <c r="Y168" s="7">
        <f t="shared" ca="1" si="90"/>
        <v>-422.01358624669604</v>
      </c>
      <c r="Z168" s="7">
        <f t="shared" ca="1" si="90"/>
        <v>-440.88967952453106</v>
      </c>
      <c r="AA168" s="7">
        <f t="shared" ca="1" si="90"/>
        <v>-458.1281307287494</v>
      </c>
      <c r="AB168" s="8">
        <f t="shared" ca="1" si="90"/>
        <v>-473.49123307985434</v>
      </c>
    </row>
    <row r="169" spans="4:28" x14ac:dyDescent="0.25">
      <c r="D169" s="15"/>
      <c r="E169" s="2">
        <f t="shared" si="78"/>
        <v>2.8000000000000012</v>
      </c>
      <c r="H169" s="8">
        <f t="shared" ref="H169:AB169" ca="1" si="91" xml:space="preserve"> -(D*(H70+nu*G69+H68+nu*I69+((-2*nu)-2)*H69))/delta^2</f>
        <v>1.4369744543579754E-5</v>
      </c>
      <c r="I169" s="7">
        <f t="shared" ca="1" si="91"/>
        <v>-33.378905341608878</v>
      </c>
      <c r="J169" s="7">
        <f t="shared" ca="1" si="91"/>
        <v>-66.513853020987824</v>
      </c>
      <c r="K169" s="7">
        <f t="shared" ca="1" si="91"/>
        <v>-99.171606781032722</v>
      </c>
      <c r="L169" s="7">
        <f t="shared" ca="1" si="91"/>
        <v>-131.1418789314049</v>
      </c>
      <c r="M169" s="7">
        <f t="shared" ca="1" si="91"/>
        <v>-162.25157031804272</v>
      </c>
      <c r="N169" s="7">
        <f t="shared" ca="1" si="91"/>
        <v>-192.38118901219181</v>
      </c>
      <c r="O169" s="7">
        <f t="shared" ca="1" si="91"/>
        <v>-221.48176764488406</v>
      </c>
      <c r="P169" s="7">
        <f t="shared" ca="1" si="91"/>
        <v>-249.58800863432651</v>
      </c>
      <c r="Q169" s="7">
        <f t="shared" ca="1" si="91"/>
        <v>-276.82032308442086</v>
      </c>
      <c r="R169" s="7">
        <f t="shared" ca="1" si="91"/>
        <v>-303.36679371745811</v>
      </c>
      <c r="S169" s="7">
        <f t="shared" ca="1" si="91"/>
        <v>-329.4395006997446</v>
      </c>
      <c r="T169" s="7">
        <f t="shared" ca="1" si="91"/>
        <v>-355.21104668266491</v>
      </c>
      <c r="U169" s="7">
        <f t="shared" ca="1" si="91"/>
        <v>-380.75184003164168</v>
      </c>
      <c r="V169" s="7">
        <f t="shared" ca="1" si="91"/>
        <v>-405.99163572321618</v>
      </c>
      <c r="W169" s="7">
        <f t="shared" ca="1" si="91"/>
        <v>-430.7182331787028</v>
      </c>
      <c r="X169" s="7">
        <f t="shared" ca="1" si="91"/>
        <v>-454.61338191524152</v>
      </c>
      <c r="Y169" s="7">
        <f t="shared" ca="1" si="91"/>
        <v>-477.31300044427752</v>
      </c>
      <c r="Z169" s="7">
        <f t="shared" ca="1" si="91"/>
        <v>-498.46788472250603</v>
      </c>
      <c r="AA169" s="7">
        <f t="shared" ca="1" si="91"/>
        <v>-517.78335743856007</v>
      </c>
      <c r="AB169" s="8">
        <f t="shared" ca="1" si="91"/>
        <v>-535.02990467094571</v>
      </c>
    </row>
    <row r="170" spans="4:28" x14ac:dyDescent="0.25">
      <c r="D170" s="15"/>
      <c r="E170" s="2">
        <f t="shared" si="78"/>
        <v>2.7000000000000011</v>
      </c>
      <c r="H170" s="8">
        <f t="shared" ref="H170:AB170" ca="1" si="92" xml:space="preserve"> -(D*(H71+nu*G70+H69+nu*I70+((-2*nu)-2)*H70))/delta^2</f>
        <v>1.5140845466613871E-5</v>
      </c>
      <c r="I170" s="7">
        <f t="shared" ca="1" si="92"/>
        <v>-38.112427323527342</v>
      </c>
      <c r="J170" s="7">
        <f t="shared" ca="1" si="92"/>
        <v>-75.941634920311074</v>
      </c>
      <c r="K170" s="7">
        <f t="shared" ca="1" si="92"/>
        <v>-113.21275347539728</v>
      </c>
      <c r="L170" s="7">
        <f t="shared" ca="1" si="92"/>
        <v>-149.66999339067527</v>
      </c>
      <c r="M170" s="7">
        <f t="shared" ca="1" si="92"/>
        <v>-185.09126282544383</v>
      </c>
      <c r="N170" s="7">
        <f t="shared" ca="1" si="92"/>
        <v>-219.30807001807455</v>
      </c>
      <c r="O170" s="7">
        <f t="shared" ca="1" si="92"/>
        <v>-252.23013434225425</v>
      </c>
      <c r="P170" s="7">
        <f t="shared" ca="1" si="92"/>
        <v>-283.87044876511385</v>
      </c>
      <c r="Q170" s="7">
        <f t="shared" ca="1" si="92"/>
        <v>-314.36059864125019</v>
      </c>
      <c r="R170" s="7">
        <f t="shared" ca="1" si="92"/>
        <v>-343.93997433166317</v>
      </c>
      <c r="S170" s="7">
        <f t="shared" ca="1" si="92"/>
        <v>-372.90321061908162</v>
      </c>
      <c r="T170" s="7">
        <f t="shared" ca="1" si="92"/>
        <v>-401.5085584928234</v>
      </c>
      <c r="U170" s="7">
        <f t="shared" ca="1" si="92"/>
        <v>-429.88285940206856</v>
      </c>
      <c r="V170" s="7">
        <f t="shared" ca="1" si="92"/>
        <v>-457.96437186658261</v>
      </c>
      <c r="W170" s="7">
        <f t="shared" ca="1" si="92"/>
        <v>-485.50101566634282</v>
      </c>
      <c r="X170" s="7">
        <f t="shared" ca="1" si="92"/>
        <v>-512.10420905868421</v>
      </c>
      <c r="Y170" s="7">
        <f t="shared" ca="1" si="92"/>
        <v>-537.34100506465188</v>
      </c>
      <c r="Z170" s="7">
        <f t="shared" ca="1" si="92"/>
        <v>-560.82324374147049</v>
      </c>
      <c r="AA170" s="7">
        <f t="shared" ca="1" si="92"/>
        <v>-582.25727729132871</v>
      </c>
      <c r="AB170" s="8">
        <f t="shared" ca="1" si="92"/>
        <v>-601.44924193272607</v>
      </c>
    </row>
    <row r="171" spans="4:28" x14ac:dyDescent="0.25">
      <c r="D171" s="15"/>
      <c r="E171" s="2">
        <f t="shared" si="78"/>
        <v>2.600000000000001</v>
      </c>
      <c r="H171" s="8">
        <f t="shared" ref="H171:AB171" ca="1" si="93" xml:space="preserve"> -(D*(H72+nu*G71+H70+nu*I71+((-2*nu)-2)*H71))/delta^2</f>
        <v>1.5818134232920545E-5</v>
      </c>
      <c r="I171" s="7">
        <f t="shared" ca="1" si="93"/>
        <v>-43.32788652455838</v>
      </c>
      <c r="J171" s="7">
        <f t="shared" ca="1" si="93"/>
        <v>-86.341610696133486</v>
      </c>
      <c r="K171" s="7">
        <f t="shared" ca="1" si="93"/>
        <v>-128.73069173611663</v>
      </c>
      <c r="L171" s="7">
        <f t="shared" ca="1" si="93"/>
        <v>-170.1951048773262</v>
      </c>
      <c r="M171" s="7">
        <f t="shared" ca="1" si="93"/>
        <v>-210.45773371779077</v>
      </c>
      <c r="N171" s="7">
        <f t="shared" ca="1" si="93"/>
        <v>-249.28572461874111</v>
      </c>
      <c r="O171" s="7">
        <f t="shared" ca="1" si="93"/>
        <v>-286.52273805947914</v>
      </c>
      <c r="P171" s="7">
        <f t="shared" ca="1" si="93"/>
        <v>-322.13016395049215</v>
      </c>
      <c r="Q171" s="7">
        <f t="shared" ca="1" si="93"/>
        <v>-356.22600787978809</v>
      </c>
      <c r="R171" s="7">
        <f t="shared" ca="1" si="93"/>
        <v>-389.09498673335725</v>
      </c>
      <c r="S171" s="7">
        <f t="shared" ca="1" si="93"/>
        <v>-421.13269089186184</v>
      </c>
      <c r="T171" s="7">
        <f t="shared" ca="1" si="93"/>
        <v>-452.71132784838954</v>
      </c>
      <c r="U171" s="7">
        <f t="shared" ca="1" si="93"/>
        <v>-484.03416206967427</v>
      </c>
      <c r="V171" s="7">
        <f t="shared" ca="1" si="93"/>
        <v>-515.05449298818655</v>
      </c>
      <c r="W171" s="7">
        <f t="shared" ca="1" si="93"/>
        <v>-545.47331295858953</v>
      </c>
      <c r="X171" s="7">
        <f t="shared" ca="1" si="93"/>
        <v>-574.81594685843697</v>
      </c>
      <c r="Y171" s="7">
        <f t="shared" ca="1" si="93"/>
        <v>-602.57411304416667</v>
      </c>
      <c r="Z171" s="7">
        <f t="shared" ca="1" si="93"/>
        <v>-628.3380006876879</v>
      </c>
      <c r="AA171" s="7">
        <f t="shared" ca="1" si="93"/>
        <v>-651.85112843118497</v>
      </c>
      <c r="AB171" s="8">
        <f t="shared" ca="1" si="93"/>
        <v>-672.9987238847757</v>
      </c>
    </row>
    <row r="172" spans="4:28" x14ac:dyDescent="0.25">
      <c r="D172" s="15"/>
      <c r="E172" s="2">
        <f t="shared" si="78"/>
        <v>2.5000000000000009</v>
      </c>
      <c r="H172" s="8">
        <f t="shared" ref="H172:AB172" ca="1" si="94" xml:space="preserve"> -(D*(H73+nu*G72+H71+nu*I72+((-2*nu)-2)*H72))/delta^2</f>
        <v>1.6397488479747349E-5</v>
      </c>
      <c r="I172" s="7">
        <f t="shared" ca="1" si="94"/>
        <v>-49.024589567447272</v>
      </c>
      <c r="J172" s="7">
        <f t="shared" ca="1" si="94"/>
        <v>-97.721331877807359</v>
      </c>
      <c r="K172" s="7">
        <f t="shared" ca="1" si="94"/>
        <v>-145.75913486608843</v>
      </c>
      <c r="L172" s="7">
        <f t="shared" ca="1" si="94"/>
        <v>-192.803631411867</v>
      </c>
      <c r="M172" s="7">
        <f t="shared" ca="1" si="94"/>
        <v>-238.52360346504437</v>
      </c>
      <c r="N172" s="7">
        <f t="shared" ca="1" si="94"/>
        <v>-282.60906506362073</v>
      </c>
      <c r="O172" s="7">
        <f t="shared" ca="1" si="94"/>
        <v>-324.80716413700969</v>
      </c>
      <c r="P172" s="7">
        <f t="shared" ca="1" si="94"/>
        <v>-364.98048305504955</v>
      </c>
      <c r="Q172" s="7">
        <f t="shared" ca="1" si="94"/>
        <v>-403.1818351742732</v>
      </c>
      <c r="R172" s="7">
        <f t="shared" ca="1" si="94"/>
        <v>-439.7111194499052</v>
      </c>
      <c r="S172" s="7">
        <f t="shared" ca="1" si="94"/>
        <v>-475.07653492444433</v>
      </c>
      <c r="T172" s="7">
        <f t="shared" ca="1" si="94"/>
        <v>-509.79251685624553</v>
      </c>
      <c r="U172" s="7">
        <f t="shared" ca="1" si="94"/>
        <v>-544.15424070649942</v>
      </c>
      <c r="V172" s="7">
        <f t="shared" ca="1" si="94"/>
        <v>-578.13820018632066</v>
      </c>
      <c r="W172" s="7">
        <f t="shared" ca="1" si="94"/>
        <v>-611.39923327757413</v>
      </c>
      <c r="X172" s="7">
        <f t="shared" ca="1" si="94"/>
        <v>-643.36438350813148</v>
      </c>
      <c r="Y172" s="7">
        <f t="shared" ca="1" si="94"/>
        <v>-673.45407124435133</v>
      </c>
      <c r="Z172" s="7">
        <f t="shared" ca="1" si="94"/>
        <v>-701.28208609627825</v>
      </c>
      <c r="AA172" s="7">
        <f t="shared" ca="1" si="94"/>
        <v>-726.69558782516867</v>
      </c>
      <c r="AB172" s="8">
        <f t="shared" ca="1" si="94"/>
        <v>-749.72289019071673</v>
      </c>
    </row>
    <row r="173" spans="4:28" x14ac:dyDescent="0.25">
      <c r="D173" s="15"/>
      <c r="E173" s="2">
        <f t="shared" si="78"/>
        <v>2.4000000000000008</v>
      </c>
      <c r="H173" s="8">
        <f t="shared" ref="H173:AB173" ca="1" si="95" xml:space="preserve"> -(D*(H74+nu*G73+H72+nu*I73+((-2*nu)-2)*H73))/delta^2</f>
        <v>1.6875396685409578E-5</v>
      </c>
      <c r="I173" s="7">
        <f t="shared" ca="1" si="95"/>
        <v>-55.163513420768972</v>
      </c>
      <c r="J173" s="7">
        <f t="shared" ca="1" si="95"/>
        <v>-110.01338471103399</v>
      </c>
      <c r="K173" s="7">
        <f t="shared" ca="1" si="95"/>
        <v>-164.22457356245383</v>
      </c>
      <c r="L173" s="7">
        <f t="shared" ca="1" si="95"/>
        <v>-217.45156471821576</v>
      </c>
      <c r="M173" s="7">
        <f t="shared" ca="1" si="95"/>
        <v>-269.32435237362591</v>
      </c>
      <c r="N173" s="7">
        <f t="shared" ca="1" si="95"/>
        <v>-319.45555210589748</v>
      </c>
      <c r="O173" s="7">
        <f t="shared" ca="1" si="95"/>
        <v>-367.46906589296805</v>
      </c>
      <c r="P173" s="7">
        <f t="shared" ca="1" si="95"/>
        <v>-413.06592907816872</v>
      </c>
      <c r="Q173" s="7">
        <f t="shared" ca="1" si="95"/>
        <v>-456.14068269775777</v>
      </c>
      <c r="R173" s="7">
        <f t="shared" ca="1" si="95"/>
        <v>-496.92592612115669</v>
      </c>
      <c r="S173" s="7">
        <f t="shared" ca="1" si="95"/>
        <v>-536.03061603248045</v>
      </c>
      <c r="T173" s="7">
        <f t="shared" ca="1" si="95"/>
        <v>-574.12261089138269</v>
      </c>
      <c r="U173" s="7">
        <f t="shared" ca="1" si="95"/>
        <v>-611.57494400084965</v>
      </c>
      <c r="V173" s="7">
        <f t="shared" ca="1" si="95"/>
        <v>-648.3968624435438</v>
      </c>
      <c r="W173" s="7">
        <f t="shared" ca="1" si="95"/>
        <v>-684.23036542812906</v>
      </c>
      <c r="X173" s="7">
        <f t="shared" ca="1" si="95"/>
        <v>-718.41263495976546</v>
      </c>
      <c r="Y173" s="7">
        <f t="shared" ca="1" si="95"/>
        <v>-750.32459098997606</v>
      </c>
      <c r="Z173" s="7">
        <f t="shared" ca="1" si="95"/>
        <v>-779.70606426106883</v>
      </c>
      <c r="AA173" s="7">
        <f t="shared" ca="1" si="95"/>
        <v>-806.6205930362255</v>
      </c>
      <c r="AB173" s="8">
        <f t="shared" ca="1" si="95"/>
        <v>-831.32284611042951</v>
      </c>
    </row>
    <row r="174" spans="4:28" x14ac:dyDescent="0.25">
      <c r="D174" s="15"/>
      <c r="E174" s="2">
        <f t="shared" si="78"/>
        <v>2.3000000000000007</v>
      </c>
      <c r="H174" s="8">
        <f t="shared" ref="H174:AB174" ca="1" si="96" xml:space="preserve"> -(D*(H75+nu*G74+H73+nu*I74+((-2*nu)-2)*H74))/delta^2</f>
        <v>1.7248976494522302E-5</v>
      </c>
      <c r="I174" s="7">
        <f t="shared" ca="1" si="96"/>
        <v>-61.652962316039947</v>
      </c>
      <c r="J174" s="7">
        <f t="shared" ca="1" si="96"/>
        <v>-123.04453113287674</v>
      </c>
      <c r="K174" s="7">
        <f t="shared" ca="1" si="96"/>
        <v>-183.89484161774189</v>
      </c>
      <c r="L174" s="7">
        <f t="shared" ca="1" si="96"/>
        <v>-243.88752522506277</v>
      </c>
      <c r="M174" s="7">
        <f t="shared" ca="1" si="96"/>
        <v>-302.65271640513174</v>
      </c>
      <c r="N174" s="7">
        <f t="shared" ca="1" si="96"/>
        <v>-359.75506496326358</v>
      </c>
      <c r="O174" s="7">
        <f t="shared" ca="1" si="96"/>
        <v>-414.69719417763616</v>
      </c>
      <c r="P174" s="7">
        <f t="shared" ca="1" si="96"/>
        <v>-466.96342485427493</v>
      </c>
      <c r="Q174" s="7">
        <f t="shared" ca="1" si="96"/>
        <v>-516.15129812323664</v>
      </c>
      <c r="R174" s="7">
        <f t="shared" ca="1" si="96"/>
        <v>-562.23886876026063</v>
      </c>
      <c r="S174" s="7">
        <f t="shared" ca="1" si="96"/>
        <v>-605.85581812543853</v>
      </c>
      <c r="T174" s="7">
        <f t="shared" ca="1" si="96"/>
        <v>-647.76463139478403</v>
      </c>
      <c r="U174" s="7">
        <f t="shared" ca="1" si="96"/>
        <v>-688.30450985003301</v>
      </c>
      <c r="V174" s="7">
        <f t="shared" ca="1" si="96"/>
        <v>-727.52774296792654</v>
      </c>
      <c r="W174" s="7">
        <f t="shared" ca="1" si="96"/>
        <v>-765.19617913129377</v>
      </c>
      <c r="X174" s="7">
        <f t="shared" ca="1" si="96"/>
        <v>-800.63810831450053</v>
      </c>
      <c r="Y174" s="7">
        <f t="shared" ca="1" si="96"/>
        <v>-833.298790393893</v>
      </c>
      <c r="Z174" s="7">
        <f t="shared" ca="1" si="96"/>
        <v>-863.25664574106759</v>
      </c>
      <c r="AA174" s="7">
        <f t="shared" ca="1" si="96"/>
        <v>-890.95611010237747</v>
      </c>
      <c r="AB174" s="8">
        <f t="shared" ca="1" si="96"/>
        <v>-916.95837513613139</v>
      </c>
    </row>
    <row r="175" spans="4:28" x14ac:dyDescent="0.25">
      <c r="D175" s="15"/>
      <c r="E175" s="2">
        <f t="shared" si="78"/>
        <v>2.2000000000000006</v>
      </c>
      <c r="H175" s="8">
        <f t="shared" ref="H175:AB175" ca="1" si="97" xml:space="preserve"> -(D*(H76+nu*G75+H74+nu*I75+((-2*nu)-2)*H75))/delta^2</f>
        <v>1.7515993450459755E-5</v>
      </c>
      <c r="I175" s="7">
        <f t="shared" ca="1" si="97"/>
        <v>-68.336410172548838</v>
      </c>
      <c r="J175" s="7">
        <f t="shared" ca="1" si="97"/>
        <v>-136.50768057996615</v>
      </c>
      <c r="K175" s="7">
        <f t="shared" ca="1" si="97"/>
        <v>-204.32732561496928</v>
      </c>
      <c r="L175" s="7">
        <f t="shared" ca="1" si="97"/>
        <v>-271.56471452031519</v>
      </c>
      <c r="M175" s="7">
        <f t="shared" ca="1" si="97"/>
        <v>-337.91847866750425</v>
      </c>
      <c r="N175" s="7">
        <f t="shared" ca="1" si="97"/>
        <v>-402.98474499350681</v>
      </c>
      <c r="O175" s="7">
        <f t="shared" ca="1" si="97"/>
        <v>-466.22152122688459</v>
      </c>
      <c r="P175" s="7">
        <f t="shared" ca="1" si="97"/>
        <v>-526.92401378439808</v>
      </c>
      <c r="Q175" s="7">
        <f t="shared" ca="1" si="97"/>
        <v>-584.27273748574339</v>
      </c>
      <c r="R175" s="7">
        <f t="shared" ca="1" si="97"/>
        <v>-637.63723608705311</v>
      </c>
      <c r="S175" s="7">
        <f t="shared" ca="1" si="97"/>
        <v>-687.37216872926354</v>
      </c>
      <c r="T175" s="7">
        <f t="shared" ca="1" si="97"/>
        <v>-734.0330813485474</v>
      </c>
      <c r="U175" s="7">
        <f t="shared" ca="1" si="97"/>
        <v>-777.58553857848949</v>
      </c>
      <c r="V175" s="7">
        <f t="shared" ca="1" si="97"/>
        <v>-818.13465825357798</v>
      </c>
      <c r="W175" s="7">
        <f t="shared" ca="1" si="97"/>
        <v>-855.9222008340173</v>
      </c>
      <c r="X175" s="7">
        <f t="shared" ca="1" si="97"/>
        <v>-890.59141160103832</v>
      </c>
      <c r="Y175" s="7">
        <f t="shared" ca="1" si="97"/>
        <v>-921.97309265393551</v>
      </c>
      <c r="Z175" s="7">
        <f t="shared" ca="1" si="97"/>
        <v>-950.86738324574287</v>
      </c>
      <c r="AA175" s="7">
        <f t="shared" ca="1" si="97"/>
        <v>-978.25140534209379</v>
      </c>
      <c r="AB175" s="8">
        <f t="shared" ca="1" si="97"/>
        <v>-1004.9951135117954</v>
      </c>
    </row>
    <row r="176" spans="4:28" x14ac:dyDescent="0.25">
      <c r="D176" s="15"/>
      <c r="E176" s="2">
        <f t="shared" si="78"/>
        <v>2.1000000000000005</v>
      </c>
      <c r="H176" s="8">
        <f t="shared" ref="H176:AB176" ca="1" si="98" xml:space="preserve"> -(D*(H77+nu*G76+H75+nu*I76+((-2*nu)-2)*H76))/delta^2</f>
        <v>1.7674874026631469E-5</v>
      </c>
      <c r="I176" s="7">
        <f t="shared" ca="1" si="98"/>
        <v>-74.987647434345689</v>
      </c>
      <c r="J176" s="7">
        <f t="shared" ca="1" si="98"/>
        <v>-149.94783566664617</v>
      </c>
      <c r="K176" s="7">
        <f t="shared" ca="1" si="98"/>
        <v>-224.83529539094778</v>
      </c>
      <c r="L176" s="7">
        <f t="shared" ca="1" si="98"/>
        <v>-299.56748799649932</v>
      </c>
      <c r="M176" s="7">
        <f t="shared" ca="1" si="98"/>
        <v>-374.00022846081089</v>
      </c>
      <c r="N176" s="7">
        <f t="shared" ca="1" si="98"/>
        <v>-447.89348578133223</v>
      </c>
      <c r="O176" s="7">
        <f t="shared" ca="1" si="98"/>
        <v>-520.85704489302555</v>
      </c>
      <c r="P176" s="7">
        <f t="shared" ca="1" si="98"/>
        <v>-592.25652095587657</v>
      </c>
      <c r="Q176" s="7">
        <f t="shared" ca="1" si="98"/>
        <v>-661.05865511303421</v>
      </c>
      <c r="R176" s="7">
        <f t="shared" ca="1" si="98"/>
        <v>-725.71322848958539</v>
      </c>
      <c r="S176" s="7">
        <f t="shared" ca="1" si="98"/>
        <v>-785.1638235998015</v>
      </c>
      <c r="T176" s="7">
        <f t="shared" ca="1" si="98"/>
        <v>-838.54982621294664</v>
      </c>
      <c r="U176" s="7">
        <f t="shared" ca="1" si="98"/>
        <v>-884.95194757063553</v>
      </c>
      <c r="V176" s="7">
        <f t="shared" ca="1" si="98"/>
        <v>-924.53573073581663</v>
      </c>
      <c r="W176" s="7">
        <f t="shared" ca="1" si="98"/>
        <v>-958.55003746353964</v>
      </c>
      <c r="X176" s="7">
        <f t="shared" ca="1" si="98"/>
        <v>-988.18063581881131</v>
      </c>
      <c r="Y176" s="7">
        <f t="shared" ca="1" si="98"/>
        <v>-1014.8022883953727</v>
      </c>
      <c r="Z176" s="7">
        <f t="shared" ca="1" si="98"/>
        <v>-1040.2758769038467</v>
      </c>
      <c r="AA176" s="7">
        <f t="shared" ca="1" si="98"/>
        <v>-1065.9409402815713</v>
      </c>
      <c r="AB176" s="8">
        <f t="shared" ca="1" si="98"/>
        <v>-1092.7486498856754</v>
      </c>
    </row>
    <row r="177" spans="4:28" x14ac:dyDescent="0.25">
      <c r="D177" s="15"/>
      <c r="E177" s="2">
        <f t="shared" si="78"/>
        <v>2.0000000000000004</v>
      </c>
      <c r="H177" s="8">
        <f t="shared" ref="H177:AB177" ca="1" si="99" xml:space="preserve"> -(D*(H78+nu*G77+H76+nu*I77+((-2*nu)-2)*H77))/delta^2</f>
        <v>1.7724709291528653E-5</v>
      </c>
      <c r="I177" s="7">
        <f t="shared" ca="1" si="99"/>
        <v>-81.318809897310544</v>
      </c>
      <c r="J177" s="7">
        <f t="shared" ca="1" si="99"/>
        <v>-162.77562364566506</v>
      </c>
      <c r="K177" s="7">
        <f t="shared" ca="1" si="99"/>
        <v>-244.49950804555178</v>
      </c>
      <c r="L177" s="7">
        <f t="shared" ca="1" si="99"/>
        <v>-326.60207769668227</v>
      </c>
      <c r="M177" s="7">
        <f t="shared" ca="1" si="99"/>
        <v>-409.16931291174592</v>
      </c>
      <c r="N177" s="7">
        <f t="shared" ca="1" si="99"/>
        <v>-492.25483167216299</v>
      </c>
      <c r="O177" s="7">
        <f t="shared" ca="1" si="99"/>
        <v>-575.87625424422504</v>
      </c>
      <c r="P177" s="7">
        <f t="shared" ca="1" si="99"/>
        <v>-660.01703340664278</v>
      </c>
      <c r="Q177" s="7">
        <f t="shared" ca="1" si="99"/>
        <v>-744.63638070833463</v>
      </c>
      <c r="R177" s="9">
        <f t="shared" ca="1" si="99"/>
        <v>-829.68905590564009</v>
      </c>
      <c r="S177" s="9">
        <f t="shared" ca="1" si="99"/>
        <v>-907.65425490099108</v>
      </c>
      <c r="T177" s="9">
        <f t="shared" ca="1" si="99"/>
        <v>-971.06894387561874</v>
      </c>
      <c r="U177" s="9">
        <f t="shared" ca="1" si="99"/>
        <v>-1020.0575806627286</v>
      </c>
      <c r="V177" s="9">
        <f t="shared" ca="1" si="99"/>
        <v>-1054.8497860043649</v>
      </c>
      <c r="W177" s="9">
        <f t="shared" ca="1" si="99"/>
        <v>-1075.7807896411812</v>
      </c>
      <c r="X177" s="7">
        <f t="shared" ca="1" si="99"/>
        <v>-1090.7747464365664</v>
      </c>
      <c r="Y177" s="7">
        <f t="shared" ca="1" si="99"/>
        <v>-1107.816347808875</v>
      </c>
      <c r="Z177" s="7">
        <f t="shared" ca="1" si="99"/>
        <v>-1127.4195929842033</v>
      </c>
      <c r="AA177" s="7">
        <f t="shared" ca="1" si="99"/>
        <v>-1150.102480679263</v>
      </c>
      <c r="AB177" s="8">
        <f t="shared" ca="1" si="99"/>
        <v>-1176.3732713017444</v>
      </c>
    </row>
    <row r="178" spans="4:28" x14ac:dyDescent="0.25">
      <c r="D178" s="15"/>
      <c r="E178" s="2">
        <f t="shared" si="78"/>
        <v>1.9000000000000006</v>
      </c>
      <c r="H178" s="8">
        <f t="shared" ref="H178:AB178" ca="1" si="100" xml:space="preserve"> -(D*(H79+nu*G78+H77+nu*I78+((-2*nu)-2)*H78))/delta^2</f>
        <v>1.7665267940000324E-5</v>
      </c>
      <c r="I178" s="7">
        <f t="shared" ca="1" si="100"/>
        <v>-87.004130326589291</v>
      </c>
      <c r="J178" s="7">
        <f t="shared" ca="1" si="100"/>
        <v>-174.31714386565571</v>
      </c>
      <c r="K178" s="7">
        <f t="shared" ca="1" si="100"/>
        <v>-262.24842618647159</v>
      </c>
      <c r="L178" s="7">
        <f t="shared" ca="1" si="100"/>
        <v>-351.1106534466964</v>
      </c>
      <c r="M178" s="7">
        <f t="shared" ca="1" si="100"/>
        <v>-441.22773740113041</v>
      </c>
      <c r="N178" s="7">
        <f t="shared" ca="1" si="100"/>
        <v>-532.95485104425074</v>
      </c>
      <c r="O178" s="7">
        <f t="shared" ca="1" si="100"/>
        <v>-626.72400527998093</v>
      </c>
      <c r="P178" s="7">
        <f t="shared" ca="1" si="100"/>
        <v>-723.13959945517365</v>
      </c>
      <c r="Q178" s="7">
        <f t="shared" ca="1" si="100"/>
        <v>-823.15095794995818</v>
      </c>
      <c r="R178" s="9">
        <f t="shared" ca="1" si="100"/>
        <v>-928.20925709944538</v>
      </c>
      <c r="S178" s="9">
        <f t="shared" ca="1" si="100"/>
        <v>-1024.3162571281307</v>
      </c>
      <c r="T178" s="9">
        <f t="shared" ca="1" si="100"/>
        <v>-1097.3931252618092</v>
      </c>
      <c r="U178" s="9">
        <f t="shared" ca="1" si="100"/>
        <v>-1148.5991001188011</v>
      </c>
      <c r="V178" s="9">
        <f t="shared" ca="1" si="100"/>
        <v>-1178.2263443969175</v>
      </c>
      <c r="W178" s="9">
        <f t="shared" ca="1" si="100"/>
        <v>-1185.7024339621369</v>
      </c>
      <c r="X178" s="7">
        <f t="shared" ca="1" si="100"/>
        <v>-1185.70052127756</v>
      </c>
      <c r="Y178" s="7">
        <f t="shared" ca="1" si="100"/>
        <v>-1192.8257630127259</v>
      </c>
      <c r="Z178" s="7">
        <f t="shared" ca="1" si="100"/>
        <v>-1206.251456830646</v>
      </c>
      <c r="AA178" s="7">
        <f t="shared" ca="1" si="100"/>
        <v>-1225.6738581459133</v>
      </c>
      <c r="AB178" s="8">
        <f t="shared" ca="1" si="100"/>
        <v>-1251.1520674248525</v>
      </c>
    </row>
    <row r="179" spans="4:28" x14ac:dyDescent="0.25">
      <c r="D179" s="15"/>
      <c r="E179" s="2">
        <f t="shared" si="78"/>
        <v>1.8000000000000005</v>
      </c>
      <c r="H179" s="8">
        <f t="shared" ref="H179:AB179" ca="1" si="101" xml:space="preserve"> -(D*(H80+nu*G79+H78+nu*I79+((-2*nu)-2)*H79))/delta^2</f>
        <v>1.7496991406524766E-5</v>
      </c>
      <c r="I179" s="7">
        <f t="shared" ca="1" si="101"/>
        <v>-91.715797358291795</v>
      </c>
      <c r="J179" s="7">
        <f t="shared" ca="1" si="101"/>
        <v>-183.89315735256588</v>
      </c>
      <c r="K179" s="7">
        <f t="shared" ca="1" si="101"/>
        <v>-276.99951787061883</v>
      </c>
      <c r="L179" s="7">
        <f t="shared" ca="1" si="101"/>
        <v>-371.51558251425456</v>
      </c>
      <c r="M179" s="7">
        <f t="shared" ca="1" si="101"/>
        <v>-467.94552430842185</v>
      </c>
      <c r="N179" s="7">
        <f t="shared" ca="1" si="101"/>
        <v>-566.83268474659553</v>
      </c>
      <c r="O179" s="7">
        <f t="shared" ca="1" si="101"/>
        <v>-668.78207871991833</v>
      </c>
      <c r="P179" s="7">
        <f t="shared" ca="1" si="101"/>
        <v>-774.48011436029844</v>
      </c>
      <c r="Q179" s="7">
        <f t="shared" ca="1" si="101"/>
        <v>-884.65751024523024</v>
      </c>
      <c r="R179" s="9">
        <f t="shared" ca="1" si="101"/>
        <v>-999.82121131026474</v>
      </c>
      <c r="S179" s="9">
        <f t="shared" ca="1" si="101"/>
        <v>-1104.5224994912062</v>
      </c>
      <c r="T179" s="9">
        <f t="shared" ca="1" si="101"/>
        <v>-1183.2251933810317</v>
      </c>
      <c r="U179" s="9">
        <f t="shared" ca="1" si="101"/>
        <v>-1236.1759228094727</v>
      </c>
      <c r="V179" s="9">
        <f t="shared" ca="1" si="101"/>
        <v>-1263.7224057659971</v>
      </c>
      <c r="W179" s="9">
        <f t="shared" ca="1" si="101"/>
        <v>-1266.3175909752958</v>
      </c>
      <c r="X179" s="7">
        <f t="shared" ca="1" si="101"/>
        <v>-1260.2095356428974</v>
      </c>
      <c r="Y179" s="7">
        <f t="shared" ca="1" si="101"/>
        <v>-1261.5787678711119</v>
      </c>
      <c r="Z179" s="7">
        <f t="shared" ca="1" si="101"/>
        <v>-1270.6762774517586</v>
      </c>
      <c r="AA179" s="7">
        <f t="shared" ca="1" si="101"/>
        <v>-1287.5575711176839</v>
      </c>
      <c r="AB179" s="8">
        <f t="shared" ca="1" si="101"/>
        <v>-1312.341531031095</v>
      </c>
    </row>
    <row r="180" spans="4:28" x14ac:dyDescent="0.25">
      <c r="D180" s="15"/>
      <c r="E180" s="2">
        <f t="shared" si="78"/>
        <v>1.7000000000000004</v>
      </c>
      <c r="H180" s="8">
        <f t="shared" ref="H180:AB180" ca="1" si="102" xml:space="preserve"> -(D*(H81+nu*G80+H79+nu*I80+((-2*nu)-2)*H80))/delta^2</f>
        <v>1.7220989792935741E-5</v>
      </c>
      <c r="I180" s="7">
        <f t="shared" ca="1" si="102"/>
        <v>-95.161749091872096</v>
      </c>
      <c r="J180" s="7">
        <f t="shared" ca="1" si="102"/>
        <v>-190.90207473038498</v>
      </c>
      <c r="K180" s="7">
        <f t="shared" ca="1" si="102"/>
        <v>-287.80600243132739</v>
      </c>
      <c r="L180" s="7">
        <f t="shared" ca="1" si="102"/>
        <v>-386.47029432705068</v>
      </c>
      <c r="M180" s="7">
        <f t="shared" ca="1" si="102"/>
        <v>-487.50495078243779</v>
      </c>
      <c r="N180" s="7">
        <f t="shared" ca="1" si="102"/>
        <v>-591.52694749676664</v>
      </c>
      <c r="O180" s="7">
        <f t="shared" ca="1" si="102"/>
        <v>-699.13706455287524</v>
      </c>
      <c r="P180" s="7">
        <f t="shared" ca="1" si="102"/>
        <v>-810.85978952245341</v>
      </c>
      <c r="Q180" s="7">
        <f t="shared" ca="1" si="102"/>
        <v>-927.00903780720182</v>
      </c>
      <c r="R180" s="9">
        <f t="shared" ca="1" si="102"/>
        <v>-1047.4474334529341</v>
      </c>
      <c r="S180" s="9">
        <f t="shared" ca="1" si="102"/>
        <v>-1156.3852187343646</v>
      </c>
      <c r="T180" s="9">
        <f t="shared" ca="1" si="102"/>
        <v>-1238.007462269697</v>
      </c>
      <c r="U180" s="9">
        <f t="shared" ca="1" si="102"/>
        <v>-1292.1384380491347</v>
      </c>
      <c r="V180" s="9">
        <f t="shared" ca="1" si="102"/>
        <v>-1319.1697228416433</v>
      </c>
      <c r="W180" s="9">
        <f t="shared" ca="1" si="102"/>
        <v>-1320.0653896972965</v>
      </c>
      <c r="X180" s="7">
        <f t="shared" ca="1" si="102"/>
        <v>-1311.4439217941504</v>
      </c>
      <c r="Y180" s="7">
        <f t="shared" ca="1" si="102"/>
        <v>-1309.9225468701875</v>
      </c>
      <c r="Z180" s="7">
        <f t="shared" ca="1" si="102"/>
        <v>-1316.4959359053651</v>
      </c>
      <c r="AA180" s="7">
        <f t="shared" ca="1" si="102"/>
        <v>-1331.7376250855386</v>
      </c>
      <c r="AB180" s="8">
        <f t="shared" ca="1" si="102"/>
        <v>-1356.0303179850685</v>
      </c>
    </row>
    <row r="181" spans="4:28" x14ac:dyDescent="0.25">
      <c r="D181" s="15"/>
      <c r="E181" s="2">
        <f t="shared" si="78"/>
        <v>1.6000000000000003</v>
      </c>
      <c r="H181" s="8">
        <f t="shared" ref="H181:AB181" ca="1" si="103" xml:space="preserve"> -(D*(H82+nu*G81+H80+nu*I81+((-2*nu)-2)*H81))/delta^2</f>
        <v>1.6839036574466552E-5</v>
      </c>
      <c r="I181" s="7">
        <f t="shared" ca="1" si="103"/>
        <v>-97.115232764801931</v>
      </c>
      <c r="J181" s="7">
        <f t="shared" ca="1" si="103"/>
        <v>-194.88130867159046</v>
      </c>
      <c r="K181" s="7">
        <f t="shared" ca="1" si="103"/>
        <v>-293.95381404074766</v>
      </c>
      <c r="L181" s="7">
        <f t="shared" ca="1" si="103"/>
        <v>-394.99409819343526</v>
      </c>
      <c r="M181" s="7">
        <f t="shared" ca="1" si="103"/>
        <v>-498.66073380211225</v>
      </c>
      <c r="N181" s="7">
        <f t="shared" ca="1" si="103"/>
        <v>-605.58344796594565</v>
      </c>
      <c r="O181" s="7">
        <f t="shared" ca="1" si="103"/>
        <v>-716.30768467109522</v>
      </c>
      <c r="P181" s="7">
        <f t="shared" ca="1" si="103"/>
        <v>-831.19644364793294</v>
      </c>
      <c r="Q181" s="7">
        <f t="shared" ca="1" si="103"/>
        <v>-950.28721316956796</v>
      </c>
      <c r="R181" s="9">
        <f t="shared" ca="1" si="103"/>
        <v>-1073.1520306517436</v>
      </c>
      <c r="S181" s="9">
        <f t="shared" ca="1" si="103"/>
        <v>-1183.930768844695</v>
      </c>
      <c r="T181" s="9">
        <f t="shared" ca="1" si="103"/>
        <v>-1266.7975774526053</v>
      </c>
      <c r="U181" s="9">
        <f t="shared" ca="1" si="103"/>
        <v>-1321.4716142984116</v>
      </c>
      <c r="V181" s="9">
        <f t="shared" ca="1" si="103"/>
        <v>-1348.3732441816694</v>
      </c>
      <c r="W181" s="9">
        <f t="shared" ca="1" si="103"/>
        <v>-1348.6297476070654</v>
      </c>
      <c r="X181" s="7">
        <f t="shared" ca="1" si="103"/>
        <v>-1338.9299509298226</v>
      </c>
      <c r="Y181" s="7">
        <f t="shared" ca="1" si="103"/>
        <v>-1336.022387890768</v>
      </c>
      <c r="Z181" s="7">
        <f t="shared" ca="1" si="103"/>
        <v>-1341.2539998744412</v>
      </c>
      <c r="AA181" s="7">
        <f t="shared" ca="1" si="103"/>
        <v>-1355.5359224535891</v>
      </c>
      <c r="AB181" s="8">
        <f t="shared" ca="1" si="103"/>
        <v>-1379.4745345717263</v>
      </c>
    </row>
    <row r="182" spans="4:28" x14ac:dyDescent="0.25">
      <c r="D182" s="15"/>
      <c r="E182" s="2">
        <f t="shared" si="78"/>
        <v>1.5000000000000002</v>
      </c>
      <c r="H182" s="8">
        <f t="shared" ref="H182:AB182" ca="1" si="104" xml:space="preserve"> -(D*(H83+nu*G82+H81+nu*I82+((-2*nu)-2)*H82))/delta^2</f>
        <v>1.6353554754019205E-5</v>
      </c>
      <c r="I182" s="7">
        <f t="shared" ca="1" si="104"/>
        <v>-97.432396962518197</v>
      </c>
      <c r="J182" s="7">
        <f t="shared" ca="1" si="104"/>
        <v>-195.54009076532228</v>
      </c>
      <c r="K182" s="7">
        <f t="shared" ca="1" si="104"/>
        <v>-295.00212587269186</v>
      </c>
      <c r="L182" s="7">
        <f t="shared" ca="1" si="104"/>
        <v>-396.50031167675206</v>
      </c>
      <c r="M182" s="7">
        <f t="shared" ca="1" si="104"/>
        <v>-500.70653152578097</v>
      </c>
      <c r="N182" s="7">
        <f t="shared" ca="1" si="104"/>
        <v>-608.2492319124683</v>
      </c>
      <c r="O182" s="7">
        <f t="shared" ca="1" si="104"/>
        <v>-719.64730880481511</v>
      </c>
      <c r="P182" s="7">
        <f t="shared" ca="1" si="104"/>
        <v>-835.20250699733674</v>
      </c>
      <c r="Q182" s="7">
        <f t="shared" ca="1" si="104"/>
        <v>-954.86193905663799</v>
      </c>
      <c r="R182" s="9">
        <f t="shared" ca="1" si="104"/>
        <v>-1078.1187886883288</v>
      </c>
      <c r="S182" s="9">
        <f t="shared" ca="1" si="104"/>
        <v>-1189.1051382985809</v>
      </c>
      <c r="T182" s="9">
        <f t="shared" ca="1" si="104"/>
        <v>-1272.0102393143684</v>
      </c>
      <c r="U182" s="9">
        <f t="shared" ca="1" si="104"/>
        <v>-1326.5424201294945</v>
      </c>
      <c r="V182" s="9">
        <f t="shared" ca="1" si="104"/>
        <v>-1353.1338357573773</v>
      </c>
      <c r="W182" s="9">
        <f t="shared" ca="1" si="104"/>
        <v>-1352.9463283156517</v>
      </c>
      <c r="X182" s="7">
        <f t="shared" ca="1" si="104"/>
        <v>-1342.6777266731433</v>
      </c>
      <c r="Y182" s="7">
        <f t="shared" ca="1" si="104"/>
        <v>-1339.1088087139412</v>
      </c>
      <c r="Z182" s="7">
        <f t="shared" ca="1" si="104"/>
        <v>-1343.6898229134072</v>
      </c>
      <c r="AA182" s="7">
        <f t="shared" ca="1" si="104"/>
        <v>-1357.4463294201328</v>
      </c>
      <c r="AB182" s="8">
        <f t="shared" ca="1" si="104"/>
        <v>-1381.0705946424007</v>
      </c>
    </row>
    <row r="183" spans="4:28" x14ac:dyDescent="0.25">
      <c r="D183" s="15"/>
      <c r="E183" s="2">
        <f t="shared" si="78"/>
        <v>1.4000000000000001</v>
      </c>
      <c r="H183" s="8">
        <f t="shared" ref="H183:AB183" ca="1" si="105" xml:space="preserve"> -(D*(H84+nu*G83+H82+nu*I83+((-2*nu)-2)*H83))/delta^2</f>
        <v>1.5767601387524012E-5</v>
      </c>
      <c r="I183" s="7">
        <f t="shared" ca="1" si="105"/>
        <v>-96.060131782507355</v>
      </c>
      <c r="J183" s="7">
        <f t="shared" ca="1" si="105"/>
        <v>-192.77172782743935</v>
      </c>
      <c r="K183" s="7">
        <f t="shared" ca="1" si="105"/>
        <v>-290.79095970143817</v>
      </c>
      <c r="L183" s="7">
        <f t="shared" ca="1" si="105"/>
        <v>-390.77968951187984</v>
      </c>
      <c r="M183" s="7">
        <f t="shared" ca="1" si="105"/>
        <v>-493.39693728231777</v>
      </c>
      <c r="N183" s="7">
        <f t="shared" ca="1" si="105"/>
        <v>-599.27286177626343</v>
      </c>
      <c r="O183" s="7">
        <f t="shared" ca="1" si="105"/>
        <v>-708.95342136622696</v>
      </c>
      <c r="P183" s="7">
        <f t="shared" ca="1" si="105"/>
        <v>-822.80235777997609</v>
      </c>
      <c r="Q183" s="7">
        <f t="shared" ca="1" si="105"/>
        <v>-940.85831092581498</v>
      </c>
      <c r="R183" s="9">
        <f t="shared" ca="1" si="105"/>
        <v>-1062.6950830286089</v>
      </c>
      <c r="S183" s="9">
        <f t="shared" ca="1" si="105"/>
        <v>-1172.4551298781016</v>
      </c>
      <c r="T183" s="9">
        <f t="shared" ca="1" si="105"/>
        <v>-1254.3161873929598</v>
      </c>
      <c r="U183" s="9">
        <f t="shared" ca="1" si="105"/>
        <v>-1308.0021475047022</v>
      </c>
      <c r="V183" s="9">
        <f t="shared" ca="1" si="105"/>
        <v>-1333.9393459332782</v>
      </c>
      <c r="W183" s="9">
        <f t="shared" ca="1" si="105"/>
        <v>-1333.2622952362149</v>
      </c>
      <c r="X183" s="7">
        <f t="shared" ca="1" si="105"/>
        <v>-1322.6682736770399</v>
      </c>
      <c r="Y183" s="7">
        <f t="shared" ca="1" si="105"/>
        <v>-1318.9153861524326</v>
      </c>
      <c r="Z183" s="7">
        <f t="shared" ca="1" si="105"/>
        <v>-1323.3611161225106</v>
      </c>
      <c r="AA183" s="7">
        <f t="shared" ca="1" si="105"/>
        <v>-1336.9279301748043</v>
      </c>
      <c r="AB183" s="8">
        <f t="shared" ca="1" si="105"/>
        <v>-1360.2341249508306</v>
      </c>
    </row>
    <row r="184" spans="4:28" x14ac:dyDescent="0.25">
      <c r="D184" s="15"/>
      <c r="E184" s="2">
        <f t="shared" si="78"/>
        <v>1.3</v>
      </c>
      <c r="H184" s="8">
        <f t="shared" ref="H184:AB184" ca="1" si="106" xml:space="preserve"> -(D*(H85+nu*G84+H83+nu*I84+((-2*nu)-2)*H84))/delta^2</f>
        <v>1.5084848037025414E-5</v>
      </c>
      <c r="I184" s="7">
        <f t="shared" ca="1" si="106"/>
        <v>-93.038015224760159</v>
      </c>
      <c r="J184" s="7">
        <f t="shared" ca="1" si="106"/>
        <v>-186.65600330467439</v>
      </c>
      <c r="K184" s="7">
        <f t="shared" ca="1" si="106"/>
        <v>-281.44029970345196</v>
      </c>
      <c r="L184" s="7">
        <f t="shared" ca="1" si="106"/>
        <v>-377.98880414218775</v>
      </c>
      <c r="M184" s="7">
        <f t="shared" ca="1" si="106"/>
        <v>-476.9124865807762</v>
      </c>
      <c r="N184" s="7">
        <f t="shared" ca="1" si="106"/>
        <v>-578.82921861300736</v>
      </c>
      <c r="O184" s="7">
        <f t="shared" ca="1" si="106"/>
        <v>-684.34079941517939</v>
      </c>
      <c r="P184" s="7">
        <f t="shared" ca="1" si="106"/>
        <v>-793.97315420149801</v>
      </c>
      <c r="Q184" s="7">
        <f t="shared" ca="1" si="106"/>
        <v>-908.04242912338646</v>
      </c>
      <c r="R184" s="9">
        <f t="shared" ca="1" si="106"/>
        <v>-1026.414693280339</v>
      </c>
      <c r="S184" s="9">
        <f t="shared" ca="1" si="106"/>
        <v>-1133.3052741688432</v>
      </c>
      <c r="T184" s="9">
        <f t="shared" ca="1" si="106"/>
        <v>-1212.9063507229091</v>
      </c>
      <c r="U184" s="9">
        <f t="shared" ca="1" si="106"/>
        <v>-1265.0516338136981</v>
      </c>
      <c r="V184" s="9">
        <f t="shared" ca="1" si="106"/>
        <v>-1290.1446487539386</v>
      </c>
      <c r="W184" s="9">
        <f t="shared" ca="1" si="106"/>
        <v>-1289.1639791216915</v>
      </c>
      <c r="X184" s="7">
        <f t="shared" ca="1" si="106"/>
        <v>-1278.7450944587088</v>
      </c>
      <c r="Y184" s="7">
        <f t="shared" ca="1" si="106"/>
        <v>-1275.5244759961188</v>
      </c>
      <c r="Z184" s="7">
        <f t="shared" ca="1" si="106"/>
        <v>-1280.5180094015684</v>
      </c>
      <c r="AA184" s="7">
        <f t="shared" ca="1" si="106"/>
        <v>-1294.3220339749987</v>
      </c>
      <c r="AB184" s="8">
        <f t="shared" ca="1" si="106"/>
        <v>-1317.3432338409084</v>
      </c>
    </row>
    <row r="185" spans="4:28" x14ac:dyDescent="0.25">
      <c r="D185" s="15"/>
      <c r="E185" s="2">
        <f t="shared" si="78"/>
        <v>1.2</v>
      </c>
      <c r="H185" s="8">
        <f t="shared" ref="H185:AB185" ca="1" si="107" xml:space="preserve"> -(D*(H86+nu*G85+H84+nu*I85+((-2*nu)-2)*H85))/delta^2</f>
        <v>1.4309555115357146E-5</v>
      </c>
      <c r="I185" s="7">
        <f t="shared" ca="1" si="107"/>
        <v>-88.496103536785341</v>
      </c>
      <c r="J185" s="7">
        <f t="shared" ca="1" si="107"/>
        <v>-177.45626086499303</v>
      </c>
      <c r="K185" s="7">
        <f t="shared" ca="1" si="107"/>
        <v>-267.3502339128658</v>
      </c>
      <c r="L185" s="7">
        <f t="shared" ca="1" si="107"/>
        <v>-358.66072114967409</v>
      </c>
      <c r="M185" s="7">
        <f t="shared" ca="1" si="107"/>
        <v>-451.89354276959779</v>
      </c>
      <c r="N185" s="7">
        <f t="shared" ca="1" si="107"/>
        <v>-547.59346753127522</v>
      </c>
      <c r="O185" s="7">
        <f t="shared" ca="1" si="107"/>
        <v>-646.36701297542004</v>
      </c>
      <c r="P185" s="7">
        <f t="shared" ca="1" si="107"/>
        <v>-748.90262242212964</v>
      </c>
      <c r="Q185" s="7">
        <f t="shared" ca="1" si="107"/>
        <v>-855.93417102494516</v>
      </c>
      <c r="R185" s="9">
        <f t="shared" ca="1" si="107"/>
        <v>-967.9735500092313</v>
      </c>
      <c r="S185" s="9">
        <f t="shared" ca="1" si="107"/>
        <v>-1069.5794570384016</v>
      </c>
      <c r="T185" s="9">
        <f t="shared" ca="1" si="107"/>
        <v>-1145.22621241864</v>
      </c>
      <c r="U185" s="9">
        <f t="shared" ca="1" si="107"/>
        <v>-1195.1745172155811</v>
      </c>
      <c r="V185" s="9">
        <f t="shared" ca="1" si="107"/>
        <v>-1219.7900266393176</v>
      </c>
      <c r="W185" s="9">
        <f t="shared" ca="1" si="107"/>
        <v>-1219.5475721865148</v>
      </c>
      <c r="X185" s="7">
        <f t="shared" ca="1" si="107"/>
        <v>-1210.7209003388682</v>
      </c>
      <c r="Y185" s="7">
        <f t="shared" ca="1" si="107"/>
        <v>-1209.5197018927486</v>
      </c>
      <c r="Z185" s="7">
        <f t="shared" ca="1" si="107"/>
        <v>-1216.2271192350313</v>
      </c>
      <c r="AA185" s="7">
        <f t="shared" ca="1" si="107"/>
        <v>-1230.9332193673106</v>
      </c>
      <c r="AB185" s="8">
        <f t="shared" ca="1" si="107"/>
        <v>-1253.7932192957426</v>
      </c>
    </row>
    <row r="186" spans="4:28" x14ac:dyDescent="0.25">
      <c r="D186" s="15"/>
      <c r="E186" s="2">
        <f t="shared" si="78"/>
        <v>1.0999999999999999</v>
      </c>
      <c r="H186" s="8">
        <f t="shared" ref="H186:AB186" ca="1" si="108" xml:space="preserve"> -(D*(H87+nu*G86+H85+nu*I86+((-2*nu)-2)*H86))/delta^2</f>
        <v>1.3446547859726911E-5</v>
      </c>
      <c r="I186" s="7">
        <f t="shared" ca="1" si="108"/>
        <v>-82.646819293615437</v>
      </c>
      <c r="J186" s="7">
        <f t="shared" ca="1" si="108"/>
        <v>-165.60661651684924</v>
      </c>
      <c r="K186" s="7">
        <f t="shared" ca="1" si="108"/>
        <v>-249.19257610106882</v>
      </c>
      <c r="L186" s="7">
        <f t="shared" ca="1" si="108"/>
        <v>-333.72059664405356</v>
      </c>
      <c r="M186" s="7">
        <f t="shared" ca="1" si="108"/>
        <v>-419.51716194536414</v>
      </c>
      <c r="N186" s="7">
        <f t="shared" ca="1" si="108"/>
        <v>-506.93950971857174</v>
      </c>
      <c r="O186" s="7">
        <f t="shared" ca="1" si="108"/>
        <v>-596.42160099628472</v>
      </c>
      <c r="P186" s="7">
        <f t="shared" ca="1" si="108"/>
        <v>-688.57030707164597</v>
      </c>
      <c r="Q186" s="7">
        <f t="shared" ca="1" si="108"/>
        <v>-784.33878369054059</v>
      </c>
      <c r="R186" s="9">
        <f t="shared" ca="1" si="108"/>
        <v>-885.18436077509011</v>
      </c>
      <c r="S186" s="9">
        <f t="shared" ca="1" si="108"/>
        <v>-977.11826151688626</v>
      </c>
      <c r="T186" s="9">
        <f t="shared" ca="1" si="108"/>
        <v>-1046.0753252407426</v>
      </c>
      <c r="U186" s="9">
        <f t="shared" ca="1" si="108"/>
        <v>-1093.2333786998788</v>
      </c>
      <c r="V186" s="9">
        <f t="shared" ca="1" si="108"/>
        <v>-1118.9085210974706</v>
      </c>
      <c r="W186" s="9">
        <f t="shared" ca="1" si="108"/>
        <v>-1122.5577265589448</v>
      </c>
      <c r="X186" s="7">
        <f t="shared" ca="1" si="108"/>
        <v>-1118.8888013622588</v>
      </c>
      <c r="Y186" s="7">
        <f t="shared" ca="1" si="108"/>
        <v>-1122.5463261395323</v>
      </c>
      <c r="Z186" s="7">
        <f t="shared" ca="1" si="108"/>
        <v>-1132.7470978738615</v>
      </c>
      <c r="AA186" s="7">
        <f t="shared" ca="1" si="108"/>
        <v>-1149.2341240934156</v>
      </c>
      <c r="AB186" s="8">
        <f t="shared" ca="1" si="108"/>
        <v>-1172.1156338575688</v>
      </c>
    </row>
    <row r="187" spans="4:28" x14ac:dyDescent="0.25">
      <c r="D187" s="15"/>
      <c r="E187" s="2">
        <f t="shared" si="78"/>
        <v>0.99999999999999989</v>
      </c>
      <c r="H187" s="8">
        <f t="shared" ref="H187:AB187" ca="1" si="109" xml:space="preserve"> -(D*(H88+nu*G87+H86+nu*I87+((-2*nu)-2)*H87))/delta^2</f>
        <v>1.2501185382435605E-5</v>
      </c>
      <c r="I187" s="7">
        <f t="shared" ca="1" si="109"/>
        <v>-75.76707065771626</v>
      </c>
      <c r="J187" s="7">
        <f t="shared" ca="1" si="109"/>
        <v>-151.67857735351711</v>
      </c>
      <c r="K187" s="7">
        <f t="shared" ca="1" si="109"/>
        <v>-227.86952577988694</v>
      </c>
      <c r="L187" s="7">
        <f t="shared" ca="1" si="109"/>
        <v>-304.45651584611278</v>
      </c>
      <c r="M187" s="7">
        <f t="shared" ca="1" si="109"/>
        <v>-381.52938252850947</v>
      </c>
      <c r="N187" s="7">
        <f t="shared" ca="1" si="109"/>
        <v>-459.1445985072271</v>
      </c>
      <c r="O187" s="7">
        <f t="shared" ca="1" si="109"/>
        <v>-537.32212593072279</v>
      </c>
      <c r="P187" s="7">
        <f t="shared" ca="1" si="109"/>
        <v>-616.04808609305712</v>
      </c>
      <c r="Q187" s="7">
        <f t="shared" ca="1" si="109"/>
        <v>-695.28582130622601</v>
      </c>
      <c r="R187" s="9">
        <f t="shared" ca="1" si="109"/>
        <v>-774.99701075367557</v>
      </c>
      <c r="S187" s="9">
        <f t="shared" ca="1" si="109"/>
        <v>-847.67193236217759</v>
      </c>
      <c r="T187" s="9">
        <f t="shared" ca="1" si="109"/>
        <v>-905.86405693957181</v>
      </c>
      <c r="U187" s="9">
        <f t="shared" ca="1" si="109"/>
        <v>-949.72076166152488</v>
      </c>
      <c r="V187" s="9">
        <f t="shared" ca="1" si="109"/>
        <v>-979.50160578887949</v>
      </c>
      <c r="W187" s="9">
        <f t="shared" ca="1" si="109"/>
        <v>-995.5789294770758</v>
      </c>
      <c r="X187" s="7">
        <f t="shared" ca="1" si="109"/>
        <v>-1005.9208729818174</v>
      </c>
      <c r="Y187" s="7">
        <f t="shared" ca="1" si="109"/>
        <v>-1018.5623059136907</v>
      </c>
      <c r="Z187" s="7">
        <f t="shared" ca="1" si="109"/>
        <v>-1034.0726397885599</v>
      </c>
      <c r="AA187" s="7">
        <f t="shared" ca="1" si="109"/>
        <v>-1053.0294097953704</v>
      </c>
      <c r="AB187" s="8">
        <f t="shared" ca="1" si="109"/>
        <v>-1076.0033872400882</v>
      </c>
    </row>
    <row r="188" spans="4:28" x14ac:dyDescent="0.25">
      <c r="D188" s="15"/>
      <c r="E188" s="2">
        <f t="shared" si="78"/>
        <v>0.89999999999999991</v>
      </c>
      <c r="H188" s="8">
        <f t="shared" ref="H188:AB188" ca="1" si="110" xml:space="preserve"> -(D*(H89+nu*G88+H87+nu*I88+((-2*nu)-2)*H88))/delta^2</f>
        <v>1.147932116982161E-5</v>
      </c>
      <c r="I188" s="7">
        <f t="shared" ca="1" si="110"/>
        <v>-68.168378716553221</v>
      </c>
      <c r="J188" s="7">
        <f t="shared" ca="1" si="110"/>
        <v>-136.31907660245417</v>
      </c>
      <c r="K188" s="7">
        <f t="shared" ca="1" si="110"/>
        <v>-204.41581885006667</v>
      </c>
      <c r="L188" s="7">
        <f t="shared" ca="1" si="110"/>
        <v>-272.38355365727932</v>
      </c>
      <c r="M188" s="7">
        <f t="shared" ca="1" si="110"/>
        <v>-340.08372838771885</v>
      </c>
      <c r="N188" s="7">
        <f t="shared" ca="1" si="110"/>
        <v>-407.28016774721061</v>
      </c>
      <c r="O188" s="7">
        <f t="shared" ca="1" si="110"/>
        <v>-473.58530982864204</v>
      </c>
      <c r="P188" s="7">
        <f t="shared" ca="1" si="110"/>
        <v>-538.36729276015285</v>
      </c>
      <c r="Q188" s="7">
        <f t="shared" ca="1" si="110"/>
        <v>-600.59675065431156</v>
      </c>
      <c r="R188" s="7">
        <f t="shared" ca="1" si="110"/>
        <v>-658.73051401841622</v>
      </c>
      <c r="S188" s="7">
        <f t="shared" ca="1" si="110"/>
        <v>-711.72424468490794</v>
      </c>
      <c r="T188" s="7">
        <f t="shared" ca="1" si="110"/>
        <v>-758.73616890736162</v>
      </c>
      <c r="U188" s="7">
        <f t="shared" ca="1" si="110"/>
        <v>-798.87396642714441</v>
      </c>
      <c r="V188" s="7">
        <f t="shared" ca="1" si="110"/>
        <v>-832.33910527728062</v>
      </c>
      <c r="W188" s="7">
        <f t="shared" ca="1" si="110"/>
        <v>-860.4255266338788</v>
      </c>
      <c r="X188" s="7">
        <f t="shared" ca="1" si="110"/>
        <v>-884.37280706399838</v>
      </c>
      <c r="Y188" s="7">
        <f t="shared" ca="1" si="110"/>
        <v>-905.61729910080032</v>
      </c>
      <c r="Z188" s="7">
        <f t="shared" ca="1" si="110"/>
        <v>-926.08795338108564</v>
      </c>
      <c r="AA188" s="7">
        <f t="shared" ca="1" si="110"/>
        <v>-947.19739014421543</v>
      </c>
      <c r="AB188" s="8">
        <f t="shared" ca="1" si="110"/>
        <v>-969.97340979747958</v>
      </c>
    </row>
    <row r="189" spans="4:28" x14ac:dyDescent="0.25">
      <c r="D189" s="15"/>
      <c r="E189" s="2">
        <f t="shared" si="78"/>
        <v>0.79999999999999993</v>
      </c>
      <c r="H189" s="8">
        <f t="shared" ref="H189:AB189" ca="1" si="111" xml:space="preserve"> -(D*(H90+nu*G89+H88+nu*I89+((-2*nu)-2)*H89))/delta^2</f>
        <v>1.0387270096843136E-5</v>
      </c>
      <c r="I189" s="7">
        <f t="shared" ca="1" si="111"/>
        <v>-60.158740153891188</v>
      </c>
      <c r="J189" s="7">
        <f t="shared" ca="1" si="111"/>
        <v>-120.16681212204976</v>
      </c>
      <c r="K189" s="7">
        <f t="shared" ca="1" si="111"/>
        <v>-179.85100585260591</v>
      </c>
      <c r="L189" s="7">
        <f t="shared" ca="1" si="111"/>
        <v>-238.99167191602831</v>
      </c>
      <c r="M189" s="7">
        <f t="shared" ca="1" si="111"/>
        <v>-297.29552184959857</v>
      </c>
      <c r="N189" s="7">
        <f t="shared" ca="1" si="111"/>
        <v>-354.36382787029333</v>
      </c>
      <c r="O189" s="7">
        <f t="shared" ca="1" si="111"/>
        <v>-409.65745330493991</v>
      </c>
      <c r="P189" s="7">
        <f t="shared" ca="1" si="111"/>
        <v>-462.47351018453537</v>
      </c>
      <c r="Q189" s="7">
        <f t="shared" ca="1" si="111"/>
        <v>-511.99542002851297</v>
      </c>
      <c r="R189" s="7">
        <f t="shared" ca="1" si="111"/>
        <v>-557.59901143603281</v>
      </c>
      <c r="S189" s="7">
        <f t="shared" ca="1" si="111"/>
        <v>-599.65113682280798</v>
      </c>
      <c r="T189" s="7">
        <f t="shared" ca="1" si="111"/>
        <v>-638.72780370429246</v>
      </c>
      <c r="U189" s="7">
        <f t="shared" ca="1" si="111"/>
        <v>-674.82517629790937</v>
      </c>
      <c r="V189" s="7">
        <f t="shared" ca="1" si="111"/>
        <v>-708.09023606453184</v>
      </c>
      <c r="W189" s="7">
        <f t="shared" ca="1" si="111"/>
        <v>-738.81811999564229</v>
      </c>
      <c r="X189" s="7">
        <f t="shared" ca="1" si="111"/>
        <v>-766.71634967875991</v>
      </c>
      <c r="Y189" s="7">
        <f t="shared" ca="1" si="111"/>
        <v>-791.6895853220301</v>
      </c>
      <c r="Z189" s="7">
        <f t="shared" ca="1" si="111"/>
        <v>-814.61964016240597</v>
      </c>
      <c r="AA189" s="7">
        <f t="shared" ca="1" si="111"/>
        <v>-836.57120159619944</v>
      </c>
      <c r="AB189" s="8">
        <f t="shared" ca="1" si="111"/>
        <v>-858.50584597897671</v>
      </c>
    </row>
    <row r="190" spans="4:28" x14ac:dyDescent="0.25">
      <c r="D190" s="15"/>
      <c r="E190" s="2">
        <f t="shared" si="78"/>
        <v>0.7</v>
      </c>
      <c r="H190" s="8">
        <f t="shared" ref="H190:AB190" ca="1" si="112" xml:space="preserve"> -(D*(H91+nu*G90+H89+nu*I90+((-2*nu)-2)*H90))/delta^2</f>
        <v>9.2317701477046345E-6</v>
      </c>
      <c r="I190" s="7">
        <f t="shared" ca="1" si="112"/>
        <v>-52.006390468571915</v>
      </c>
      <c r="J190" s="7">
        <f t="shared" ca="1" si="112"/>
        <v>-103.77231417692371</v>
      </c>
      <c r="K190" s="7">
        <f t="shared" ca="1" si="112"/>
        <v>-155.03707147111876</v>
      </c>
      <c r="L190" s="7">
        <f t="shared" ca="1" si="112"/>
        <v>-205.50008243387427</v>
      </c>
      <c r="M190" s="7">
        <f t="shared" ca="1" si="112"/>
        <v>-254.8029058215497</v>
      </c>
      <c r="N190" s="7">
        <f t="shared" ca="1" si="112"/>
        <v>-302.51702233745777</v>
      </c>
      <c r="O190" s="7">
        <f t="shared" ca="1" si="112"/>
        <v>-348.14797765035621</v>
      </c>
      <c r="P190" s="7">
        <f t="shared" ca="1" si="112"/>
        <v>-391.18074832849243</v>
      </c>
      <c r="Q190" s="7">
        <f t="shared" ca="1" si="112"/>
        <v>-431.21377397954683</v>
      </c>
      <c r="R190" s="7">
        <f t="shared" ca="1" si="112"/>
        <v>-468.22939162526581</v>
      </c>
      <c r="S190" s="7">
        <f t="shared" ca="1" si="112"/>
        <v>-502.86835219814986</v>
      </c>
      <c r="T190" s="7">
        <f t="shared" ca="1" si="112"/>
        <v>-535.91420847025302</v>
      </c>
      <c r="U190" s="7">
        <f t="shared" ca="1" si="112"/>
        <v>-567.7397832030548</v>
      </c>
      <c r="V190" s="7">
        <f t="shared" ca="1" si="112"/>
        <v>-598.44506974900594</v>
      </c>
      <c r="W190" s="7">
        <f t="shared" ca="1" si="112"/>
        <v>-627.85400704022356</v>
      </c>
      <c r="X190" s="7">
        <f t="shared" ca="1" si="112"/>
        <v>-655.37046927009158</v>
      </c>
      <c r="Y190" s="7">
        <f t="shared" ca="1" si="112"/>
        <v>-680.52694672791847</v>
      </c>
      <c r="Z190" s="7">
        <f t="shared" ca="1" si="112"/>
        <v>-703.49832810286784</v>
      </c>
      <c r="AA190" s="7">
        <f t="shared" ca="1" si="112"/>
        <v>-724.83222610783798</v>
      </c>
      <c r="AB190" s="8">
        <f t="shared" ca="1" si="112"/>
        <v>-745.19743855920638</v>
      </c>
    </row>
    <row r="191" spans="4:28" x14ac:dyDescent="0.25">
      <c r="D191" s="15"/>
      <c r="E191" s="2">
        <f t="shared" si="78"/>
        <v>0.6</v>
      </c>
      <c r="H191" s="8">
        <f t="shared" ref="H191:AB191" ca="1" si="113" xml:space="preserve"> -(D*(H92+nu*G91+H90+nu*I91+((-2*nu)-2)*H91))/delta^2</f>
        <v>8.0199353810946021E-6</v>
      </c>
      <c r="I191" s="7">
        <f t="shared" ca="1" si="113"/>
        <v>-43.915642486233857</v>
      </c>
      <c r="J191" s="7">
        <f t="shared" ca="1" si="113"/>
        <v>-87.547288063850544</v>
      </c>
      <c r="K191" s="7">
        <f t="shared" ca="1" si="113"/>
        <v>-130.59702819703531</v>
      </c>
      <c r="L191" s="7">
        <f t="shared" ca="1" si="113"/>
        <v>-172.74165684584426</v>
      </c>
      <c r="M191" s="7">
        <f t="shared" ca="1" si="113"/>
        <v>-213.62712851215284</v>
      </c>
      <c r="N191" s="7">
        <f t="shared" ca="1" si="113"/>
        <v>-252.87512600590483</v>
      </c>
      <c r="O191" s="7">
        <f t="shared" ca="1" si="113"/>
        <v>-290.11239145596352</v>
      </c>
      <c r="P191" s="7">
        <f t="shared" ca="1" si="113"/>
        <v>-325.03854351982102</v>
      </c>
      <c r="Q191" s="7">
        <f t="shared" ca="1" si="113"/>
        <v>-357.54564410421523</v>
      </c>
      <c r="R191" s="7">
        <f t="shared" ca="1" si="113"/>
        <v>-387.866881252366</v>
      </c>
      <c r="S191" s="7">
        <f t="shared" ca="1" si="113"/>
        <v>-416.61944091697552</v>
      </c>
      <c r="T191" s="7">
        <f t="shared" ca="1" si="113"/>
        <v>-444.49142665443509</v>
      </c>
      <c r="U191" s="7">
        <f t="shared" ca="1" si="113"/>
        <v>-471.89163855648883</v>
      </c>
      <c r="V191" s="7">
        <f t="shared" ca="1" si="113"/>
        <v>-498.88269457326749</v>
      </c>
      <c r="W191" s="7">
        <f t="shared" ca="1" si="113"/>
        <v>-525.17793125517926</v>
      </c>
      <c r="X191" s="7">
        <f t="shared" ca="1" si="113"/>
        <v>-550.20251972957169</v>
      </c>
      <c r="Y191" s="7">
        <f t="shared" ca="1" si="113"/>
        <v>-573.43940282565904</v>
      </c>
      <c r="Z191" s="7">
        <f t="shared" ca="1" si="113"/>
        <v>-594.74115025255389</v>
      </c>
      <c r="AA191" s="7">
        <f t="shared" ca="1" si="113"/>
        <v>-614.29140753671822</v>
      </c>
      <c r="AB191" s="8">
        <f t="shared" ca="1" si="113"/>
        <v>-632.46949743543837</v>
      </c>
    </row>
    <row r="192" spans="4:28" x14ac:dyDescent="0.25">
      <c r="D192" s="15"/>
      <c r="E192" s="2">
        <f t="shared" si="78"/>
        <v>0.5</v>
      </c>
      <c r="H192" s="8">
        <f t="shared" ref="H192:AB192" ca="1" si="114" xml:space="preserve"> -(D*(H93+nu*G92+H91+nu*I92+((-2*nu)-2)*H92))/delta^2</f>
        <v>6.7592103207191646E-6</v>
      </c>
      <c r="I192" s="7">
        <f t="shared" ca="1" si="114"/>
        <v>-36.018427782905519</v>
      </c>
      <c r="J192" s="7">
        <f t="shared" ca="1" si="114"/>
        <v>-71.750225071277441</v>
      </c>
      <c r="K192" s="7">
        <f t="shared" ca="1" si="114"/>
        <v>-106.90203565734889</v>
      </c>
      <c r="L192" s="7">
        <f t="shared" ca="1" si="114"/>
        <v>-141.17053166775139</v>
      </c>
      <c r="M192" s="7">
        <f t="shared" ca="1" si="114"/>
        <v>-174.24657085872539</v>
      </c>
      <c r="N192" s="7">
        <f t="shared" ca="1" si="114"/>
        <v>-205.83225043898801</v>
      </c>
      <c r="O192" s="7">
        <f t="shared" ca="1" si="114"/>
        <v>-235.67735096961169</v>
      </c>
      <c r="P192" s="7">
        <f t="shared" ca="1" si="114"/>
        <v>-263.63993519182833</v>
      </c>
      <c r="Q192" s="7">
        <f t="shared" ca="1" si="114"/>
        <v>-289.76516171462146</v>
      </c>
      <c r="R192" s="7">
        <f t="shared" ca="1" si="114"/>
        <v>-314.34754412964355</v>
      </c>
      <c r="S192" s="7">
        <f t="shared" ca="1" si="114"/>
        <v>-337.89830945574448</v>
      </c>
      <c r="T192" s="7">
        <f t="shared" ca="1" si="114"/>
        <v>-360.94931840639106</v>
      </c>
      <c r="U192" s="7">
        <f t="shared" ca="1" si="114"/>
        <v>-383.83240864517677</v>
      </c>
      <c r="V192" s="7">
        <f t="shared" ca="1" si="114"/>
        <v>-406.58283126749802</v>
      </c>
      <c r="W192" s="7">
        <f t="shared" ca="1" si="114"/>
        <v>-428.93669785789837</v>
      </c>
      <c r="X192" s="7">
        <f t="shared" ca="1" si="114"/>
        <v>-450.42288826449709</v>
      </c>
      <c r="Y192" s="7">
        <f t="shared" ca="1" si="114"/>
        <v>-470.58046857297137</v>
      </c>
      <c r="Z192" s="7">
        <f t="shared" ca="1" si="114"/>
        <v>-489.15405801231839</v>
      </c>
      <c r="AA192" s="7">
        <f t="shared" ca="1" si="114"/>
        <v>-506.12935301420271</v>
      </c>
      <c r="AB192" s="8">
        <f t="shared" ca="1" si="114"/>
        <v>-521.67741866606582</v>
      </c>
    </row>
    <row r="193" spans="4:28" x14ac:dyDescent="0.25">
      <c r="D193" s="15"/>
      <c r="E193" s="2">
        <f t="shared" si="78"/>
        <v>0.4</v>
      </c>
      <c r="H193" s="8">
        <f t="shared" ref="H193:AB193" ca="1" si="115" xml:space="preserve"> -(D*(H94+nu*G93+H92+nu*I93+((-2*nu)-2)*H93))/delta^2</f>
        <v>5.4573267891999827E-6</v>
      </c>
      <c r="I193" s="7">
        <f t="shared" ca="1" si="115"/>
        <v>-28.378729303887233</v>
      </c>
      <c r="J193" s="7">
        <f t="shared" ca="1" si="115"/>
        <v>-56.499601962874358</v>
      </c>
      <c r="K193" s="7">
        <f t="shared" ca="1" si="115"/>
        <v>-84.103762620767739</v>
      </c>
      <c r="L193" s="7">
        <f t="shared" ca="1" si="115"/>
        <v>-110.93376810862736</v>
      </c>
      <c r="M193" s="7">
        <f t="shared" ca="1" si="115"/>
        <v>-136.74278126247933</v>
      </c>
      <c r="N193" s="7">
        <f t="shared" ca="1" si="115"/>
        <v>-161.31417191089383</v>
      </c>
      <c r="O193" s="7">
        <f t="shared" ca="1" si="115"/>
        <v>-184.4940048818747</v>
      </c>
      <c r="P193" s="7">
        <f t="shared" ca="1" si="115"/>
        <v>-206.23482201362364</v>
      </c>
      <c r="Q193" s="7">
        <f t="shared" ca="1" si="115"/>
        <v>-226.63949506781913</v>
      </c>
      <c r="R193" s="7">
        <f t="shared" ca="1" si="115"/>
        <v>-245.97834781660771</v>
      </c>
      <c r="S193" s="7">
        <f t="shared" ca="1" si="115"/>
        <v>-264.6415750084991</v>
      </c>
      <c r="T193" s="7">
        <f t="shared" ca="1" si="115"/>
        <v>-283.01321149265567</v>
      </c>
      <c r="U193" s="7">
        <f t="shared" ca="1" si="115"/>
        <v>-301.33230830777944</v>
      </c>
      <c r="V193" s="7">
        <f t="shared" ca="1" si="115"/>
        <v>-319.61587714103695</v>
      </c>
      <c r="W193" s="7">
        <f t="shared" ca="1" si="115"/>
        <v>-337.65702684904664</v>
      </c>
      <c r="X193" s="7">
        <f t="shared" ca="1" si="115"/>
        <v>-355.09867923027025</v>
      </c>
      <c r="Y193" s="7">
        <f t="shared" ca="1" si="115"/>
        <v>-371.57018918157763</v>
      </c>
      <c r="Z193" s="7">
        <f t="shared" ca="1" si="115"/>
        <v>-386.81289455580492</v>
      </c>
      <c r="AA193" s="7">
        <f t="shared" ca="1" si="115"/>
        <v>-400.72891918161037</v>
      </c>
      <c r="AB193" s="8">
        <f t="shared" ca="1" si="115"/>
        <v>-413.36522207735999</v>
      </c>
    </row>
    <row r="194" spans="4:28" x14ac:dyDescent="0.25">
      <c r="D194" s="15"/>
      <c r="E194" s="2">
        <f t="shared" si="78"/>
        <v>0.30000000000000004</v>
      </c>
      <c r="H194" s="8">
        <f t="shared" ref="H194:AB194" ca="1" si="116" xml:space="preserve"> -(D*(H95+nu*G94+H93+nu*I94+((-2*nu)-2)*H94))/delta^2</f>
        <v>4.1222509685150294E-6</v>
      </c>
      <c r="I194" s="7">
        <f t="shared" ca="1" si="116"/>
        <v>-21.004384270029142</v>
      </c>
      <c r="J194" s="7">
        <f t="shared" ca="1" si="116"/>
        <v>-41.801158238557086</v>
      </c>
      <c r="K194" s="7">
        <f t="shared" ca="1" si="116"/>
        <v>-62.184962050082568</v>
      </c>
      <c r="L194" s="7">
        <f t="shared" ca="1" si="116"/>
        <v>-81.957652706825769</v>
      </c>
      <c r="M194" s="7">
        <f t="shared" ca="1" si="116"/>
        <v>-100.93837174630447</v>
      </c>
      <c r="N194" s="7">
        <f t="shared" ca="1" si="116"/>
        <v>-118.98063848405647</v>
      </c>
      <c r="O194" s="7">
        <f t="shared" ca="1" si="116"/>
        <v>-135.99658865587361</v>
      </c>
      <c r="P194" s="7">
        <f t="shared" ca="1" si="116"/>
        <v>-151.98469614551507</v>
      </c>
      <c r="Q194" s="7">
        <f t="shared" ca="1" si="116"/>
        <v>-167.05107698021541</v>
      </c>
      <c r="R194" s="7">
        <f t="shared" ca="1" si="116"/>
        <v>-181.40774966000185</v>
      </c>
      <c r="S194" s="7">
        <f t="shared" ca="1" si="116"/>
        <v>-195.33116621123034</v>
      </c>
      <c r="T194" s="7">
        <f t="shared" ca="1" si="116"/>
        <v>-209.08195595450235</v>
      </c>
      <c r="U194" s="7">
        <f t="shared" ca="1" si="116"/>
        <v>-222.81937167775578</v>
      </c>
      <c r="V194" s="7">
        <f t="shared" ca="1" si="116"/>
        <v>-236.54969557749595</v>
      </c>
      <c r="W194" s="7">
        <f t="shared" ca="1" si="116"/>
        <v>-250.1250189545741</v>
      </c>
      <c r="X194" s="7">
        <f t="shared" ca="1" si="116"/>
        <v>-263.29267883435239</v>
      </c>
      <c r="Y194" s="7">
        <f t="shared" ca="1" si="116"/>
        <v>-275.77942865047385</v>
      </c>
      <c r="Z194" s="7">
        <f t="shared" ca="1" si="116"/>
        <v>-287.3712766676889</v>
      </c>
      <c r="AA194" s="7">
        <f t="shared" ca="1" si="116"/>
        <v>-297.9549306945438</v>
      </c>
      <c r="AB194" s="8">
        <f t="shared" ca="1" si="116"/>
        <v>-307.51769148371062</v>
      </c>
    </row>
    <row r="195" spans="4:28" x14ac:dyDescent="0.25">
      <c r="D195" s="15"/>
      <c r="E195" s="2">
        <f t="shared" si="78"/>
        <v>0.2</v>
      </c>
      <c r="H195" s="8">
        <f t="shared" ref="H195:AB195" ca="1" si="117" xml:space="preserve"> -(D*(H96+nu*G95+H94+nu*I95+((-2*nu)-2)*H95))/delta^2</f>
        <v>2.7621350417474047E-6</v>
      </c>
      <c r="I195" s="7">
        <f t="shared" ca="1" si="117"/>
        <v>-13.861237969630155</v>
      </c>
      <c r="J195" s="7">
        <f t="shared" ca="1" si="117"/>
        <v>-27.578289366719588</v>
      </c>
      <c r="K195" s="7">
        <f t="shared" ca="1" si="117"/>
        <v>-41.010011542118988</v>
      </c>
      <c r="L195" s="7">
        <f t="shared" ca="1" si="117"/>
        <v>-54.023147294109101</v>
      </c>
      <c r="M195" s="7">
        <f t="shared" ca="1" si="117"/>
        <v>-66.500386796497338</v>
      </c>
      <c r="N195" s="7">
        <f t="shared" ca="1" si="117"/>
        <v>-78.352474326210327</v>
      </c>
      <c r="O195" s="7">
        <f t="shared" ca="1" si="117"/>
        <v>-89.53365401033021</v>
      </c>
      <c r="P195" s="7">
        <f t="shared" ca="1" si="117"/>
        <v>-100.05718068280767</v>
      </c>
      <c r="Q195" s="7">
        <f t="shared" ca="1" si="117"/>
        <v>-110.00428216627537</v>
      </c>
      <c r="R195" s="7">
        <f t="shared" ca="1" si="117"/>
        <v>-119.51759974338691</v>
      </c>
      <c r="S195" s="7">
        <f t="shared" ca="1" si="117"/>
        <v>-128.77238677551438</v>
      </c>
      <c r="T195" s="7">
        <f t="shared" ca="1" si="117"/>
        <v>-137.92885483941504</v>
      </c>
      <c r="U195" s="7">
        <f t="shared" ca="1" si="117"/>
        <v>-147.08292872113975</v>
      </c>
      <c r="V195" s="7">
        <f t="shared" ca="1" si="117"/>
        <v>-156.23575889926019</v>
      </c>
      <c r="W195" s="7">
        <f t="shared" ca="1" si="117"/>
        <v>-165.2930164006585</v>
      </c>
      <c r="X195" s="7">
        <f t="shared" ca="1" si="117"/>
        <v>-174.09414479175331</v>
      </c>
      <c r="Y195" s="7">
        <f t="shared" ca="1" si="117"/>
        <v>-182.46081525397264</v>
      </c>
      <c r="Z195" s="7">
        <f t="shared" ca="1" si="117"/>
        <v>-190.24422243878007</v>
      </c>
      <c r="AA195" s="7">
        <f t="shared" ca="1" si="117"/>
        <v>-197.35331568656261</v>
      </c>
      <c r="AB195" s="8">
        <f t="shared" ca="1" si="117"/>
        <v>-203.75876297627764</v>
      </c>
    </row>
    <row r="196" spans="4:28" x14ac:dyDescent="0.25">
      <c r="D196" s="15"/>
      <c r="E196" s="2">
        <f t="shared" si="78"/>
        <v>0.1</v>
      </c>
      <c r="H196" s="8">
        <f t="shared" ref="H196:AB196" ca="1" si="118" xml:space="preserve"> -(D*(H97+nu*G96+H95+nu*I96+((-2*nu)-2)*H96))/delta^2</f>
        <v>1.3852632354576831E-6</v>
      </c>
      <c r="I196" s="7">
        <f t="shared" ca="1" si="118"/>
        <v>-6.8864960043132477</v>
      </c>
      <c r="J196" s="7">
        <f t="shared" ca="1" si="118"/>
        <v>-13.699377653988618</v>
      </c>
      <c r="K196" s="7">
        <f t="shared" ca="1" si="118"/>
        <v>-20.367031647974155</v>
      </c>
      <c r="L196" s="7">
        <f t="shared" ca="1" si="118"/>
        <v>-26.822722722519217</v>
      </c>
      <c r="M196" s="7">
        <f t="shared" ca="1" si="118"/>
        <v>-33.008989521637645</v>
      </c>
      <c r="N196" s="7">
        <f t="shared" ca="1" si="118"/>
        <v>-38.883824743251381</v>
      </c>
      <c r="O196" s="7">
        <f t="shared" ca="1" si="118"/>
        <v>-44.42807122852318</v>
      </c>
      <c r="P196" s="7">
        <f t="shared" ca="1" si="118"/>
        <v>-49.65222114899192</v>
      </c>
      <c r="Q196" s="7">
        <f t="shared" ca="1" si="118"/>
        <v>-54.599419883392997</v>
      </c>
      <c r="R196" s="7">
        <f t="shared" ca="1" si="118"/>
        <v>-59.340850115503741</v>
      </c>
      <c r="S196" s="7">
        <f t="shared" ca="1" si="118"/>
        <v>-63.961219967150264</v>
      </c>
      <c r="T196" s="7">
        <f t="shared" ca="1" si="118"/>
        <v>-68.536543672733046</v>
      </c>
      <c r="U196" s="7">
        <f t="shared" ca="1" si="118"/>
        <v>-73.111666033277274</v>
      </c>
      <c r="V196" s="7">
        <f t="shared" ca="1" si="118"/>
        <v>-77.686264301274704</v>
      </c>
      <c r="W196" s="7">
        <f t="shared" ca="1" si="118"/>
        <v>-82.214532433593234</v>
      </c>
      <c r="X196" s="7">
        <f t="shared" ca="1" si="118"/>
        <v>-86.618628486815837</v>
      </c>
      <c r="Y196" s="7">
        <f t="shared" ca="1" si="118"/>
        <v>-90.810793801941898</v>
      </c>
      <c r="Z196" s="7">
        <f t="shared" ca="1" si="118"/>
        <v>-94.715357556249359</v>
      </c>
      <c r="AA196" s="7">
        <f t="shared" ca="1" si="118"/>
        <v>-98.28277780838917</v>
      </c>
      <c r="AB196" s="8">
        <f t="shared" ca="1" si="118"/>
        <v>-101.49254528253746</v>
      </c>
    </row>
    <row r="197" spans="4:28" x14ac:dyDescent="0.25">
      <c r="D197" s="15"/>
      <c r="E197" s="2">
        <v>0</v>
      </c>
      <c r="H197" s="8">
        <f t="shared" ref="H197:AB197" si="119" xml:space="preserve"> -(D*(H98+nu*G97+H96+nu*I97+((-2*nu)-2)*H97))/delta^2</f>
        <v>0</v>
      </c>
      <c r="I197" s="8">
        <f t="shared" ca="1" si="119"/>
        <v>0</v>
      </c>
      <c r="J197" s="8">
        <f t="shared" ca="1" si="119"/>
        <v>0</v>
      </c>
      <c r="K197" s="8">
        <f t="shared" ca="1" si="119"/>
        <v>0</v>
      </c>
      <c r="L197" s="8">
        <f t="shared" ca="1" si="119"/>
        <v>0</v>
      </c>
      <c r="M197" s="8">
        <f t="shared" ca="1" si="119"/>
        <v>0</v>
      </c>
      <c r="N197" s="8">
        <f t="shared" ca="1" si="119"/>
        <v>0</v>
      </c>
      <c r="O197" s="8">
        <f t="shared" ca="1" si="119"/>
        <v>0</v>
      </c>
      <c r="P197" s="8">
        <f t="shared" ca="1" si="119"/>
        <v>0</v>
      </c>
      <c r="Q197" s="8">
        <f t="shared" ca="1" si="119"/>
        <v>0</v>
      </c>
      <c r="R197" s="8">
        <f t="shared" ca="1" si="119"/>
        <v>0</v>
      </c>
      <c r="S197" s="8">
        <f t="shared" ca="1" si="119"/>
        <v>0</v>
      </c>
      <c r="T197" s="8">
        <f t="shared" ca="1" si="119"/>
        <v>0</v>
      </c>
      <c r="U197" s="8">
        <f t="shared" ca="1" si="119"/>
        <v>0</v>
      </c>
      <c r="V197" s="8">
        <f t="shared" ca="1" si="119"/>
        <v>0</v>
      </c>
      <c r="W197" s="8">
        <f t="shared" ca="1" si="119"/>
        <v>0</v>
      </c>
      <c r="X197" s="8">
        <f t="shared" ca="1" si="119"/>
        <v>0</v>
      </c>
      <c r="Y197" s="8">
        <f t="shared" ca="1" si="119"/>
        <v>0</v>
      </c>
      <c r="Z197" s="8">
        <f t="shared" ca="1" si="119"/>
        <v>0</v>
      </c>
      <c r="AA197" s="8">
        <f t="shared" ca="1" si="119"/>
        <v>0</v>
      </c>
      <c r="AB197" s="8">
        <f t="shared" ca="1" si="119"/>
        <v>0</v>
      </c>
    </row>
    <row r="202" spans="4:28" ht="18.75" x14ac:dyDescent="0.3">
      <c r="E202" s="1" t="s">
        <v>20</v>
      </c>
    </row>
    <row r="203" spans="4:28" x14ac:dyDescent="0.25">
      <c r="H203" s="16" t="s">
        <v>17</v>
      </c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</row>
    <row r="204" spans="4:28" x14ac:dyDescent="0.25">
      <c r="H204" s="2">
        <v>0</v>
      </c>
      <c r="I204" s="2">
        <f t="shared" ref="I204:AB204" si="120">+H204+delta</f>
        <v>0.1</v>
      </c>
      <c r="J204" s="2">
        <f t="shared" si="120"/>
        <v>0.2</v>
      </c>
      <c r="K204" s="2">
        <f t="shared" si="120"/>
        <v>0.30000000000000004</v>
      </c>
      <c r="L204" s="2">
        <f t="shared" si="120"/>
        <v>0.4</v>
      </c>
      <c r="M204" s="2">
        <f t="shared" si="120"/>
        <v>0.5</v>
      </c>
      <c r="N204" s="2">
        <f t="shared" si="120"/>
        <v>0.6</v>
      </c>
      <c r="O204" s="2">
        <f t="shared" si="120"/>
        <v>0.7</v>
      </c>
      <c r="P204" s="2">
        <f t="shared" si="120"/>
        <v>0.79999999999999993</v>
      </c>
      <c r="Q204" s="2">
        <f t="shared" si="120"/>
        <v>0.89999999999999991</v>
      </c>
      <c r="R204" s="2">
        <f t="shared" si="120"/>
        <v>0.99999999999999989</v>
      </c>
      <c r="S204" s="2">
        <f t="shared" si="120"/>
        <v>1.0999999999999999</v>
      </c>
      <c r="T204" s="2">
        <f t="shared" si="120"/>
        <v>1.2</v>
      </c>
      <c r="U204" s="2">
        <f t="shared" si="120"/>
        <v>1.3</v>
      </c>
      <c r="V204" s="2">
        <f t="shared" si="120"/>
        <v>1.4000000000000001</v>
      </c>
      <c r="W204" s="2">
        <f t="shared" si="120"/>
        <v>1.5000000000000002</v>
      </c>
      <c r="X204" s="2">
        <f t="shared" si="120"/>
        <v>1.6000000000000003</v>
      </c>
      <c r="Y204" s="2">
        <f t="shared" si="120"/>
        <v>1.7000000000000004</v>
      </c>
      <c r="Z204" s="2">
        <f t="shared" si="120"/>
        <v>1.8000000000000005</v>
      </c>
      <c r="AA204" s="2">
        <f t="shared" si="120"/>
        <v>1.9000000000000006</v>
      </c>
      <c r="AB204" s="2">
        <f t="shared" si="120"/>
        <v>2.0000000000000004</v>
      </c>
    </row>
    <row r="207" spans="4:28" x14ac:dyDescent="0.25">
      <c r="D207" s="15" t="s">
        <v>16</v>
      </c>
      <c r="E207" s="2">
        <f t="shared" ref="E207:E246" si="121">E208+delta</f>
        <v>4.0000000000000018</v>
      </c>
      <c r="H207" s="13"/>
      <c r="I207" s="8">
        <f t="shared" ref="I207:AA207" ca="1" si="122" xml:space="preserve"> (D*(1-nu)*(H56-J56+J58-H58))/(4*delta^2)</f>
        <v>-503.40356438326995</v>
      </c>
      <c r="J207" s="8">
        <f t="shared" ca="1" si="122"/>
        <v>-501.64936236317789</v>
      </c>
      <c r="K207" s="8">
        <f t="shared" ca="1" si="122"/>
        <v>-498.76982993415407</v>
      </c>
      <c r="L207" s="8">
        <f t="shared" ca="1" si="122"/>
        <v>-494.83192786372939</v>
      </c>
      <c r="M207" s="8">
        <f t="shared" ca="1" si="122"/>
        <v>-489.9306851337555</v>
      </c>
      <c r="N207" s="8">
        <f t="shared" ca="1" si="122"/>
        <v>-484.190035163338</v>
      </c>
      <c r="O207" s="8">
        <f t="shared" ca="1" si="122"/>
        <v>-477.76331364892144</v>
      </c>
      <c r="P207" s="8">
        <f t="shared" ca="1" si="122"/>
        <v>-470.83307551846144</v>
      </c>
      <c r="Q207" s="8">
        <f t="shared" ca="1" si="122"/>
        <v>-463.60991163136021</v>
      </c>
      <c r="R207" s="8">
        <f t="shared" ca="1" si="122"/>
        <v>-456.33002106921066</v>
      </c>
      <c r="S207" s="8">
        <f t="shared" ca="1" si="122"/>
        <v>-449.25141809994801</v>
      </c>
      <c r="T207" s="8">
        <f t="shared" ca="1" si="122"/>
        <v>-442.64880968877935</v>
      </c>
      <c r="U207" s="8">
        <f t="shared" ca="1" si="122"/>
        <v>-436.80734525156737</v>
      </c>
      <c r="V207" s="8">
        <f t="shared" ca="1" si="122"/>
        <v>-432.01558447343285</v>
      </c>
      <c r="W207" s="8">
        <f t="shared" ca="1" si="122"/>
        <v>-428.55812149551502</v>
      </c>
      <c r="X207" s="8">
        <f t="shared" ca="1" si="122"/>
        <v>-426.70832368446776</v>
      </c>
      <c r="Y207" s="8">
        <f t="shared" ca="1" si="122"/>
        <v>-426.72158538843837</v>
      </c>
      <c r="Z207" s="8">
        <f t="shared" ca="1" si="122"/>
        <v>-428.82937482244535</v>
      </c>
      <c r="AA207" s="8">
        <f t="shared" ca="1" si="122"/>
        <v>-433.23419455794385</v>
      </c>
      <c r="AB207" s="13"/>
    </row>
    <row r="208" spans="4:28" x14ac:dyDescent="0.25">
      <c r="D208" s="15"/>
      <c r="E208" s="2">
        <f t="shared" si="121"/>
        <v>3.9000000000000021</v>
      </c>
      <c r="H208" s="8">
        <f t="shared" ref="H208:AB208" ca="1" si="123" xml:space="preserve"> (D*(1-nu)*(G57-I57+I59-G59))/(4*delta^2)</f>
        <v>-503.46729694880082</v>
      </c>
      <c r="I208" s="7">
        <f t="shared" ca="1" si="123"/>
        <v>-502.87722815261452</v>
      </c>
      <c r="J208" s="7">
        <f t="shared" ca="1" si="123"/>
        <v>-501.120060160793</v>
      </c>
      <c r="K208" s="7">
        <f t="shared" ca="1" si="123"/>
        <v>-498.23518546830854</v>
      </c>
      <c r="L208" s="7">
        <f t="shared" ca="1" si="123"/>
        <v>-494.28904027537453</v>
      </c>
      <c r="M208" s="7">
        <f t="shared" ca="1" si="123"/>
        <v>-489.37606031726784</v>
      </c>
      <c r="N208" s="7">
        <f t="shared" ca="1" si="123"/>
        <v>-483.61964203503652</v>
      </c>
      <c r="O208" s="7">
        <f t="shared" ca="1" si="123"/>
        <v>-477.17277708891413</v>
      </c>
      <c r="P208" s="7">
        <f t="shared" ca="1" si="123"/>
        <v>-470.21799958133226</v>
      </c>
      <c r="Q208" s="7">
        <f t="shared" ca="1" si="123"/>
        <v>-462.96630637723945</v>
      </c>
      <c r="R208" s="7">
        <f t="shared" ca="1" si="123"/>
        <v>-455.65478716899577</v>
      </c>
      <c r="S208" s="7">
        <f t="shared" ca="1" si="123"/>
        <v>-448.5428293943948</v>
      </c>
      <c r="T208" s="7">
        <f t="shared" ca="1" si="123"/>
        <v>-441.90692929588062</v>
      </c>
      <c r="U208" s="7">
        <f t="shared" ca="1" si="123"/>
        <v>-436.03431831853391</v>
      </c>
      <c r="V208" s="7">
        <f t="shared" ca="1" si="123"/>
        <v>-431.21577015151581</v>
      </c>
      <c r="W208" s="7">
        <f t="shared" ca="1" si="123"/>
        <v>-427.73805468824298</v>
      </c>
      <c r="X208" s="7">
        <f t="shared" ca="1" si="123"/>
        <v>-425.87652730483097</v>
      </c>
      <c r="Y208" s="7">
        <f t="shared" ca="1" si="123"/>
        <v>-425.88827886497643</v>
      </c>
      <c r="Z208" s="7">
        <f t="shared" ca="1" si="123"/>
        <v>-428.00613810121393</v>
      </c>
      <c r="AA208" s="7">
        <f t="shared" ca="1" si="123"/>
        <v>-432.43364561916184</v>
      </c>
      <c r="AB208" s="8">
        <f t="shared" ca="1" si="123"/>
        <v>-439.34094962059265</v>
      </c>
    </row>
    <row r="209" spans="4:28" x14ac:dyDescent="0.25">
      <c r="D209" s="15"/>
      <c r="E209" s="2">
        <f t="shared" si="121"/>
        <v>3.800000000000002</v>
      </c>
      <c r="H209" s="8">
        <f t="shared" ref="H209:AB209" ca="1" si="124" xml:space="preserve"> (D*(1-nu)*(G58-I58+I60-G60))/(4*delta^2)</f>
        <v>-501.88170754911471</v>
      </c>
      <c r="I209" s="7">
        <f t="shared" ca="1" si="124"/>
        <v>-501.28893811680155</v>
      </c>
      <c r="J209" s="7">
        <f t="shared" ca="1" si="124"/>
        <v>-499.52327452617158</v>
      </c>
      <c r="K209" s="7">
        <f t="shared" ca="1" si="124"/>
        <v>-496.62299388284436</v>
      </c>
      <c r="L209" s="7">
        <f t="shared" ca="1" si="124"/>
        <v>-492.65288788234363</v>
      </c>
      <c r="M209" s="7">
        <f t="shared" ca="1" si="124"/>
        <v>-487.70552148960815</v>
      </c>
      <c r="N209" s="7">
        <f t="shared" ca="1" si="124"/>
        <v>-481.90257811005682</v>
      </c>
      <c r="O209" s="7">
        <f t="shared" ca="1" si="124"/>
        <v>-475.3959164342877</v>
      </c>
      <c r="P209" s="7">
        <f t="shared" ca="1" si="124"/>
        <v>-468.36792291619582</v>
      </c>
      <c r="Q209" s="7">
        <f t="shared" ca="1" si="124"/>
        <v>-461.03075733779696</v>
      </c>
      <c r="R209" s="7">
        <f t="shared" ca="1" si="124"/>
        <v>-453.62416736789316</v>
      </c>
      <c r="S209" s="7">
        <f t="shared" ca="1" si="124"/>
        <v>-446.41169199649306</v>
      </c>
      <c r="T209" s="7">
        <f t="shared" ca="1" si="124"/>
        <v>-439.67526908251102</v>
      </c>
      <c r="U209" s="7">
        <f t="shared" ca="1" si="124"/>
        <v>-433.70847854503182</v>
      </c>
      <c r="V209" s="7">
        <f t="shared" ca="1" si="124"/>
        <v>-428.80884741257682</v>
      </c>
      <c r="W209" s="7">
        <f t="shared" ca="1" si="124"/>
        <v>-425.26977159473097</v>
      </c>
      <c r="X209" s="7">
        <f t="shared" ca="1" si="124"/>
        <v>-423.37263890316575</v>
      </c>
      <c r="Y209" s="7">
        <f t="shared" ca="1" si="124"/>
        <v>-423.37965849259484</v>
      </c>
      <c r="Z209" s="7">
        <f t="shared" ca="1" si="124"/>
        <v>-425.52773126392606</v>
      </c>
      <c r="AA209" s="7">
        <f t="shared" ca="1" si="124"/>
        <v>-430.02347563482175</v>
      </c>
      <c r="AB209" s="8">
        <f t="shared" ca="1" si="124"/>
        <v>-437.03930840292486</v>
      </c>
    </row>
    <row r="210" spans="4:28" x14ac:dyDescent="0.25">
      <c r="D210" s="15"/>
      <c r="E210" s="2">
        <f t="shared" si="121"/>
        <v>3.700000000000002</v>
      </c>
      <c r="H210" s="8">
        <f t="shared" ref="H210:AB210" ca="1" si="125" xml:space="preserve"> (D*(1-nu)*(G59-I59+I61-G61))/(4*delta^2)</f>
        <v>-499.20737550705434</v>
      </c>
      <c r="I210" s="7">
        <f t="shared" ca="1" si="125"/>
        <v>-498.6105776730185</v>
      </c>
      <c r="J210" s="7">
        <f t="shared" ca="1" si="125"/>
        <v>-496.83212184606231</v>
      </c>
      <c r="K210" s="7">
        <f t="shared" ca="1" si="125"/>
        <v>-493.90827661645824</v>
      </c>
      <c r="L210" s="7">
        <f t="shared" ca="1" si="125"/>
        <v>-489.90085477144231</v>
      </c>
      <c r="M210" s="7">
        <f t="shared" ca="1" si="125"/>
        <v>-484.89899583797984</v>
      </c>
      <c r="N210" s="7">
        <f t="shared" ca="1" si="125"/>
        <v>-479.02118133659252</v>
      </c>
      <c r="O210" s="7">
        <f t="shared" ca="1" si="125"/>
        <v>-472.41703682481653</v>
      </c>
      <c r="P210" s="7">
        <f t="shared" ca="1" si="125"/>
        <v>-465.26840920737021</v>
      </c>
      <c r="Q210" s="7">
        <f t="shared" ca="1" si="125"/>
        <v>-457.78920443583911</v>
      </c>
      <c r="R210" s="7">
        <f t="shared" ca="1" si="125"/>
        <v>-450.22354923886053</v>
      </c>
      <c r="S210" s="7">
        <f t="shared" ca="1" si="125"/>
        <v>-442.84200949066025</v>
      </c>
      <c r="T210" s="7">
        <f t="shared" ca="1" si="125"/>
        <v>-435.93584517158314</v>
      </c>
      <c r="U210" s="7">
        <f t="shared" ca="1" si="125"/>
        <v>-429.80956964133998</v>
      </c>
      <c r="V210" s="7">
        <f t="shared" ca="1" si="125"/>
        <v>-424.77234943324032</v>
      </c>
      <c r="W210" s="7">
        <f t="shared" ca="1" si="125"/>
        <v>-421.12896359652677</v>
      </c>
      <c r="X210" s="7">
        <f t="shared" ca="1" si="125"/>
        <v>-419.17108716014593</v>
      </c>
      <c r="Y210" s="7">
        <f t="shared" ca="1" si="125"/>
        <v>-419.16955376029767</v>
      </c>
      <c r="Z210" s="7">
        <f t="shared" ca="1" si="125"/>
        <v>-421.36801209910305</v>
      </c>
      <c r="AA210" s="7">
        <f t="shared" ca="1" si="125"/>
        <v>-425.97807995481736</v>
      </c>
      <c r="AB210" s="8">
        <f t="shared" ca="1" si="125"/>
        <v>-433.17579671895413</v>
      </c>
    </row>
    <row r="211" spans="4:28" x14ac:dyDescent="0.25">
      <c r="D211" s="15"/>
      <c r="E211" s="2">
        <f t="shared" si="121"/>
        <v>3.6000000000000019</v>
      </c>
      <c r="H211" s="8">
        <f t="shared" ref="H211:AB211" ca="1" si="126" xml:space="preserve"> (D*(1-nu)*(G60-I60+I62-G62))/(4*delta^2)</f>
        <v>-495.39571532065014</v>
      </c>
      <c r="I211" s="7">
        <f t="shared" ca="1" si="126"/>
        <v>-494.79430034491162</v>
      </c>
      <c r="J211" s="7">
        <f t="shared" ca="1" si="126"/>
        <v>-493.00089602141293</v>
      </c>
      <c r="K211" s="7">
        <f t="shared" ca="1" si="126"/>
        <v>-490.04864293025258</v>
      </c>
      <c r="L211" s="7">
        <f t="shared" ca="1" si="126"/>
        <v>-485.9946772451375</v>
      </c>
      <c r="M211" s="7">
        <f t="shared" ca="1" si="126"/>
        <v>-480.92268388990414</v>
      </c>
      <c r="N211" s="7">
        <f t="shared" ca="1" si="126"/>
        <v>-474.94591115634313</v>
      </c>
      <c r="O211" s="7">
        <f t="shared" ca="1" si="126"/>
        <v>-468.21010345878636</v>
      </c>
      <c r="P211" s="7">
        <f t="shared" ca="1" si="126"/>
        <v>-460.89570147563308</v>
      </c>
      <c r="Q211" s="7">
        <f t="shared" ca="1" si="126"/>
        <v>-453.21862167137226</v>
      </c>
      <c r="R211" s="7">
        <f t="shared" ca="1" si="126"/>
        <v>-445.42899654817535</v>
      </c>
      <c r="S211" s="7">
        <f t="shared" ca="1" si="126"/>
        <v>-437.80745775066549</v>
      </c>
      <c r="T211" s="7">
        <f t="shared" ca="1" si="126"/>
        <v>-430.65887124098333</v>
      </c>
      <c r="U211" s="7">
        <f t="shared" ca="1" si="126"/>
        <v>-424.30383894827253</v>
      </c>
      <c r="V211" s="7">
        <f t="shared" ca="1" si="126"/>
        <v>-419.06867583711181</v>
      </c>
      <c r="W211" s="7">
        <f t="shared" ca="1" si="126"/>
        <v>-415.27484948211651</v>
      </c>
      <c r="X211" s="7">
        <f t="shared" ca="1" si="126"/>
        <v>-413.22894519375944</v>
      </c>
      <c r="Y211" s="7">
        <f t="shared" ca="1" si="126"/>
        <v>-413.21406118938677</v>
      </c>
      <c r="Z211" s="7">
        <f t="shared" ca="1" si="126"/>
        <v>-415.48318087748629</v>
      </c>
      <c r="AA211" s="7">
        <f t="shared" ca="1" si="126"/>
        <v>-420.25460609935379</v>
      </c>
      <c r="AB211" s="8">
        <f t="shared" ca="1" si="126"/>
        <v>-427.70908647900069</v>
      </c>
    </row>
    <row r="212" spans="4:28" x14ac:dyDescent="0.25">
      <c r="D212" s="15"/>
      <c r="E212" s="2">
        <f t="shared" si="121"/>
        <v>3.5000000000000018</v>
      </c>
      <c r="H212" s="8">
        <f t="shared" ref="H212:AB212" ca="1" si="127" xml:space="preserve"> (D*(1-nu)*(G61-I61+I63-G63))/(4*delta^2)</f>
        <v>-490.37655786960761</v>
      </c>
      <c r="I212" s="7">
        <f t="shared" ca="1" si="127"/>
        <v>-489.77102915943976</v>
      </c>
      <c r="J212" s="7">
        <f t="shared" ca="1" si="127"/>
        <v>-487.96368943814088</v>
      </c>
      <c r="K212" s="7">
        <f t="shared" ca="1" si="127"/>
        <v>-484.98311361547792</v>
      </c>
      <c r="L212" s="7">
        <f t="shared" ca="1" si="127"/>
        <v>-480.87954643766648</v>
      </c>
      <c r="M212" s="7">
        <f t="shared" ca="1" si="127"/>
        <v>-475.72850191505137</v>
      </c>
      <c r="N212" s="7">
        <f t="shared" ca="1" si="127"/>
        <v>-469.63516176251676</v>
      </c>
      <c r="O212" s="7">
        <f t="shared" ca="1" si="127"/>
        <v>-462.73891226347229</v>
      </c>
      <c r="P212" s="7">
        <f t="shared" ca="1" si="127"/>
        <v>-455.21718338961693</v>
      </c>
      <c r="Q212" s="7">
        <f t="shared" ca="1" si="127"/>
        <v>-447.28765223231414</v>
      </c>
      <c r="R212" s="7">
        <f t="shared" ca="1" si="127"/>
        <v>-439.20790983924229</v>
      </c>
      <c r="S212" s="7">
        <f t="shared" ca="1" si="127"/>
        <v>-431.27192272553333</v>
      </c>
      <c r="T212" s="7">
        <f t="shared" ca="1" si="127"/>
        <v>-423.80306123569198</v>
      </c>
      <c r="U212" s="7">
        <f t="shared" ca="1" si="127"/>
        <v>-417.14405705332814</v>
      </c>
      <c r="V212" s="7">
        <f t="shared" ca="1" si="127"/>
        <v>-411.64485534209422</v>
      </c>
      <c r="W212" s="7">
        <f t="shared" ca="1" si="127"/>
        <v>-407.64976834308681</v>
      </c>
      <c r="X212" s="7">
        <f t="shared" ca="1" si="127"/>
        <v>-405.48546958476516</v>
      </c>
      <c r="Y212" s="7">
        <f t="shared" ca="1" si="127"/>
        <v>-405.45113258106147</v>
      </c>
      <c r="Z212" s="7">
        <f t="shared" ca="1" si="127"/>
        <v>-407.81147062869394</v>
      </c>
      <c r="AA212" s="7">
        <f t="shared" ca="1" si="127"/>
        <v>-412.79272547331897</v>
      </c>
      <c r="AB212" s="8">
        <f t="shared" ca="1" si="127"/>
        <v>-420.58097271465442</v>
      </c>
    </row>
    <row r="213" spans="4:28" x14ac:dyDescent="0.25">
      <c r="D213" s="15"/>
      <c r="E213" s="2">
        <f t="shared" si="121"/>
        <v>3.4000000000000017</v>
      </c>
      <c r="H213" s="8">
        <f t="shared" ref="H213:AB213" ca="1" si="128" xml:space="preserve"> (D*(1-nu)*(G62-I62+I64-G64))/(4*delta^2)</f>
        <v>-484.05597741715616</v>
      </c>
      <c r="I213" s="7">
        <f t="shared" ca="1" si="128"/>
        <v>-483.44833397388243</v>
      </c>
      <c r="J213" s="7">
        <f t="shared" ca="1" si="128"/>
        <v>-481.63242421650779</v>
      </c>
      <c r="K213" s="7">
        <f t="shared" ca="1" si="128"/>
        <v>-478.63041584240813</v>
      </c>
      <c r="L213" s="7">
        <f t="shared" ca="1" si="128"/>
        <v>-474.48277808501291</v>
      </c>
      <c r="M213" s="7">
        <f t="shared" ca="1" si="128"/>
        <v>-469.25322498646852</v>
      </c>
      <c r="N213" s="7">
        <f t="shared" ca="1" si="128"/>
        <v>-463.03494027770364</v>
      </c>
      <c r="O213" s="7">
        <f t="shared" ca="1" si="128"/>
        <v>-455.95730184950253</v>
      </c>
      <c r="P213" s="7">
        <f t="shared" ca="1" si="128"/>
        <v>-448.19204114942391</v>
      </c>
      <c r="Q213" s="7">
        <f t="shared" ca="1" si="128"/>
        <v>-439.95755351732322</v>
      </c>
      <c r="R213" s="7">
        <f t="shared" ca="1" si="128"/>
        <v>-431.52003080529687</v>
      </c>
      <c r="S213" s="7">
        <f t="shared" ca="1" si="128"/>
        <v>-423.19033334852162</v>
      </c>
      <c r="T213" s="7">
        <f t="shared" ca="1" si="128"/>
        <v>-415.31611288423846</v>
      </c>
      <c r="U213" s="7">
        <f t="shared" ca="1" si="128"/>
        <v>-408.26957538785359</v>
      </c>
      <c r="V213" s="7">
        <f t="shared" ca="1" si="128"/>
        <v>-402.43222018268051</v>
      </c>
      <c r="W213" s="7">
        <f t="shared" ca="1" si="128"/>
        <v>-398.17861170926534</v>
      </c>
      <c r="X213" s="7">
        <f t="shared" ca="1" si="128"/>
        <v>-395.86147545905601</v>
      </c>
      <c r="Y213" s="7">
        <f t="shared" ca="1" si="128"/>
        <v>-395.8000543227289</v>
      </c>
      <c r="Z213" s="7">
        <f t="shared" ca="1" si="128"/>
        <v>-398.27280737116098</v>
      </c>
      <c r="AA213" s="7">
        <f t="shared" ca="1" si="128"/>
        <v>-403.51443176219527</v>
      </c>
      <c r="AB213" s="8">
        <f t="shared" ca="1" si="128"/>
        <v>-411.71615005320564</v>
      </c>
    </row>
    <row r="214" spans="4:28" x14ac:dyDescent="0.25">
      <c r="D214" s="15"/>
      <c r="E214" s="2">
        <f t="shared" si="121"/>
        <v>3.3000000000000016</v>
      </c>
      <c r="H214" s="8">
        <f t="shared" ref="H214:AB214" ca="1" si="129" xml:space="preserve"> (D*(1-nu)*(G63-I63+I65-G65))/(4*delta^2)</f>
        <v>-476.31349945485113</v>
      </c>
      <c r="I214" s="7">
        <f t="shared" ca="1" si="129"/>
        <v>-475.70769063558612</v>
      </c>
      <c r="J214" s="7">
        <f t="shared" ca="1" si="129"/>
        <v>-473.89427332320804</v>
      </c>
      <c r="K214" s="7">
        <f t="shared" ca="1" si="129"/>
        <v>-470.88669653864469</v>
      </c>
      <c r="L214" s="7">
        <f t="shared" ca="1" si="129"/>
        <v>-466.71196756262685</v>
      </c>
      <c r="M214" s="7">
        <f t="shared" ca="1" si="129"/>
        <v>-461.41723401871263</v>
      </c>
      <c r="N214" s="7">
        <f t="shared" ca="1" si="129"/>
        <v>-455.07832135278176</v>
      </c>
      <c r="O214" s="7">
        <f t="shared" ca="1" si="129"/>
        <v>-447.80935086485852</v>
      </c>
      <c r="P214" s="7">
        <f t="shared" ca="1" si="129"/>
        <v>-439.7721192302609</v>
      </c>
      <c r="Q214" s="7">
        <f t="shared" ca="1" si="129"/>
        <v>-431.18349548906974</v>
      </c>
      <c r="R214" s="7">
        <f t="shared" ca="1" si="129"/>
        <v>-422.31886774722386</v>
      </c>
      <c r="S214" s="7">
        <f t="shared" ca="1" si="129"/>
        <v>-413.50987390622447</v>
      </c>
      <c r="T214" s="7">
        <f t="shared" ca="1" si="129"/>
        <v>-405.13543828328312</v>
      </c>
      <c r="U214" s="7">
        <f t="shared" ca="1" si="129"/>
        <v>-397.60645839793727</v>
      </c>
      <c r="V214" s="7">
        <f t="shared" ca="1" si="129"/>
        <v>-391.34600641054448</v>
      </c>
      <c r="W214" s="7">
        <f t="shared" ca="1" si="129"/>
        <v>-386.76810870607346</v>
      </c>
      <c r="X214" s="7">
        <f t="shared" ca="1" si="129"/>
        <v>-384.25858740790233</v>
      </c>
      <c r="Y214" s="7">
        <f t="shared" ca="1" si="129"/>
        <v>-384.16090148671992</v>
      </c>
      <c r="Z214" s="7">
        <f t="shared" ca="1" si="129"/>
        <v>-386.76856884057304</v>
      </c>
      <c r="AA214" s="7">
        <f t="shared" ca="1" si="129"/>
        <v>-392.32401954103801</v>
      </c>
      <c r="AB214" s="8">
        <f t="shared" ca="1" si="129"/>
        <v>-401.02214411818233</v>
      </c>
    </row>
    <row r="215" spans="4:28" x14ac:dyDescent="0.25">
      <c r="D215" s="15"/>
      <c r="E215" s="2">
        <f t="shared" si="121"/>
        <v>3.2000000000000015</v>
      </c>
      <c r="H215" s="8">
        <f t="shared" ref="H215:AB215" ca="1" si="130" xml:space="preserve"> (D*(1-nu)*(G64-I64+I66-G66))/(4*delta^2)</f>
        <v>-466.99875315672097</v>
      </c>
      <c r="I215" s="7">
        <f t="shared" ca="1" si="130"/>
        <v>-466.40117005561541</v>
      </c>
      <c r="J215" s="7">
        <f t="shared" ca="1" si="130"/>
        <v>-464.60847630168365</v>
      </c>
      <c r="K215" s="7">
        <f t="shared" ca="1" si="130"/>
        <v>-461.62259897737982</v>
      </c>
      <c r="L215" s="7">
        <f t="shared" ca="1" si="130"/>
        <v>-457.45251481732765</v>
      </c>
      <c r="M215" s="7">
        <f t="shared" ca="1" si="130"/>
        <v>-452.12271087125197</v>
      </c>
      <c r="N215" s="7">
        <f t="shared" ca="1" si="130"/>
        <v>-445.68451785533523</v>
      </c>
      <c r="O215" s="7">
        <f t="shared" ca="1" si="130"/>
        <v>-438.22943862885751</v>
      </c>
      <c r="P215" s="7">
        <f t="shared" ca="1" si="130"/>
        <v>-429.90291956085593</v>
      </c>
      <c r="Q215" s="7">
        <f t="shared" ca="1" si="130"/>
        <v>-420.91624299985642</v>
      </c>
      <c r="R215" s="7">
        <f t="shared" ca="1" si="130"/>
        <v>-411.55363373700527</v>
      </c>
      <c r="S215" s="7">
        <f t="shared" ca="1" si="130"/>
        <v>-402.1716885113911</v>
      </c>
      <c r="T215" s="7">
        <f t="shared" ca="1" si="130"/>
        <v>-393.1892359628182</v>
      </c>
      <c r="U215" s="7">
        <f t="shared" ca="1" si="130"/>
        <v>-385.06774799779816</v>
      </c>
      <c r="V215" s="7">
        <f t="shared" ca="1" si="130"/>
        <v>-378.28491219682223</v>
      </c>
      <c r="W215" s="7">
        <f t="shared" ca="1" si="130"/>
        <v>-373.30600485993875</v>
      </c>
      <c r="X215" s="7">
        <f t="shared" ca="1" si="130"/>
        <v>-370.55845407024066</v>
      </c>
      <c r="Y215" s="7">
        <f t="shared" ca="1" si="130"/>
        <v>-370.41412485082003</v>
      </c>
      <c r="Z215" s="7">
        <f t="shared" ca="1" si="130"/>
        <v>-373.18166563669405</v>
      </c>
      <c r="AA215" s="7">
        <f t="shared" ca="1" si="130"/>
        <v>-379.10849916196918</v>
      </c>
      <c r="AB215" s="8">
        <f t="shared" ca="1" si="130"/>
        <v>-388.38962772489265</v>
      </c>
    </row>
    <row r="216" spans="4:28" x14ac:dyDescent="0.25">
      <c r="D216" s="15"/>
      <c r="E216" s="2">
        <f t="shared" si="121"/>
        <v>3.1000000000000014</v>
      </c>
      <c r="H216" s="8">
        <f t="shared" ref="H216:AB216" ca="1" si="131" xml:space="preserve"> (D*(1-nu)*(G65-I65+I67-G67))/(4*delta^2)</f>
        <v>-455.92772984639981</v>
      </c>
      <c r="I216" s="7">
        <f t="shared" ca="1" si="131"/>
        <v>-455.34769308800156</v>
      </c>
      <c r="J216" s="7">
        <f t="shared" ca="1" si="131"/>
        <v>-453.60261364341721</v>
      </c>
      <c r="K216" s="7">
        <f t="shared" ca="1" si="131"/>
        <v>-450.6796626380434</v>
      </c>
      <c r="L216" s="7">
        <f t="shared" ca="1" si="131"/>
        <v>-446.56436702894666</v>
      </c>
      <c r="M216" s="7">
        <f t="shared" ca="1" si="131"/>
        <v>-441.25103972535379</v>
      </c>
      <c r="N216" s="7">
        <f t="shared" ca="1" si="131"/>
        <v>-434.75728941367561</v>
      </c>
      <c r="O216" s="7">
        <f t="shared" ca="1" si="131"/>
        <v>-427.14192558073609</v>
      </c>
      <c r="P216" s="7">
        <f t="shared" ca="1" si="131"/>
        <v>-418.52459956390692</v>
      </c>
      <c r="Q216" s="7">
        <f t="shared" ca="1" si="131"/>
        <v>-409.10420509532736</v>
      </c>
      <c r="R216" s="7">
        <f t="shared" ca="1" si="131"/>
        <v>-399.17178715699049</v>
      </c>
      <c r="S216" s="7">
        <f t="shared" ca="1" si="131"/>
        <v>-389.11321656860088</v>
      </c>
      <c r="T216" s="7">
        <f t="shared" ca="1" si="131"/>
        <v>-379.39803283178202</v>
      </c>
      <c r="U216" s="7">
        <f t="shared" ca="1" si="131"/>
        <v>-370.55394988219257</v>
      </c>
      <c r="V216" s="7">
        <f t="shared" ca="1" si="131"/>
        <v>-363.13068210958221</v>
      </c>
      <c r="W216" s="7">
        <f t="shared" ca="1" si="131"/>
        <v>-357.66023229897269</v>
      </c>
      <c r="X216" s="7">
        <f t="shared" ca="1" si="131"/>
        <v>-354.62210850355956</v>
      </c>
      <c r="Y216" s="7">
        <f t="shared" ca="1" si="131"/>
        <v>-354.42056263139267</v>
      </c>
      <c r="Z216" s="7">
        <f t="shared" ca="1" si="131"/>
        <v>-357.37732751383749</v>
      </c>
      <c r="AA216" s="7">
        <f t="shared" ca="1" si="131"/>
        <v>-363.7388645511395</v>
      </c>
      <c r="AB216" s="8">
        <f t="shared" ca="1" si="131"/>
        <v>-373.69348795530448</v>
      </c>
    </row>
    <row r="217" spans="4:28" x14ac:dyDescent="0.25">
      <c r="D217" s="15"/>
      <c r="E217" s="2">
        <f t="shared" si="121"/>
        <v>3.0000000000000013</v>
      </c>
      <c r="H217" s="8">
        <f t="shared" ref="H217:AB217" ca="1" si="132" xml:space="preserve"> (D*(1-nu)*(G66-I66+I68-G68))/(4*delta^2)</f>
        <v>-442.8789749697512</v>
      </c>
      <c r="I217" s="7">
        <f t="shared" ca="1" si="132"/>
        <v>-442.32914026475606</v>
      </c>
      <c r="J217" s="7">
        <f t="shared" ca="1" si="132"/>
        <v>-440.66851815290312</v>
      </c>
      <c r="K217" s="7">
        <f t="shared" ca="1" si="132"/>
        <v>-437.8660572591171</v>
      </c>
      <c r="L217" s="7">
        <f t="shared" ca="1" si="132"/>
        <v>-433.87779560360701</v>
      </c>
      <c r="M217" s="7">
        <f t="shared" ca="1" si="132"/>
        <v>-428.65905533104888</v>
      </c>
      <c r="N217" s="7">
        <f t="shared" ca="1" si="132"/>
        <v>-422.18222496766583</v>
      </c>
      <c r="O217" s="7">
        <f t="shared" ca="1" si="132"/>
        <v>-414.45999871777337</v>
      </c>
      <c r="P217" s="7">
        <f t="shared" ca="1" si="132"/>
        <v>-405.57264088249286</v>
      </c>
      <c r="Q217" s="7">
        <f t="shared" ca="1" si="132"/>
        <v>-395.69571880090115</v>
      </c>
      <c r="R217" s="7">
        <f t="shared" ca="1" si="132"/>
        <v>-385.12222419491718</v>
      </c>
      <c r="S217" s="7">
        <f t="shared" ca="1" si="132"/>
        <v>-374.27131108300608</v>
      </c>
      <c r="T217" s="7">
        <f t="shared" ca="1" si="132"/>
        <v>-363.676861907979</v>
      </c>
      <c r="U217" s="7">
        <f t="shared" ca="1" si="132"/>
        <v>-353.95388017403172</v>
      </c>
      <c r="V217" s="7">
        <f t="shared" ca="1" si="132"/>
        <v>-345.74785500949514</v>
      </c>
      <c r="W217" s="7">
        <f t="shared" ca="1" si="132"/>
        <v>-339.67828423702105</v>
      </c>
      <c r="X217" s="7">
        <f t="shared" ca="1" si="132"/>
        <v>-336.28983656407172</v>
      </c>
      <c r="Y217" s="7">
        <f t="shared" ca="1" si="132"/>
        <v>-336.02240694063124</v>
      </c>
      <c r="Z217" s="7">
        <f t="shared" ca="1" si="132"/>
        <v>-339.20524037581674</v>
      </c>
      <c r="AA217" s="7">
        <f t="shared" ca="1" si="132"/>
        <v>-346.07287788159999</v>
      </c>
      <c r="AB217" s="8">
        <f t="shared" ca="1" si="132"/>
        <v>-356.79521115415935</v>
      </c>
    </row>
    <row r="218" spans="4:28" x14ac:dyDescent="0.25">
      <c r="D218" s="15"/>
      <c r="E218" s="2">
        <f t="shared" si="121"/>
        <v>2.9000000000000012</v>
      </c>
      <c r="H218" s="8">
        <f t="shared" ref="H218:AB218" ca="1" si="133" xml:space="preserve"> (D*(1-nu)*(G67-I67+I69-G69))/(4*delta^2)</f>
        <v>-427.59030041235582</v>
      </c>
      <c r="I218" s="7">
        <f t="shared" ca="1" si="133"/>
        <v>-427.08685044408634</v>
      </c>
      <c r="J218" s="7">
        <f t="shared" ca="1" si="133"/>
        <v>-425.55820106263269</v>
      </c>
      <c r="K218" s="7">
        <f t="shared" ca="1" si="133"/>
        <v>-422.95177934203718</v>
      </c>
      <c r="L218" s="7">
        <f t="shared" ca="1" si="133"/>
        <v>-419.18802230709844</v>
      </c>
      <c r="M218" s="7">
        <f t="shared" ca="1" si="133"/>
        <v>-414.17363424083743</v>
      </c>
      <c r="N218" s="7">
        <f t="shared" ca="1" si="133"/>
        <v>-407.82215826003574</v>
      </c>
      <c r="O218" s="7">
        <f t="shared" ca="1" si="133"/>
        <v>-400.08287355367855</v>
      </c>
      <c r="P218" s="7">
        <f t="shared" ca="1" si="133"/>
        <v>-390.97752063282252</v>
      </c>
      <c r="Q218" s="7">
        <f t="shared" ca="1" si="133"/>
        <v>-380.64118918765155</v>
      </c>
      <c r="R218" s="7">
        <f t="shared" ca="1" si="133"/>
        <v>-369.35904825127517</v>
      </c>
      <c r="S218" s="7">
        <f t="shared" ca="1" si="133"/>
        <v>-357.58626258609883</v>
      </c>
      <c r="T218" s="7">
        <f t="shared" ca="1" si="133"/>
        <v>-345.93827282397319</v>
      </c>
      <c r="U218" s="7">
        <f t="shared" ca="1" si="133"/>
        <v>-335.14608794510497</v>
      </c>
      <c r="V218" s="7">
        <f t="shared" ca="1" si="133"/>
        <v>-325.98394879103006</v>
      </c>
      <c r="W218" s="7">
        <f t="shared" ca="1" si="133"/>
        <v>-319.18723293935841</v>
      </c>
      <c r="X218" s="7">
        <f t="shared" ca="1" si="133"/>
        <v>-315.3822536366614</v>
      </c>
      <c r="Y218" s="7">
        <f t="shared" ca="1" si="133"/>
        <v>-315.04607593289091</v>
      </c>
      <c r="Z218" s="7">
        <f t="shared" ca="1" si="133"/>
        <v>-318.50410959093608</v>
      </c>
      <c r="AA218" s="7">
        <f t="shared" ca="1" si="133"/>
        <v>-325.9604056485145</v>
      </c>
      <c r="AB218" s="8">
        <f t="shared" ca="1" si="133"/>
        <v>-337.54743662160382</v>
      </c>
    </row>
    <row r="219" spans="4:28" x14ac:dyDescent="0.25">
      <c r="D219" s="15"/>
      <c r="E219" s="2">
        <f t="shared" si="121"/>
        <v>2.8000000000000012</v>
      </c>
      <c r="H219" s="8">
        <f t="shared" ref="H219:AB219" ca="1" si="134" xml:space="preserve"> (D*(1-nu)*(G68-I68+I70-G70))/(4*delta^2)</f>
        <v>-409.75697779035619</v>
      </c>
      <c r="I219" s="7">
        <f t="shared" ca="1" si="134"/>
        <v>-409.31940562731927</v>
      </c>
      <c r="J219" s="7">
        <f t="shared" ca="1" si="134"/>
        <v>-407.98049444649882</v>
      </c>
      <c r="K219" s="7">
        <f t="shared" ca="1" si="134"/>
        <v>-405.66367574451147</v>
      </c>
      <c r="L219" s="7">
        <f t="shared" ca="1" si="134"/>
        <v>-402.24859135941466</v>
      </c>
      <c r="M219" s="7">
        <f t="shared" ca="1" si="134"/>
        <v>-397.58398685342286</v>
      </c>
      <c r="N219" s="7">
        <f t="shared" ca="1" si="134"/>
        <v>-391.50959214031133</v>
      </c>
      <c r="O219" s="7">
        <f t="shared" ca="1" si="134"/>
        <v>-383.88997550566154</v>
      </c>
      <c r="P219" s="7">
        <f t="shared" ca="1" si="134"/>
        <v>-374.66210724078132</v>
      </c>
      <c r="Q219" s="7">
        <f t="shared" ca="1" si="134"/>
        <v>-363.8942138196233</v>
      </c>
      <c r="R219" s="7">
        <f t="shared" ca="1" si="134"/>
        <v>-351.84553423066143</v>
      </c>
      <c r="S219" s="7">
        <f t="shared" ca="1" si="134"/>
        <v>-339.0067101885553</v>
      </c>
      <c r="T219" s="7">
        <f t="shared" ca="1" si="134"/>
        <v>-326.09636758692955</v>
      </c>
      <c r="U219" s="7">
        <f t="shared" ca="1" si="134"/>
        <v>-314.00119774649903</v>
      </c>
      <c r="V219" s="7">
        <f t="shared" ca="1" si="134"/>
        <v>-303.67062526140478</v>
      </c>
      <c r="W219" s="7">
        <f t="shared" ca="1" si="134"/>
        <v>-295.99527143098135</v>
      </c>
      <c r="X219" s="7">
        <f t="shared" ca="1" si="134"/>
        <v>-291.70391780325934</v>
      </c>
      <c r="Y219" s="7">
        <f t="shared" ca="1" si="134"/>
        <v>-291.30867910635828</v>
      </c>
      <c r="Z219" s="7">
        <f t="shared" ca="1" si="134"/>
        <v>-295.11041595076568</v>
      </c>
      <c r="AA219" s="7">
        <f t="shared" ca="1" si="134"/>
        <v>-303.25287102509463</v>
      </c>
      <c r="AB219" s="8">
        <f t="shared" ca="1" si="134"/>
        <v>-315.80190138982454</v>
      </c>
    </row>
    <row r="220" spans="4:28" x14ac:dyDescent="0.25">
      <c r="D220" s="15"/>
      <c r="E220" s="2">
        <f t="shared" si="121"/>
        <v>2.7000000000000011</v>
      </c>
      <c r="H220" s="8">
        <f t="shared" ref="H220:AB220" ca="1" si="135" xml:space="preserve"> (D*(1-nu)*(G69-I69+I71-G71))/(4*delta^2)</f>
        <v>-389.0328636752688</v>
      </c>
      <c r="I220" s="7">
        <f t="shared" ca="1" si="135"/>
        <v>-388.68309375477844</v>
      </c>
      <c r="J220" s="7">
        <f t="shared" ca="1" si="135"/>
        <v>-387.599603145998</v>
      </c>
      <c r="K220" s="7">
        <f t="shared" ca="1" si="135"/>
        <v>-385.68109728314067</v>
      </c>
      <c r="L220" s="7">
        <f t="shared" ca="1" si="135"/>
        <v>-382.76366122933973</v>
      </c>
      <c r="M220" s="7">
        <f t="shared" ca="1" si="135"/>
        <v>-378.63097633878135</v>
      </c>
      <c r="N220" s="7">
        <f t="shared" ca="1" si="135"/>
        <v>-373.03454895085974</v>
      </c>
      <c r="O220" s="7">
        <f t="shared" ca="1" si="135"/>
        <v>-365.72985469679099</v>
      </c>
      <c r="P220" s="7">
        <f t="shared" ca="1" si="135"/>
        <v>-356.53443502781982</v>
      </c>
      <c r="Q220" s="7">
        <f t="shared" ca="1" si="135"/>
        <v>-345.40985470055898</v>
      </c>
      <c r="R220" s="7">
        <f t="shared" ca="1" si="135"/>
        <v>-332.55720913033292</v>
      </c>
      <c r="S220" s="7">
        <f t="shared" ca="1" si="135"/>
        <v>-318.49499865926833</v>
      </c>
      <c r="T220" s="7">
        <f t="shared" ca="1" si="135"/>
        <v>-304.07193677848306</v>
      </c>
      <c r="U220" s="7">
        <f t="shared" ca="1" si="135"/>
        <v>-290.38575386356695</v>
      </c>
      <c r="V220" s="7">
        <f t="shared" ca="1" si="135"/>
        <v>-278.6269391491702</v>
      </c>
      <c r="W220" s="7">
        <f t="shared" ca="1" si="135"/>
        <v>-269.89652197566397</v>
      </c>
      <c r="X220" s="7">
        <f t="shared" ca="1" si="135"/>
        <v>-265.05196419958583</v>
      </c>
      <c r="Y220" s="7">
        <f t="shared" ca="1" si="135"/>
        <v>-264.63103402799135</v>
      </c>
      <c r="Z220" s="7">
        <f t="shared" ca="1" si="135"/>
        <v>-268.87420448631286</v>
      </c>
      <c r="AA220" s="7">
        <f t="shared" ca="1" si="135"/>
        <v>-277.81908600326642</v>
      </c>
      <c r="AB220" s="8">
        <f t="shared" ca="1" si="135"/>
        <v>-291.42241802330511</v>
      </c>
    </row>
    <row r="221" spans="4:28" x14ac:dyDescent="0.25">
      <c r="D221" s="15"/>
      <c r="E221" s="2">
        <f t="shared" si="121"/>
        <v>2.600000000000001</v>
      </c>
      <c r="H221" s="8">
        <f t="shared" ref="H221:AB221" ca="1" si="136" xml:space="preserve"> (D*(1-nu)*(G70-I70+I72-G72))/(4*delta^2)</f>
        <v>-365.03646861052931</v>
      </c>
      <c r="I221" s="7">
        <f t="shared" ca="1" si="136"/>
        <v>-364.7970402421056</v>
      </c>
      <c r="J221" s="7">
        <f t="shared" ca="1" si="136"/>
        <v>-364.03744826159476</v>
      </c>
      <c r="K221" s="7">
        <f t="shared" ca="1" si="136"/>
        <v>-362.63374093167079</v>
      </c>
      <c r="L221" s="7">
        <f t="shared" ca="1" si="136"/>
        <v>-360.3800670224785</v>
      </c>
      <c r="M221" s="7">
        <f t="shared" ca="1" si="136"/>
        <v>-356.9931093827343</v>
      </c>
      <c r="N221" s="7">
        <f t="shared" ca="1" si="136"/>
        <v>-352.12589459365256</v>
      </c>
      <c r="O221" s="7">
        <f t="shared" ca="1" si="136"/>
        <v>-345.40036806320825</v>
      </c>
      <c r="P221" s="7">
        <f t="shared" ca="1" si="136"/>
        <v>-336.47168599571478</v>
      </c>
      <c r="Q221" s="7">
        <f t="shared" ca="1" si="136"/>
        <v>-325.13635855693173</v>
      </c>
      <c r="R221" s="7">
        <f t="shared" ca="1" si="136"/>
        <v>-311.48144005583248</v>
      </c>
      <c r="S221" s="7">
        <f t="shared" ca="1" si="136"/>
        <v>-296.03142712669074</v>
      </c>
      <c r="T221" s="7">
        <f t="shared" ca="1" si="136"/>
        <v>-279.79834420724086</v>
      </c>
      <c r="U221" s="7">
        <f t="shared" ca="1" si="136"/>
        <v>-264.16864870310121</v>
      </c>
      <c r="V221" s="7">
        <f t="shared" ca="1" si="136"/>
        <v>-250.66700116983282</v>
      </c>
      <c r="W221" s="7">
        <f t="shared" ca="1" si="136"/>
        <v>-240.68256585741898</v>
      </c>
      <c r="X221" s="7">
        <f t="shared" ca="1" si="136"/>
        <v>-235.23436657106859</v>
      </c>
      <c r="Y221" s="7">
        <f t="shared" ca="1" si="136"/>
        <v>-234.86233733181115</v>
      </c>
      <c r="Z221" s="7">
        <f t="shared" ca="1" si="136"/>
        <v>-239.68631448554532</v>
      </c>
      <c r="AA221" s="7">
        <f t="shared" ca="1" si="136"/>
        <v>-249.57049276200371</v>
      </c>
      <c r="AB221" s="8">
        <f t="shared" ca="1" si="136"/>
        <v>-264.30483662201181</v>
      </c>
    </row>
    <row r="222" spans="4:28" x14ac:dyDescent="0.25">
      <c r="D222" s="15"/>
      <c r="E222" s="2">
        <f t="shared" si="121"/>
        <v>2.5000000000000009</v>
      </c>
      <c r="H222" s="8">
        <f t="shared" ref="H222:AB222" ca="1" si="137" xml:space="preserve"> (D*(1-nu)*(G71-I71+I73-G73))/(4*delta^2)</f>
        <v>-337.36447422575139</v>
      </c>
      <c r="I222" s="7">
        <f t="shared" ca="1" si="137"/>
        <v>-337.25558862558512</v>
      </c>
      <c r="J222" s="7">
        <f t="shared" ca="1" si="137"/>
        <v>-336.88253963133099</v>
      </c>
      <c r="K222" s="7">
        <f t="shared" ca="1" si="137"/>
        <v>-336.10443486783055</v>
      </c>
      <c r="L222" s="7">
        <f t="shared" ca="1" si="137"/>
        <v>-334.68141506622055</v>
      </c>
      <c r="M222" s="7">
        <f t="shared" ca="1" si="137"/>
        <v>-332.27003209222335</v>
      </c>
      <c r="N222" s="7">
        <f t="shared" ca="1" si="137"/>
        <v>-328.42441315670595</v>
      </c>
      <c r="O222" s="7">
        <f t="shared" ca="1" si="137"/>
        <v>-322.61524622297929</v>
      </c>
      <c r="P222" s="7">
        <f t="shared" ca="1" si="137"/>
        <v>-314.28819439579621</v>
      </c>
      <c r="Q222" s="7">
        <f t="shared" ca="1" si="137"/>
        <v>-302.99304533705032</v>
      </c>
      <c r="R222" s="7">
        <f t="shared" ca="1" si="137"/>
        <v>-288.60758394958827</v>
      </c>
      <c r="S222" s="7">
        <f t="shared" ca="1" si="137"/>
        <v>-271.61303427328812</v>
      </c>
      <c r="T222" s="7">
        <f t="shared" ca="1" si="137"/>
        <v>-253.22657543655959</v>
      </c>
      <c r="U222" s="7">
        <f t="shared" ca="1" si="137"/>
        <v>-235.23240190902604</v>
      </c>
      <c r="V222" s="7">
        <f t="shared" ca="1" si="137"/>
        <v>-219.6172031705656</v>
      </c>
      <c r="W222" s="7">
        <f t="shared" ca="1" si="137"/>
        <v>-208.16762835865723</v>
      </c>
      <c r="X222" s="7">
        <f t="shared" ca="1" si="137"/>
        <v>-202.10631942893019</v>
      </c>
      <c r="Y222" s="7">
        <f t="shared" ca="1" si="137"/>
        <v>-201.92507183430081</v>
      </c>
      <c r="Z222" s="7">
        <f t="shared" ca="1" si="137"/>
        <v>-207.5234463859891</v>
      </c>
      <c r="AA222" s="7">
        <f t="shared" ca="1" si="137"/>
        <v>-218.4992588126145</v>
      </c>
      <c r="AB222" s="8">
        <f t="shared" ca="1" si="137"/>
        <v>-234.40571564733733</v>
      </c>
    </row>
    <row r="223" spans="4:28" x14ac:dyDescent="0.25">
      <c r="D223" s="15"/>
      <c r="E223" s="2">
        <f t="shared" si="121"/>
        <v>2.4000000000000008</v>
      </c>
      <c r="H223" s="8">
        <f t="shared" ref="H223:AB223" ca="1" si="138" xml:space="preserve"> (D*(1-nu)*(G72-I72+I74-G74))/(4*delta^2)</f>
        <v>-305.61534216117144</v>
      </c>
      <c r="I223" s="7">
        <f t="shared" ca="1" si="138"/>
        <v>-305.65082538966186</v>
      </c>
      <c r="J223" s="7">
        <f t="shared" ca="1" si="138"/>
        <v>-305.70895311907185</v>
      </c>
      <c r="K223" s="7">
        <f t="shared" ca="1" si="138"/>
        <v>-305.64128329587385</v>
      </c>
      <c r="L223" s="7">
        <f t="shared" ca="1" si="138"/>
        <v>-305.18904311651249</v>
      </c>
      <c r="M223" s="7">
        <f t="shared" ca="1" si="138"/>
        <v>-303.96738625207195</v>
      </c>
      <c r="N223" s="7">
        <f t="shared" ca="1" si="138"/>
        <v>-301.44804701313996</v>
      </c>
      <c r="O223" s="7">
        <f t="shared" ca="1" si="138"/>
        <v>-296.95145076369931</v>
      </c>
      <c r="P223" s="7">
        <f t="shared" ca="1" si="138"/>
        <v>-289.67567124305793</v>
      </c>
      <c r="Q223" s="7">
        <f t="shared" ca="1" si="138"/>
        <v>-278.82017032026062</v>
      </c>
      <c r="R223" s="7">
        <f t="shared" ca="1" si="138"/>
        <v>-263.89438552352897</v>
      </c>
      <c r="S223" s="7">
        <f t="shared" ca="1" si="138"/>
        <v>-245.23565402834686</v>
      </c>
      <c r="T223" s="7">
        <f t="shared" ca="1" si="138"/>
        <v>-224.32462113476279</v>
      </c>
      <c r="U223" s="7">
        <f t="shared" ca="1" si="138"/>
        <v>-203.49452255607167</v>
      </c>
      <c r="V223" s="7">
        <f t="shared" ca="1" si="138"/>
        <v>-185.35487064912982</v>
      </c>
      <c r="W223" s="7">
        <f t="shared" ca="1" si="138"/>
        <v>-172.24170533220024</v>
      </c>
      <c r="X223" s="7">
        <f t="shared" ca="1" si="138"/>
        <v>-165.64040442791205</v>
      </c>
      <c r="Y223" s="7">
        <f t="shared" ca="1" si="138"/>
        <v>-165.89392898527601</v>
      </c>
      <c r="Z223" s="7">
        <f t="shared" ca="1" si="138"/>
        <v>-172.51902425858498</v>
      </c>
      <c r="AA223" s="7">
        <f t="shared" ca="1" si="138"/>
        <v>-184.73152127666296</v>
      </c>
      <c r="AB223" s="8">
        <f t="shared" ca="1" si="138"/>
        <v>-201.77971615177094</v>
      </c>
    </row>
    <row r="224" spans="4:28" x14ac:dyDescent="0.25">
      <c r="D224" s="15"/>
      <c r="E224" s="2">
        <f t="shared" si="121"/>
        <v>2.3000000000000007</v>
      </c>
      <c r="H224" s="8">
        <f t="shared" ref="H224:AB224" ca="1" si="139" xml:space="preserve"> (D*(1-nu)*(G73-I73+I75-G75))/(4*delta^2)</f>
        <v>-269.42498999849482</v>
      </c>
      <c r="I224" s="7">
        <f t="shared" ca="1" si="139"/>
        <v>-269.60770878481429</v>
      </c>
      <c r="J224" s="7">
        <f t="shared" ca="1" si="139"/>
        <v>-270.10932242205803</v>
      </c>
      <c r="K224" s="7">
        <f t="shared" ca="1" si="139"/>
        <v>-270.78538128309538</v>
      </c>
      <c r="L224" s="7">
        <f t="shared" ca="1" si="139"/>
        <v>-271.37865008935592</v>
      </c>
      <c r="M224" s="7">
        <f t="shared" ca="1" si="139"/>
        <v>-271.49317655914234</v>
      </c>
      <c r="N224" s="7">
        <f t="shared" ca="1" si="139"/>
        <v>-270.55669748013219</v>
      </c>
      <c r="O224" s="7">
        <f t="shared" ca="1" si="139"/>
        <v>-267.7749454533481</v>
      </c>
      <c r="P224" s="7">
        <f t="shared" ca="1" si="139"/>
        <v>-262.09816375200262</v>
      </c>
      <c r="Q224" s="7">
        <f t="shared" ca="1" si="139"/>
        <v>-252.2730391512037</v>
      </c>
      <c r="R224" s="7">
        <f t="shared" ca="1" si="139"/>
        <v>-237.18435256291227</v>
      </c>
      <c r="S224" s="7">
        <f t="shared" ca="1" si="139"/>
        <v>-216.8312002880003</v>
      </c>
      <c r="T224" s="7">
        <f t="shared" ca="1" si="139"/>
        <v>-193.05846399855437</v>
      </c>
      <c r="U224" s="7">
        <f t="shared" ca="1" si="139"/>
        <v>-168.95145925904637</v>
      </c>
      <c r="V224" s="7">
        <f t="shared" ca="1" si="139"/>
        <v>-147.89642372639776</v>
      </c>
      <c r="W224" s="7">
        <f t="shared" ca="1" si="139"/>
        <v>-132.98249112760087</v>
      </c>
      <c r="X224" s="7">
        <f t="shared" ca="1" si="139"/>
        <v>-126.05968146162982</v>
      </c>
      <c r="Y224" s="7">
        <f t="shared" ca="1" si="139"/>
        <v>-127.12866882476288</v>
      </c>
      <c r="Z224" s="7">
        <f t="shared" ca="1" si="139"/>
        <v>-135.06561606040245</v>
      </c>
      <c r="AA224" s="7">
        <f t="shared" ca="1" si="139"/>
        <v>-148.59241245599296</v>
      </c>
      <c r="AB224" s="8">
        <f t="shared" ca="1" si="139"/>
        <v>-166.62078833061463</v>
      </c>
    </row>
    <row r="225" spans="4:28" x14ac:dyDescent="0.25">
      <c r="D225" s="15"/>
      <c r="E225" s="2">
        <f t="shared" si="121"/>
        <v>2.2000000000000006</v>
      </c>
      <c r="H225" s="8">
        <f t="shared" ref="H225:AB225" ca="1" si="140" xml:space="preserve"> (D*(1-nu)*(G74-I74+I76-G76))/(4*delta^2)</f>
        <v>-228.51449292733511</v>
      </c>
      <c r="I225" s="7">
        <f t="shared" ca="1" si="140"/>
        <v>-228.83242183552164</v>
      </c>
      <c r="J225" s="7">
        <f t="shared" ca="1" si="140"/>
        <v>-229.74463348027592</v>
      </c>
      <c r="K225" s="7">
        <f t="shared" ca="1" si="140"/>
        <v>-231.12101684844623</v>
      </c>
      <c r="L225" s="7">
        <f t="shared" ca="1" si="140"/>
        <v>-232.72588927090359</v>
      </c>
      <c r="M225" s="7">
        <f t="shared" ca="1" si="140"/>
        <v>-234.18646099088525</v>
      </c>
      <c r="N225" s="7">
        <f t="shared" ca="1" si="140"/>
        <v>-234.94122224944965</v>
      </c>
      <c r="O225" s="7">
        <f t="shared" ca="1" si="140"/>
        <v>-234.15939297710676</v>
      </c>
      <c r="P225" s="7">
        <f t="shared" ca="1" si="140"/>
        <v>-230.62372922632329</v>
      </c>
      <c r="Q225" s="7">
        <f t="shared" ca="1" si="140"/>
        <v>-222.60566215794984</v>
      </c>
      <c r="R225" s="7">
        <f t="shared" ca="1" si="140"/>
        <v>-207.99199717423843</v>
      </c>
      <c r="S225" s="7">
        <f t="shared" ca="1" si="140"/>
        <v>-186.09276866605231</v>
      </c>
      <c r="T225" s="7">
        <f t="shared" ca="1" si="140"/>
        <v>-159.32550506823173</v>
      </c>
      <c r="U225" s="7">
        <f t="shared" ca="1" si="140"/>
        <v>-131.77302326320537</v>
      </c>
      <c r="V225" s="7">
        <f t="shared" ca="1" si="140"/>
        <v>-107.60142877854891</v>
      </c>
      <c r="W225" s="7">
        <f t="shared" ca="1" si="140"/>
        <v>-90.898768397690588</v>
      </c>
      <c r="X225" s="7">
        <f t="shared" ca="1" si="140"/>
        <v>-84.089002791451605</v>
      </c>
      <c r="Y225" s="7">
        <f t="shared" ca="1" si="140"/>
        <v>-86.481075792399835</v>
      </c>
      <c r="Z225" s="7">
        <f t="shared" ca="1" si="140"/>
        <v>-95.93834875191159</v>
      </c>
      <c r="AA225" s="7">
        <f t="shared" ca="1" si="140"/>
        <v>-110.66341381869297</v>
      </c>
      <c r="AB225" s="8">
        <f t="shared" ca="1" si="140"/>
        <v>-129.29175011660288</v>
      </c>
    </row>
    <row r="226" spans="4:28" x14ac:dyDescent="0.25">
      <c r="D226" s="15"/>
      <c r="E226" s="2">
        <f t="shared" si="121"/>
        <v>2.1000000000000005</v>
      </c>
      <c r="H226" s="8">
        <f t="shared" ref="H226:AB226" ca="1" si="141" xml:space="preserve"> (D*(1-nu)*(G75-I75+I77-G77))/(4*delta^2)</f>
        <v>-182.74609887036925</v>
      </c>
      <c r="I226" s="7">
        <f t="shared" ca="1" si="141"/>
        <v>-183.17077169731775</v>
      </c>
      <c r="J226" s="7">
        <f t="shared" ca="1" si="141"/>
        <v>-184.40968350686029</v>
      </c>
      <c r="K226" s="7">
        <f t="shared" ca="1" si="141"/>
        <v>-186.35219050591971</v>
      </c>
      <c r="L226" s="7">
        <f t="shared" ca="1" si="141"/>
        <v>-188.79518346376514</v>
      </c>
      <c r="M226" s="7">
        <f t="shared" ca="1" si="141"/>
        <v>-191.41125840289178</v>
      </c>
      <c r="N226" s="7">
        <f t="shared" ca="1" si="141"/>
        <v>-193.69456491258509</v>
      </c>
      <c r="O226" s="7">
        <f t="shared" ca="1" si="141"/>
        <v>-194.86792266978003</v>
      </c>
      <c r="P226" s="7">
        <f t="shared" ca="1" si="141"/>
        <v>-193.71320209790849</v>
      </c>
      <c r="Q226" s="7">
        <f t="shared" ca="1" si="141"/>
        <v>-188.23524340443902</v>
      </c>
      <c r="R226" s="7">
        <f t="shared" ca="1" si="141"/>
        <v>-174.96519735810077</v>
      </c>
      <c r="S226" s="7">
        <f t="shared" ca="1" si="141"/>
        <v>-152.03535143045033</v>
      </c>
      <c r="T226" s="7">
        <f t="shared" ca="1" si="141"/>
        <v>-122.79371095697917</v>
      </c>
      <c r="U226" s="7">
        <f t="shared" ca="1" si="141"/>
        <v>-92.49133230506294</v>
      </c>
      <c r="V226" s="7">
        <f t="shared" ca="1" si="141"/>
        <v>-65.642129992529888</v>
      </c>
      <c r="W226" s="7">
        <f t="shared" ca="1" si="141"/>
        <v>-47.503632781520466</v>
      </c>
      <c r="X226" s="7">
        <f t="shared" ca="1" si="141"/>
        <v>-41.431585596996285</v>
      </c>
      <c r="Y226" s="7">
        <f t="shared" ca="1" si="141"/>
        <v>-45.555499632224389</v>
      </c>
      <c r="Z226" s="7">
        <f t="shared" ca="1" si="141"/>
        <v>-56.37151068013938</v>
      </c>
      <c r="AA226" s="7">
        <f t="shared" ca="1" si="141"/>
        <v>-71.778501184372871</v>
      </c>
      <c r="AB226" s="8">
        <f t="shared" ca="1" si="141"/>
        <v>-90.310973281713856</v>
      </c>
    </row>
    <row r="227" spans="4:28" x14ac:dyDescent="0.25">
      <c r="D227" s="15"/>
      <c r="E227" s="2">
        <f t="shared" si="121"/>
        <v>2.0000000000000004</v>
      </c>
      <c r="H227" s="8">
        <f t="shared" ref="H227:AB227" ca="1" si="142" xml:space="preserve"> (D*(1-nu)*(G76-I76+I78-G78))/(4*delta^2)</f>
        <v>-132.17906128728259</v>
      </c>
      <c r="I227" s="7">
        <f t="shared" ca="1" si="142"/>
        <v>-132.66795979131112</v>
      </c>
      <c r="J227" s="7">
        <f t="shared" ca="1" si="142"/>
        <v>-134.10544300307242</v>
      </c>
      <c r="K227" s="7">
        <f t="shared" ca="1" si="142"/>
        <v>-136.39856985639437</v>
      </c>
      <c r="L227" s="7">
        <f t="shared" ca="1" si="142"/>
        <v>-139.37378899485381</v>
      </c>
      <c r="M227" s="7">
        <f t="shared" ca="1" si="142"/>
        <v>-142.74515973082967</v>
      </c>
      <c r="N227" s="7">
        <f t="shared" ca="1" si="142"/>
        <v>-146.06020991616666</v>
      </c>
      <c r="O227" s="7">
        <f t="shared" ca="1" si="142"/>
        <v>-148.60586259604773</v>
      </c>
      <c r="P227" s="7">
        <f t="shared" ca="1" si="142"/>
        <v>-149.22558712005736</v>
      </c>
      <c r="Q227" s="7">
        <f t="shared" ca="1" si="142"/>
        <v>-145.8846608224305</v>
      </c>
      <c r="R227" s="9">
        <f t="shared" ca="1" si="142"/>
        <v>-134.35060999027365</v>
      </c>
      <c r="S227" s="9">
        <f t="shared" ca="1" si="142"/>
        <v>-111.9992650846059</v>
      </c>
      <c r="T227" s="9">
        <f t="shared" ca="1" si="142"/>
        <v>-82.696896014546184</v>
      </c>
      <c r="U227" s="9">
        <f t="shared" ca="1" si="142"/>
        <v>-52.229817030948013</v>
      </c>
      <c r="V227" s="9">
        <f t="shared" ca="1" si="142"/>
        <v>-25.026973999565232</v>
      </c>
      <c r="W227" s="9">
        <f t="shared" ca="1" si="142"/>
        <v>-6.8816259175677965</v>
      </c>
      <c r="X227" s="7">
        <f t="shared" ca="1" si="142"/>
        <v>-1.6680634257504439</v>
      </c>
      <c r="Y227" s="7">
        <f t="shared" ca="1" si="142"/>
        <v>-6.7577412602580074</v>
      </c>
      <c r="Z227" s="7">
        <f t="shared" ca="1" si="142"/>
        <v>-17.876010239563168</v>
      </c>
      <c r="AA227" s="7">
        <f t="shared" ca="1" si="142"/>
        <v>-32.861403163069866</v>
      </c>
      <c r="AB227" s="8">
        <f t="shared" ca="1" si="142"/>
        <v>-50.256561696778761</v>
      </c>
    </row>
    <row r="228" spans="4:28" x14ac:dyDescent="0.25">
      <c r="D228" s="15"/>
      <c r="E228" s="2">
        <f t="shared" si="121"/>
        <v>1.9000000000000006</v>
      </c>
      <c r="H228" s="8">
        <f t="shared" ref="H228:AB228" ca="1" si="143" xml:space="preserve"> (D*(1-nu)*(G77-I77+I79-G79))/(4*delta^2)</f>
        <v>-77.112915586008597</v>
      </c>
      <c r="I228" s="7">
        <f t="shared" ca="1" si="143"/>
        <v>-77.615943539838909</v>
      </c>
      <c r="J228" s="7">
        <f t="shared" ca="1" si="143"/>
        <v>-79.100096023743163</v>
      </c>
      <c r="K228" s="7">
        <f t="shared" ca="1" si="143"/>
        <v>-81.484896502370361</v>
      </c>
      <c r="L228" s="7">
        <f t="shared" ca="1" si="143"/>
        <v>-84.616032871343606</v>
      </c>
      <c r="M228" s="7">
        <f t="shared" ca="1" si="143"/>
        <v>-88.230272256731169</v>
      </c>
      <c r="N228" s="7">
        <f t="shared" ca="1" si="143"/>
        <v>-91.894770168221314</v>
      </c>
      <c r="O228" s="7">
        <f t="shared" ca="1" si="143"/>
        <v>-94.902781152715534</v>
      </c>
      <c r="P228" s="7">
        <f t="shared" ca="1" si="143"/>
        <v>-96.086732459954902</v>
      </c>
      <c r="Q228" s="7">
        <f t="shared" ca="1" si="143"/>
        <v>-93.459749331431809</v>
      </c>
      <c r="R228" s="9">
        <f t="shared" ca="1" si="143"/>
        <v>-83.495687973510726</v>
      </c>
      <c r="S228" s="9">
        <f t="shared" ca="1" si="143"/>
        <v>-64.187713661256296</v>
      </c>
      <c r="T228" s="9">
        <f t="shared" ca="1" si="143"/>
        <v>-38.66291821768376</v>
      </c>
      <c r="U228" s="9">
        <f t="shared" ca="1" si="143"/>
        <v>-11.890750914008999</v>
      </c>
      <c r="V228" s="9">
        <f t="shared" ca="1" si="143"/>
        <v>11.9188481695292</v>
      </c>
      <c r="W228" s="9">
        <f t="shared" ca="1" si="143"/>
        <v>27.79003918800672</v>
      </c>
      <c r="X228" s="7">
        <f t="shared" ca="1" si="143"/>
        <v>32.588869514173354</v>
      </c>
      <c r="Y228" s="7">
        <f t="shared" ca="1" si="143"/>
        <v>28.328340987067019</v>
      </c>
      <c r="Z228" s="7">
        <f t="shared" ca="1" si="143"/>
        <v>18.578779952487384</v>
      </c>
      <c r="AA228" s="7">
        <f t="shared" ca="1" si="143"/>
        <v>5.4534961234539479</v>
      </c>
      <c r="AB228" s="8">
        <f t="shared" ca="1" si="143"/>
        <v>-9.592387575677332</v>
      </c>
    </row>
    <row r="229" spans="4:28" x14ac:dyDescent="0.25">
      <c r="D229" s="15"/>
      <c r="E229" s="2">
        <f t="shared" si="121"/>
        <v>1.8000000000000005</v>
      </c>
      <c r="H229" s="8">
        <f t="shared" ref="H229:AB229" ca="1" si="144" xml:space="preserve"> (D*(1-nu)*(G78-I78+I80-G80))/(4*delta^2)</f>
        <v>-18.106007420488389</v>
      </c>
      <c r="I229" s="7">
        <f t="shared" ca="1" si="144"/>
        <v>-18.574021570488743</v>
      </c>
      <c r="J229" s="7">
        <f t="shared" ca="1" si="144"/>
        <v>-19.956525732283531</v>
      </c>
      <c r="K229" s="7">
        <f t="shared" ca="1" si="144"/>
        <v>-22.18302743687498</v>
      </c>
      <c r="L229" s="7">
        <f t="shared" ca="1" si="144"/>
        <v>-25.115010567873082</v>
      </c>
      <c r="M229" s="7">
        <f t="shared" ca="1" si="144"/>
        <v>-28.509046279849159</v>
      </c>
      <c r="N229" s="7">
        <f t="shared" ca="1" si="144"/>
        <v>-31.953594209563125</v>
      </c>
      <c r="O229" s="7">
        <f t="shared" ca="1" si="144"/>
        <v>-34.767002733691058</v>
      </c>
      <c r="P229" s="7">
        <f t="shared" ca="1" si="144"/>
        <v>-35.845979744858965</v>
      </c>
      <c r="Q229" s="7">
        <f t="shared" ca="1" si="144"/>
        <v>-33.493873280336572</v>
      </c>
      <c r="R229" s="9">
        <f t="shared" ca="1" si="144"/>
        <v>-25.495694708704821</v>
      </c>
      <c r="S229" s="9">
        <f t="shared" ca="1" si="144"/>
        <v>-10.886992109665526</v>
      </c>
      <c r="T229" s="9">
        <f t="shared" ca="1" si="144"/>
        <v>8.3656150935213951</v>
      </c>
      <c r="U229" s="9">
        <f t="shared" ca="1" si="144"/>
        <v>28.762450463812073</v>
      </c>
      <c r="V229" s="9">
        <f t="shared" ca="1" si="144"/>
        <v>46.769423115936249</v>
      </c>
      <c r="W229" s="9">
        <f t="shared" ca="1" si="144"/>
        <v>58.881792154089531</v>
      </c>
      <c r="X229" s="7">
        <f t="shared" ca="1" si="144"/>
        <v>63.128093387491312</v>
      </c>
      <c r="Y229" s="7">
        <f t="shared" ca="1" si="144"/>
        <v>60.479964657379725</v>
      </c>
      <c r="Z229" s="7">
        <f t="shared" ca="1" si="144"/>
        <v>53.192504298686231</v>
      </c>
      <c r="AA229" s="7">
        <f t="shared" ca="1" si="144"/>
        <v>43.0691010417871</v>
      </c>
      <c r="AB229" s="8">
        <f t="shared" ca="1" si="144"/>
        <v>31.436369193921831</v>
      </c>
    </row>
    <row r="230" spans="4:28" x14ac:dyDescent="0.25">
      <c r="D230" s="15"/>
      <c r="E230" s="2">
        <f t="shared" si="121"/>
        <v>1.7000000000000004</v>
      </c>
      <c r="H230" s="8">
        <f t="shared" ref="H230:AB230" ca="1" si="145" xml:space="preserve"> (D*(1-nu)*(G79-I79+I81-G81))/(4*delta^2)</f>
        <v>44.036875960062403</v>
      </c>
      <c r="I230" s="7">
        <f t="shared" ca="1" si="145"/>
        <v>43.644610225979179</v>
      </c>
      <c r="J230" s="7">
        <f t="shared" ca="1" si="145"/>
        <v>42.485236380935859</v>
      </c>
      <c r="K230" s="7">
        <f t="shared" ca="1" si="145"/>
        <v>40.616060309277586</v>
      </c>
      <c r="L230" s="7">
        <f t="shared" ca="1" si="145"/>
        <v>38.150564008770324</v>
      </c>
      <c r="M230" s="7">
        <f t="shared" ca="1" si="145"/>
        <v>35.289513087479868</v>
      </c>
      <c r="N230" s="7">
        <f t="shared" ca="1" si="145"/>
        <v>32.372012958450988</v>
      </c>
      <c r="O230" s="7">
        <f t="shared" ca="1" si="145"/>
        <v>29.949362614035234</v>
      </c>
      <c r="P230" s="7">
        <f t="shared" ca="1" si="145"/>
        <v>28.868326529790334</v>
      </c>
      <c r="Q230" s="7">
        <f t="shared" ca="1" si="145"/>
        <v>30.293828738712197</v>
      </c>
      <c r="R230" s="9">
        <f t="shared" ca="1" si="145"/>
        <v>35.458045653960795</v>
      </c>
      <c r="S230" s="9">
        <f t="shared" ca="1" si="145"/>
        <v>44.761386175197082</v>
      </c>
      <c r="T230" s="9">
        <f t="shared" ca="1" si="145"/>
        <v>57.058195811306966</v>
      </c>
      <c r="U230" s="9">
        <f t="shared" ca="1" si="145"/>
        <v>70.190192908526129</v>
      </c>
      <c r="V230" s="9">
        <f t="shared" ca="1" si="145"/>
        <v>81.782512262386376</v>
      </c>
      <c r="W230" s="9">
        <f t="shared" ca="1" si="145"/>
        <v>89.673369324183227</v>
      </c>
      <c r="X230" s="7">
        <f t="shared" ca="1" si="145"/>
        <v>92.714066171243772</v>
      </c>
      <c r="Y230" s="7">
        <f t="shared" ca="1" si="145"/>
        <v>91.311076563927216</v>
      </c>
      <c r="Z230" s="7">
        <f t="shared" ca="1" si="145"/>
        <v>86.726233553735028</v>
      </c>
      <c r="AA230" s="7">
        <f t="shared" ca="1" si="145"/>
        <v>80.198414547374384</v>
      </c>
      <c r="AB230" s="8">
        <f t="shared" ca="1" si="145"/>
        <v>72.715311234699286</v>
      </c>
    </row>
    <row r="231" spans="4:28" x14ac:dyDescent="0.25">
      <c r="D231" s="15"/>
      <c r="E231" s="2">
        <f t="shared" si="121"/>
        <v>1.6000000000000003</v>
      </c>
      <c r="H231" s="8">
        <f t="shared" ref="H231:AB231" ca="1" si="146" xml:space="preserve"> (D*(1-nu)*(G80-I80+I82-G82))/(4*delta^2)</f>
        <v>108.30492140607493</v>
      </c>
      <c r="I231" s="7">
        <f t="shared" ca="1" si="146"/>
        <v>108.01630082142115</v>
      </c>
      <c r="J231" s="7">
        <f t="shared" ca="1" si="146"/>
        <v>107.16203979577301</v>
      </c>
      <c r="K231" s="7">
        <f t="shared" ca="1" si="146"/>
        <v>105.77985788711769</v>
      </c>
      <c r="L231" s="7">
        <f t="shared" ca="1" si="146"/>
        <v>103.94296480327084</v>
      </c>
      <c r="M231" s="7">
        <f t="shared" ca="1" si="146"/>
        <v>101.77765053664993</v>
      </c>
      <c r="N231" s="7">
        <f t="shared" ca="1" si="146"/>
        <v>99.490984571145162</v>
      </c>
      <c r="O231" s="7">
        <f t="shared" ca="1" si="146"/>
        <v>97.40721774566893</v>
      </c>
      <c r="P231" s="7">
        <f t="shared" ca="1" si="146"/>
        <v>95.998888286783185</v>
      </c>
      <c r="Q231" s="7">
        <f t="shared" ca="1" si="146"/>
        <v>95.867452105283434</v>
      </c>
      <c r="R231" s="9">
        <f t="shared" ca="1" si="146"/>
        <v>97.581298059938135</v>
      </c>
      <c r="S231" s="9">
        <f t="shared" ca="1" si="146"/>
        <v>101.30399755337099</v>
      </c>
      <c r="T231" s="9">
        <f t="shared" ca="1" si="146"/>
        <v>106.53051916445986</v>
      </c>
      <c r="U231" s="9">
        <f t="shared" ca="1" si="146"/>
        <v>112.26856818646466</v>
      </c>
      <c r="V231" s="9">
        <f t="shared" ca="1" si="146"/>
        <v>117.38392149646234</v>
      </c>
      <c r="W231" s="9">
        <f t="shared" ca="1" si="146"/>
        <v>120.88217051117205</v>
      </c>
      <c r="X231" s="7">
        <f t="shared" ca="1" si="146"/>
        <v>122.2561509841909</v>
      </c>
      <c r="Y231" s="7">
        <f t="shared" ca="1" si="146"/>
        <v>121.67177324005027</v>
      </c>
      <c r="Z231" s="7">
        <f t="shared" ca="1" si="146"/>
        <v>119.71143358797838</v>
      </c>
      <c r="AA231" s="7">
        <f t="shared" ca="1" si="146"/>
        <v>117.01148754053759</v>
      </c>
      <c r="AB231" s="8">
        <f t="shared" ca="1" si="146"/>
        <v>114.10700138521021</v>
      </c>
    </row>
    <row r="232" spans="4:28" x14ac:dyDescent="0.25">
      <c r="D232" s="15"/>
      <c r="E232" s="2">
        <f t="shared" si="121"/>
        <v>1.5000000000000002</v>
      </c>
      <c r="H232" s="8">
        <f t="shared" ref="H232:AB232" ca="1" si="147" xml:space="preserve"> (D*(1-nu)*(G81-I81+I83-G83))/(4*delta^2)</f>
        <v>173.54086626440409</v>
      </c>
      <c r="I232" s="7">
        <f t="shared" ca="1" si="147"/>
        <v>173.36933620347435</v>
      </c>
      <c r="J232" s="7">
        <f t="shared" ca="1" si="147"/>
        <v>172.85917770039384</v>
      </c>
      <c r="K232" s="7">
        <f t="shared" ca="1" si="147"/>
        <v>172.02366904759938</v>
      </c>
      <c r="L232" s="7">
        <f t="shared" ca="1" si="147"/>
        <v>170.88484698044419</v>
      </c>
      <c r="M232" s="7">
        <f t="shared" ca="1" si="147"/>
        <v>169.47334023203098</v>
      </c>
      <c r="N232" s="7">
        <f t="shared" ca="1" si="147"/>
        <v>167.82810255583109</v>
      </c>
      <c r="O232" s="7">
        <f t="shared" ca="1" si="147"/>
        <v>165.9960174526818</v>
      </c>
      <c r="P232" s="7">
        <f t="shared" ca="1" si="147"/>
        <v>164.03134703513714</v>
      </c>
      <c r="Q232" s="7">
        <f t="shared" ca="1" si="147"/>
        <v>161.99500243909577</v>
      </c>
      <c r="R232" s="9">
        <f t="shared" ca="1" si="147"/>
        <v>159.95362260934851</v>
      </c>
      <c r="S232" s="9">
        <f t="shared" ca="1" si="147"/>
        <v>157.97846111287589</v>
      </c>
      <c r="T232" s="9">
        <f t="shared" ca="1" si="147"/>
        <v>156.14409523467083</v>
      </c>
      <c r="U232" s="9">
        <f t="shared" ca="1" si="147"/>
        <v>154.52698595544493</v>
      </c>
      <c r="V232" s="9">
        <f t="shared" ca="1" si="147"/>
        <v>153.20392941327208</v>
      </c>
      <c r="W232" s="9">
        <f t="shared" ca="1" si="147"/>
        <v>152.25044835423208</v>
      </c>
      <c r="X232" s="7">
        <f t="shared" ca="1" si="147"/>
        <v>151.73917482674153</v>
      </c>
      <c r="Y232" s="7">
        <f t="shared" ca="1" si="147"/>
        <v>151.73827286114047</v>
      </c>
      <c r="Z232" s="7">
        <f t="shared" ca="1" si="147"/>
        <v>152.30994297673035</v>
      </c>
      <c r="AA232" s="7">
        <f t="shared" ca="1" si="147"/>
        <v>153.50904075468935</v>
      </c>
      <c r="AB232" s="8">
        <f t="shared" ca="1" si="147"/>
        <v>155.38183150752354</v>
      </c>
    </row>
    <row r="233" spans="4:28" x14ac:dyDescent="0.25">
      <c r="D233" s="15"/>
      <c r="E233" s="2">
        <f t="shared" si="121"/>
        <v>1.4000000000000001</v>
      </c>
      <c r="H233" s="8">
        <f t="shared" ref="H233:AB233" ca="1" si="148" xml:space="preserve"> (D*(1-nu)*(G82-I82+I84-G84))/(4*delta^2)</f>
        <v>238.51044419441422</v>
      </c>
      <c r="I233" s="7">
        <f t="shared" ca="1" si="148"/>
        <v>238.4547832829451</v>
      </c>
      <c r="J233" s="7">
        <f t="shared" ca="1" si="148"/>
        <v>238.28506381245637</v>
      </c>
      <c r="K233" s="7">
        <f t="shared" ca="1" si="148"/>
        <v>237.99012936084068</v>
      </c>
      <c r="L233" s="7">
        <f t="shared" ca="1" si="148"/>
        <v>237.5408696804048</v>
      </c>
      <c r="M233" s="7">
        <f t="shared" ca="1" si="148"/>
        <v>236.87231814182894</v>
      </c>
      <c r="N233" s="7">
        <f t="shared" ca="1" si="148"/>
        <v>235.8554430812147</v>
      </c>
      <c r="O233" s="7">
        <f t="shared" ca="1" si="148"/>
        <v>234.25998031031386</v>
      </c>
      <c r="P233" s="7">
        <f t="shared" ca="1" si="148"/>
        <v>231.72224622273819</v>
      </c>
      <c r="Q233" s="7">
        <f t="shared" ca="1" si="148"/>
        <v>227.76306253586282</v>
      </c>
      <c r="R233" s="9">
        <f t="shared" ca="1" si="148"/>
        <v>221.94790273227142</v>
      </c>
      <c r="S233" s="9">
        <f t="shared" ca="1" si="148"/>
        <v>214.25640856051871</v>
      </c>
      <c r="T233" s="9">
        <f t="shared" ca="1" si="148"/>
        <v>205.34357445544708</v>
      </c>
      <c r="U233" s="9">
        <f t="shared" ca="1" si="148"/>
        <v>196.35549897026598</v>
      </c>
      <c r="V233" s="9">
        <f t="shared" ca="1" si="148"/>
        <v>188.58091720914135</v>
      </c>
      <c r="W233" s="9">
        <f t="shared" ca="1" si="148"/>
        <v>183.16620261206108</v>
      </c>
      <c r="X233" s="7">
        <f t="shared" ca="1" si="148"/>
        <v>180.76466606140858</v>
      </c>
      <c r="Y233" s="7">
        <f t="shared" ca="1" si="148"/>
        <v>181.34753972055259</v>
      </c>
      <c r="Z233" s="7">
        <f t="shared" ca="1" si="148"/>
        <v>184.45755072219799</v>
      </c>
      <c r="AA233" s="7">
        <f t="shared" ca="1" si="148"/>
        <v>189.56866904927045</v>
      </c>
      <c r="AB233" s="8">
        <f t="shared" ca="1" si="148"/>
        <v>196.23885599856791</v>
      </c>
    </row>
    <row r="234" spans="4:28" x14ac:dyDescent="0.25">
      <c r="D234" s="15"/>
      <c r="E234" s="2">
        <f t="shared" si="121"/>
        <v>1.3</v>
      </c>
      <c r="H234" s="8">
        <f t="shared" ref="H234:AB234" ca="1" si="149" xml:space="preserve"> (D*(1-nu)*(G83-I83+I85-G85))/(4*delta^2)</f>
        <v>301.97538551176473</v>
      </c>
      <c r="I234" s="7">
        <f t="shared" ca="1" si="149"/>
        <v>302.01973240248446</v>
      </c>
      <c r="J234" s="7">
        <f t="shared" ca="1" si="149"/>
        <v>302.14421164334522</v>
      </c>
      <c r="K234" s="7">
        <f t="shared" ca="1" si="149"/>
        <v>302.31808872979218</v>
      </c>
      <c r="L234" s="7">
        <f t="shared" ca="1" si="149"/>
        <v>302.47204165204693</v>
      </c>
      <c r="M234" s="7">
        <f t="shared" ca="1" si="149"/>
        <v>302.46680459938835</v>
      </c>
      <c r="N234" s="7">
        <f t="shared" ca="1" si="149"/>
        <v>302.04167864188355</v>
      </c>
      <c r="O234" s="7">
        <f t="shared" ca="1" si="149"/>
        <v>300.73999015107711</v>
      </c>
      <c r="P234" s="7">
        <f t="shared" ca="1" si="149"/>
        <v>297.82480519499279</v>
      </c>
      <c r="Q234" s="7">
        <f t="shared" ca="1" si="149"/>
        <v>292.25483551051849</v>
      </c>
      <c r="R234" s="9">
        <f t="shared" ca="1" si="149"/>
        <v>282.93352118126677</v>
      </c>
      <c r="S234" s="9">
        <f t="shared" ca="1" si="149"/>
        <v>269.60579418104817</v>
      </c>
      <c r="T234" s="9">
        <f t="shared" ca="1" si="149"/>
        <v>253.56971470767999</v>
      </c>
      <c r="U234" s="9">
        <f t="shared" ca="1" si="149"/>
        <v>237.14003664577672</v>
      </c>
      <c r="V234" s="9">
        <f t="shared" ca="1" si="149"/>
        <v>222.84892135212772</v>
      </c>
      <c r="W234" s="9">
        <f t="shared" ca="1" si="149"/>
        <v>213.01290054402605</v>
      </c>
      <c r="X234" s="7">
        <f t="shared" ca="1" si="149"/>
        <v>208.9294871164654</v>
      </c>
      <c r="Y234" s="7">
        <f t="shared" ca="1" si="149"/>
        <v>210.33180865017894</v>
      </c>
      <c r="Z234" s="7">
        <f t="shared" ca="1" si="149"/>
        <v>216.08533279274346</v>
      </c>
      <c r="AA234" s="7">
        <f t="shared" ca="1" si="149"/>
        <v>225.06335598149062</v>
      </c>
      <c r="AB234" s="8">
        <f t="shared" ca="1" si="149"/>
        <v>236.37270728958012</v>
      </c>
    </row>
    <row r="235" spans="4:28" x14ac:dyDescent="0.25">
      <c r="D235" s="15"/>
      <c r="E235" s="2">
        <f t="shared" si="121"/>
        <v>1.2</v>
      </c>
      <c r="H235" s="8">
        <f t="shared" ref="H235:AB235" ca="1" si="150" xml:space="preserve"> (D*(1-nu)*(G84-I84+I86-G86))/(4*delta^2)</f>
        <v>362.7663093242968</v>
      </c>
      <c r="I235" s="7">
        <f t="shared" ca="1" si="150"/>
        <v>362.88043484339579</v>
      </c>
      <c r="J235" s="7">
        <f t="shared" ca="1" si="150"/>
        <v>363.21011805055599</v>
      </c>
      <c r="K235" s="7">
        <f t="shared" ca="1" si="150"/>
        <v>363.71141260304506</v>
      </c>
      <c r="L235" s="7">
        <f t="shared" ca="1" si="150"/>
        <v>364.29000358943966</v>
      </c>
      <c r="M235" s="7">
        <f t="shared" ca="1" si="150"/>
        <v>364.7641831989132</v>
      </c>
      <c r="N235" s="7">
        <f t="shared" ca="1" si="150"/>
        <v>364.8013555338793</v>
      </c>
      <c r="O235" s="7">
        <f t="shared" ca="1" si="150"/>
        <v>363.81548923667629</v>
      </c>
      <c r="P235" s="7">
        <f t="shared" ca="1" si="150"/>
        <v>360.81469657150319</v>
      </c>
      <c r="Q235" s="7">
        <f t="shared" ca="1" si="150"/>
        <v>354.22819728784009</v>
      </c>
      <c r="R235" s="9">
        <f t="shared" ca="1" si="150"/>
        <v>341.9795451672631</v>
      </c>
      <c r="S235" s="9">
        <f t="shared" ca="1" si="150"/>
        <v>323.2532082014028</v>
      </c>
      <c r="T235" s="9">
        <f t="shared" ca="1" si="150"/>
        <v>300.17234198282745</v>
      </c>
      <c r="U235" s="9">
        <f t="shared" ca="1" si="150"/>
        <v>276.39762023487259</v>
      </c>
      <c r="V235" s="9">
        <f t="shared" ca="1" si="150"/>
        <v>255.62515591632851</v>
      </c>
      <c r="W235" s="9">
        <f t="shared" ca="1" si="150"/>
        <v>241.5191568040886</v>
      </c>
      <c r="X235" s="7">
        <f t="shared" ca="1" si="150"/>
        <v>236.20441947141367</v>
      </c>
      <c r="Y235" s="7">
        <f t="shared" ca="1" si="150"/>
        <v>238.85305767602634</v>
      </c>
      <c r="Z235" s="7">
        <f t="shared" ca="1" si="150"/>
        <v>247.34093550356508</v>
      </c>
      <c r="AA235" s="7">
        <f t="shared" ca="1" si="150"/>
        <v>259.9799354435811</v>
      </c>
      <c r="AB235" s="8">
        <f t="shared" ca="1" si="150"/>
        <v>275.54045915261105</v>
      </c>
    </row>
    <row r="236" spans="4:28" x14ac:dyDescent="0.25">
      <c r="D236" s="15"/>
      <c r="E236" s="2">
        <f t="shared" si="121"/>
        <v>1.0999999999999999</v>
      </c>
      <c r="H236" s="8">
        <f t="shared" ref="H236:AB236" ca="1" si="151" xml:space="preserve"> (D*(1-nu)*(G85-I85+I87-G87))/(4*delta^2)</f>
        <v>419.85183982881563</v>
      </c>
      <c r="I236" s="7">
        <f t="shared" ca="1" si="151"/>
        <v>419.99282700331662</v>
      </c>
      <c r="J236" s="7">
        <f t="shared" ca="1" si="151"/>
        <v>420.39964871170014</v>
      </c>
      <c r="K236" s="7">
        <f t="shared" ca="1" si="151"/>
        <v>421.0182539218211</v>
      </c>
      <c r="L236" s="7">
        <f t="shared" ca="1" si="151"/>
        <v>421.73845875913418</v>
      </c>
      <c r="M236" s="7">
        <f t="shared" ca="1" si="151"/>
        <v>422.35890123643537</v>
      </c>
      <c r="N236" s="7">
        <f t="shared" ca="1" si="151"/>
        <v>422.52626610340565</v>
      </c>
      <c r="O236" s="7">
        <f t="shared" ca="1" si="151"/>
        <v>421.63066704146951</v>
      </c>
      <c r="P236" s="7">
        <f t="shared" ca="1" si="151"/>
        <v>418.61802170612583</v>
      </c>
      <c r="Q236" s="7">
        <f t="shared" ca="1" si="151"/>
        <v>411.63039497553984</v>
      </c>
      <c r="R236" s="9">
        <f t="shared" ca="1" si="151"/>
        <v>397.28428534350292</v>
      </c>
      <c r="S236" s="9">
        <f t="shared" ca="1" si="151"/>
        <v>373.72685972661895</v>
      </c>
      <c r="T236" s="9">
        <f t="shared" ca="1" si="151"/>
        <v>344.24765848595189</v>
      </c>
      <c r="U236" s="9">
        <f t="shared" ca="1" si="151"/>
        <v>313.98363371462727</v>
      </c>
      <c r="V236" s="9">
        <f t="shared" ca="1" si="151"/>
        <v>287.31355136507705</v>
      </c>
      <c r="W236" s="9">
        <f t="shared" ca="1" si="151"/>
        <v>269.3795055783126</v>
      </c>
      <c r="X236" s="7">
        <f t="shared" ca="1" si="151"/>
        <v>263.47525713876195</v>
      </c>
      <c r="Y236" s="7">
        <f t="shared" ca="1" si="151"/>
        <v>267.73747658951038</v>
      </c>
      <c r="Z236" s="7">
        <f t="shared" ca="1" si="151"/>
        <v>278.73199357627146</v>
      </c>
      <c r="AA236" s="7">
        <f t="shared" ca="1" si="151"/>
        <v>294.46513729523531</v>
      </c>
      <c r="AB236" s="8">
        <f t="shared" ca="1" si="151"/>
        <v>313.58230373729992</v>
      </c>
    </row>
    <row r="237" spans="4:28" x14ac:dyDescent="0.25">
      <c r="D237" s="15"/>
      <c r="E237" s="2">
        <f t="shared" si="121"/>
        <v>0.99999999999999989</v>
      </c>
      <c r="H237" s="8">
        <f t="shared" ref="H237:AB237" ca="1" si="152" xml:space="preserve"> (D*(1-nu)*(G86-I86+I88-G88))/(4*delta^2)</f>
        <v>472.3976171604279</v>
      </c>
      <c r="I237" s="7">
        <f t="shared" ca="1" si="152"/>
        <v>472.51437387209938</v>
      </c>
      <c r="J237" s="7">
        <f t="shared" ca="1" si="152"/>
        <v>472.84410115289182</v>
      </c>
      <c r="K237" s="7">
        <f t="shared" ca="1" si="152"/>
        <v>473.31997403882366</v>
      </c>
      <c r="L237" s="7">
        <f t="shared" ca="1" si="152"/>
        <v>473.81223851791117</v>
      </c>
      <c r="M237" s="7">
        <f t="shared" ca="1" si="152"/>
        <v>474.0967264059795</v>
      </c>
      <c r="N237" s="7">
        <f t="shared" ca="1" si="152"/>
        <v>473.8009386609769</v>
      </c>
      <c r="O237" s="7">
        <f t="shared" ca="1" si="152"/>
        <v>472.30996694989562</v>
      </c>
      <c r="P237" s="7">
        <f t="shared" ca="1" si="152"/>
        <v>468.58323529136607</v>
      </c>
      <c r="Q237" s="7">
        <f t="shared" ca="1" si="152"/>
        <v>460.71878702154441</v>
      </c>
      <c r="R237" s="9">
        <f t="shared" ca="1" si="152"/>
        <v>444.63206469762343</v>
      </c>
      <c r="S237" s="9">
        <f t="shared" ca="1" si="152"/>
        <v>417.85956109984807</v>
      </c>
      <c r="T237" s="9">
        <f t="shared" ca="1" si="152"/>
        <v>384.4378316446539</v>
      </c>
      <c r="U237" s="9">
        <f t="shared" ca="1" si="152"/>
        <v>350.32936802786492</v>
      </c>
      <c r="V237" s="9">
        <f t="shared" ca="1" si="152"/>
        <v>320.14103059281501</v>
      </c>
      <c r="W237" s="9">
        <f t="shared" ca="1" si="152"/>
        <v>299.84138400971796</v>
      </c>
      <c r="X237" s="7">
        <f t="shared" ca="1" si="152"/>
        <v>293.47312261682657</v>
      </c>
      <c r="Y237" s="7">
        <f t="shared" ca="1" si="152"/>
        <v>298.56517712653238</v>
      </c>
      <c r="Z237" s="7">
        <f t="shared" ca="1" si="152"/>
        <v>310.98584125056254</v>
      </c>
      <c r="AA237" s="7">
        <f t="shared" ca="1" si="152"/>
        <v>328.69894562336924</v>
      </c>
      <c r="AB237" s="8">
        <f t="shared" ca="1" si="152"/>
        <v>350.35216025236986</v>
      </c>
    </row>
    <row r="238" spans="4:28" x14ac:dyDescent="0.25">
      <c r="D238" s="15"/>
      <c r="E238" s="2">
        <f t="shared" si="121"/>
        <v>0.89999999999999991</v>
      </c>
      <c r="H238" s="8">
        <f t="shared" ref="H238:AB238" ca="1" si="153" xml:space="preserve"> (D*(1-nu)*(G87-I87+I89-G89))/(4*delta^2)</f>
        <v>519.80588695869426</v>
      </c>
      <c r="I238" s="7">
        <f t="shared" ca="1" si="153"/>
        <v>519.84670974086214</v>
      </c>
      <c r="J238" s="7">
        <f t="shared" ca="1" si="153"/>
        <v>519.94250449460264</v>
      </c>
      <c r="K238" s="7">
        <f t="shared" ca="1" si="153"/>
        <v>520.00811364021376</v>
      </c>
      <c r="L238" s="7">
        <f t="shared" ca="1" si="153"/>
        <v>519.88343290032799</v>
      </c>
      <c r="M238" s="7">
        <f t="shared" ca="1" si="153"/>
        <v>519.30223194313885</v>
      </c>
      <c r="N238" s="7">
        <f t="shared" ca="1" si="153"/>
        <v>517.83866632662944</v>
      </c>
      <c r="O238" s="7">
        <f t="shared" ca="1" si="153"/>
        <v>514.81485218304033</v>
      </c>
      <c r="P238" s="7">
        <f t="shared" ca="1" si="153"/>
        <v>509.13125903297782</v>
      </c>
      <c r="Q238" s="7">
        <f t="shared" ca="1" si="153"/>
        <v>498.92996560586784</v>
      </c>
      <c r="R238" s="7">
        <f t="shared" ca="1" si="153"/>
        <v>480.89648126964687</v>
      </c>
      <c r="S238" s="7">
        <f t="shared" ca="1" si="153"/>
        <v>453.33210105438769</v>
      </c>
      <c r="T238" s="7">
        <f t="shared" ca="1" si="153"/>
        <v>419.7650808497184</v>
      </c>
      <c r="U238" s="7">
        <f t="shared" ca="1" si="153"/>
        <v>385.63376907638872</v>
      </c>
      <c r="V238" s="7">
        <f t="shared" ca="1" si="153"/>
        <v>355.64166472580257</v>
      </c>
      <c r="W238" s="7">
        <f t="shared" ca="1" si="153"/>
        <v>335.23319565038952</v>
      </c>
      <c r="X238" s="7">
        <f t="shared" ca="1" si="153"/>
        <v>327.94344857921129</v>
      </c>
      <c r="Y238" s="7">
        <f t="shared" ca="1" si="153"/>
        <v>332.06924349521711</v>
      </c>
      <c r="Z238" s="7">
        <f t="shared" ca="1" si="153"/>
        <v>344.25810814090522</v>
      </c>
      <c r="AA238" s="7">
        <f t="shared" ca="1" si="153"/>
        <v>362.54118195038097</v>
      </c>
      <c r="AB238" s="8">
        <f t="shared" ca="1" si="153"/>
        <v>385.56349107849201</v>
      </c>
    </row>
    <row r="239" spans="4:28" x14ac:dyDescent="0.25">
      <c r="D239" s="15"/>
      <c r="E239" s="2">
        <f t="shared" si="121"/>
        <v>0.79999999999999993</v>
      </c>
      <c r="H239" s="8">
        <f t="shared" ref="H239:AB239" ca="1" si="154" xml:space="preserve"> (D*(1-nu)*(G88-I88+I90-G90))/(4*delta^2)</f>
        <v>561.726748158806</v>
      </c>
      <c r="I239" s="7">
        <f t="shared" ca="1" si="154"/>
        <v>561.64799473271182</v>
      </c>
      <c r="J239" s="7">
        <f t="shared" ca="1" si="154"/>
        <v>561.3781803696462</v>
      </c>
      <c r="K239" s="7">
        <f t="shared" ca="1" si="154"/>
        <v>560.81155143499598</v>
      </c>
      <c r="L239" s="7">
        <f t="shared" ca="1" si="154"/>
        <v>559.75389871640141</v>
      </c>
      <c r="M239" s="7">
        <f t="shared" ca="1" si="154"/>
        <v>557.89215970439147</v>
      </c>
      <c r="N239" s="7">
        <f t="shared" ca="1" si="154"/>
        <v>554.74407645970177</v>
      </c>
      <c r="O239" s="7">
        <f t="shared" ca="1" si="154"/>
        <v>549.57875519559752</v>
      </c>
      <c r="P239" s="7">
        <f t="shared" ca="1" si="154"/>
        <v>541.30009034361399</v>
      </c>
      <c r="Q239" s="7">
        <f t="shared" ca="1" si="154"/>
        <v>528.32170236633181</v>
      </c>
      <c r="R239" s="7">
        <f t="shared" ca="1" si="154"/>
        <v>508.69234760959631</v>
      </c>
      <c r="S239" s="7">
        <f t="shared" ca="1" si="154"/>
        <v>481.90123857016846</v>
      </c>
      <c r="T239" s="7">
        <f t="shared" ca="1" si="154"/>
        <v>450.55852930613912</v>
      </c>
      <c r="U239" s="7">
        <f t="shared" ca="1" si="154"/>
        <v>418.94826251250578</v>
      </c>
      <c r="V239" s="7">
        <f t="shared" ca="1" si="154"/>
        <v>391.44079405561979</v>
      </c>
      <c r="W239" s="7">
        <f t="shared" ca="1" si="154"/>
        <v>372.3255888135086</v>
      </c>
      <c r="X239" s="7">
        <f t="shared" ca="1" si="154"/>
        <v>364.21952750114536</v>
      </c>
      <c r="Y239" s="7">
        <f t="shared" ca="1" si="154"/>
        <v>366.61090558846212</v>
      </c>
      <c r="Z239" s="7">
        <f t="shared" ca="1" si="154"/>
        <v>377.52465195080777</v>
      </c>
      <c r="AA239" s="7">
        <f t="shared" ca="1" si="154"/>
        <v>395.30385289568198</v>
      </c>
      <c r="AB239" s="8">
        <f t="shared" ca="1" si="154"/>
        <v>418.7009346204066</v>
      </c>
    </row>
    <row r="240" spans="4:28" x14ac:dyDescent="0.25">
      <c r="D240" s="15"/>
      <c r="E240" s="2">
        <f t="shared" si="121"/>
        <v>0.7</v>
      </c>
      <c r="H240" s="8">
        <f t="shared" ref="H240:AB240" ca="1" si="155" xml:space="preserve"> (D*(1-nu)*(G89-I89+I91-G91))/(4*delta^2)</f>
        <v>598.03816632250448</v>
      </c>
      <c r="I240" s="7">
        <f t="shared" ca="1" si="155"/>
        <v>597.81091418786366</v>
      </c>
      <c r="J240" s="7">
        <f t="shared" ca="1" si="155"/>
        <v>597.08996776824574</v>
      </c>
      <c r="K240" s="7">
        <f t="shared" ca="1" si="155"/>
        <v>595.75337232533366</v>
      </c>
      <c r="L240" s="7">
        <f t="shared" ca="1" si="155"/>
        <v>593.5827272627364</v>
      </c>
      <c r="M240" s="7">
        <f t="shared" ca="1" si="155"/>
        <v>590.23904775283791</v>
      </c>
      <c r="N240" s="7">
        <f t="shared" ca="1" si="155"/>
        <v>585.22726881647407</v>
      </c>
      <c r="O240" s="7">
        <f t="shared" ca="1" si="155"/>
        <v>577.85256645568518</v>
      </c>
      <c r="P240" s="7">
        <f t="shared" ca="1" si="155"/>
        <v>567.18835080496774</v>
      </c>
      <c r="Q240" s="7">
        <f t="shared" ca="1" si="155"/>
        <v>552.12867801736968</v>
      </c>
      <c r="R240" s="7">
        <f t="shared" ca="1" si="155"/>
        <v>531.72897996724942</v>
      </c>
      <c r="S240" s="7">
        <f t="shared" ca="1" si="155"/>
        <v>506.17970949562829</v>
      </c>
      <c r="T240" s="7">
        <f t="shared" ca="1" si="155"/>
        <v>477.53354414240511</v>
      </c>
      <c r="U240" s="7">
        <f t="shared" ca="1" si="155"/>
        <v>449.09430330664935</v>
      </c>
      <c r="V240" s="7">
        <f t="shared" ca="1" si="155"/>
        <v>424.47071055632443</v>
      </c>
      <c r="W240" s="7">
        <f t="shared" ca="1" si="155"/>
        <v>406.97128590121679</v>
      </c>
      <c r="X240" s="7">
        <f t="shared" ca="1" si="155"/>
        <v>398.6555788668191</v>
      </c>
      <c r="Y240" s="7">
        <f t="shared" ca="1" si="155"/>
        <v>399.7180818894455</v>
      </c>
      <c r="Z240" s="7">
        <f t="shared" ca="1" si="155"/>
        <v>409.20846734482444</v>
      </c>
      <c r="AA240" s="7">
        <f t="shared" ca="1" si="155"/>
        <v>425.99854906400918</v>
      </c>
      <c r="AB240" s="8">
        <f t="shared" ca="1" si="155"/>
        <v>449.12422557285839</v>
      </c>
    </row>
    <row r="241" spans="4:28" x14ac:dyDescent="0.25">
      <c r="D241" s="15"/>
      <c r="E241" s="2">
        <f t="shared" si="121"/>
        <v>0.6</v>
      </c>
      <c r="H241" s="8">
        <f t="shared" ref="H241:AB241" ca="1" si="156" xml:space="preserve"> (D*(1-nu)*(G90-I90+I92-G92))/(4*delta^2)</f>
        <v>628.80085242036671</v>
      </c>
      <c r="I241" s="7">
        <f t="shared" ca="1" si="156"/>
        <v>628.41352480404123</v>
      </c>
      <c r="J241" s="7">
        <f t="shared" ca="1" si="156"/>
        <v>627.20954587595043</v>
      </c>
      <c r="K241" s="7">
        <f t="shared" ca="1" si="156"/>
        <v>625.0600721744778</v>
      </c>
      <c r="L241" s="7">
        <f t="shared" ca="1" si="156"/>
        <v>621.74094339893361</v>
      </c>
      <c r="M241" s="7">
        <f t="shared" ca="1" si="156"/>
        <v>616.91959544024019</v>
      </c>
      <c r="N241" s="7">
        <f t="shared" ca="1" si="156"/>
        <v>610.14092121105057</v>
      </c>
      <c r="O241" s="7">
        <f t="shared" ca="1" si="156"/>
        <v>600.8226353626942</v>
      </c>
      <c r="P241" s="7">
        <f t="shared" ca="1" si="156"/>
        <v>588.28692344420824</v>
      </c>
      <c r="Q241" s="7">
        <f t="shared" ca="1" si="156"/>
        <v>571.88565763134147</v>
      </c>
      <c r="R241" s="7">
        <f t="shared" ca="1" si="156"/>
        <v>551.30864805458623</v>
      </c>
      <c r="S241" s="7">
        <f t="shared" ca="1" si="156"/>
        <v>527.09900568398814</v>
      </c>
      <c r="T241" s="7">
        <f t="shared" ca="1" si="156"/>
        <v>500.9636593022048</v>
      </c>
      <c r="U241" s="7">
        <f t="shared" ca="1" si="156"/>
        <v>475.47569589791578</v>
      </c>
      <c r="V241" s="7">
        <f t="shared" ca="1" si="156"/>
        <v>453.48971270362262</v>
      </c>
      <c r="W241" s="7">
        <f t="shared" ca="1" si="156"/>
        <v>437.58326722258289</v>
      </c>
      <c r="X241" s="7">
        <f t="shared" ca="1" si="156"/>
        <v>429.47141830810835</v>
      </c>
      <c r="Y241" s="7">
        <f t="shared" ca="1" si="156"/>
        <v>429.70807796748505</v>
      </c>
      <c r="Z241" s="7">
        <f t="shared" ca="1" si="156"/>
        <v>437.9971918361573</v>
      </c>
      <c r="AA241" s="7">
        <f t="shared" ca="1" si="156"/>
        <v>453.71494153453017</v>
      </c>
      <c r="AB241" s="8">
        <f t="shared" ca="1" si="156"/>
        <v>476.24156037082042</v>
      </c>
    </row>
    <row r="242" spans="4:28" x14ac:dyDescent="0.25">
      <c r="D242" s="15"/>
      <c r="E242" s="2">
        <f t="shared" si="121"/>
        <v>0.5</v>
      </c>
      <c r="H242" s="8">
        <f t="shared" ref="H242:AB242" ca="1" si="157" xml:space="preserve"> (D*(1-nu)*(G91-I91+I93-G93))/(4*delta^2)</f>
        <v>654.20014902229047</v>
      </c>
      <c r="I242" s="7">
        <f t="shared" ca="1" si="157"/>
        <v>653.65726478756244</v>
      </c>
      <c r="J242" s="7">
        <f t="shared" ca="1" si="157"/>
        <v>651.9870346182521</v>
      </c>
      <c r="K242" s="7">
        <f t="shared" ca="1" si="157"/>
        <v>649.06386275526131</v>
      </c>
      <c r="L242" s="7">
        <f t="shared" ca="1" si="157"/>
        <v>644.67609793899203</v>
      </c>
      <c r="M242" s="7">
        <f t="shared" ca="1" si="157"/>
        <v>638.52517731062994</v>
      </c>
      <c r="N242" s="7">
        <f t="shared" ca="1" si="157"/>
        <v>630.23145604073977</v>
      </c>
      <c r="O242" s="7">
        <f t="shared" ca="1" si="157"/>
        <v>619.35812487405815</v>
      </c>
      <c r="P242" s="7">
        <f t="shared" ca="1" si="157"/>
        <v>605.47401477452627</v>
      </c>
      <c r="Q242" s="7">
        <f t="shared" ca="1" si="157"/>
        <v>588.28567936165996</v>
      </c>
      <c r="R242" s="7">
        <f t="shared" ca="1" si="157"/>
        <v>567.86185564651691</v>
      </c>
      <c r="S242" s="7">
        <f t="shared" ca="1" si="157"/>
        <v>544.90648062626326</v>
      </c>
      <c r="T242" s="7">
        <f t="shared" ca="1" si="157"/>
        <v>520.88552650105066</v>
      </c>
      <c r="U242" s="7">
        <f t="shared" ca="1" si="157"/>
        <v>497.84945845309846</v>
      </c>
      <c r="V242" s="7">
        <f t="shared" ca="1" si="157"/>
        <v>478.05811497767189</v>
      </c>
      <c r="W242" s="7">
        <f t="shared" ca="1" si="157"/>
        <v>463.56693463225741</v>
      </c>
      <c r="X242" s="7">
        <f t="shared" ca="1" si="157"/>
        <v>455.85260060702257</v>
      </c>
      <c r="Y242" s="7">
        <f t="shared" ca="1" si="157"/>
        <v>455.63791719287838</v>
      </c>
      <c r="Z242" s="7">
        <f t="shared" ca="1" si="157"/>
        <v>463.02495646432425</v>
      </c>
      <c r="AA242" s="7">
        <f t="shared" ca="1" si="157"/>
        <v>477.78291704821692</v>
      </c>
      <c r="AB242" s="8">
        <f t="shared" ca="1" si="157"/>
        <v>499.60480927060456</v>
      </c>
    </row>
    <row r="243" spans="4:28" x14ac:dyDescent="0.25">
      <c r="D243" s="15"/>
      <c r="E243" s="2">
        <f t="shared" si="121"/>
        <v>0.4</v>
      </c>
      <c r="H243" s="8">
        <f t="shared" ref="H243:AB243" ca="1" si="158" xml:space="preserve"> (D*(1-nu)*(G92-I92+I94-G94))/(4*delta^2)</f>
        <v>674.48725745729928</v>
      </c>
      <c r="I243" s="7">
        <f t="shared" ca="1" si="158"/>
        <v>673.80586303533073</v>
      </c>
      <c r="J243" s="7">
        <f t="shared" ca="1" si="158"/>
        <v>671.72304419972011</v>
      </c>
      <c r="K243" s="7">
        <f t="shared" ca="1" si="158"/>
        <v>668.12399576068754</v>
      </c>
      <c r="L243" s="7">
        <f t="shared" ca="1" si="158"/>
        <v>662.82175992983161</v>
      </c>
      <c r="M243" s="7">
        <f t="shared" ca="1" si="158"/>
        <v>655.56681293586109</v>
      </c>
      <c r="N243" s="7">
        <f t="shared" ca="1" si="158"/>
        <v>646.06741695769722</v>
      </c>
      <c r="O243" s="7">
        <f t="shared" ca="1" si="158"/>
        <v>634.02936376832463</v>
      </c>
      <c r="P243" s="7">
        <f t="shared" ca="1" si="158"/>
        <v>619.22701526793969</v>
      </c>
      <c r="Q243" s="7">
        <f t="shared" ca="1" si="158"/>
        <v>601.61650549498972</v>
      </c>
      <c r="R243" s="7">
        <f t="shared" ca="1" si="158"/>
        <v>581.48697817736729</v>
      </c>
      <c r="S243" s="7">
        <f t="shared" ca="1" si="158"/>
        <v>559.60543499796768</v>
      </c>
      <c r="T243" s="7">
        <f t="shared" ca="1" si="158"/>
        <v>537.26017161717209</v>
      </c>
      <c r="U243" s="7">
        <f t="shared" ca="1" si="158"/>
        <v>516.13679823919563</v>
      </c>
      <c r="V243" s="7">
        <f t="shared" ca="1" si="158"/>
        <v>498.06819283517478</v>
      </c>
      <c r="W243" s="7">
        <f t="shared" ca="1" si="158"/>
        <v>484.74606910913866</v>
      </c>
      <c r="X243" s="7">
        <f t="shared" ca="1" si="158"/>
        <v>477.47293360596251</v>
      </c>
      <c r="Y243" s="7">
        <f t="shared" ca="1" si="158"/>
        <v>477.04296695304481</v>
      </c>
      <c r="Z243" s="7">
        <f t="shared" ca="1" si="158"/>
        <v>483.79512162432309</v>
      </c>
      <c r="AA243" s="7">
        <f t="shared" ca="1" si="158"/>
        <v>497.77590962961983</v>
      </c>
      <c r="AB243" s="8">
        <f t="shared" ca="1" si="158"/>
        <v>518.92229108130221</v>
      </c>
    </row>
    <row r="244" spans="4:28" x14ac:dyDescent="0.25">
      <c r="D244" s="15"/>
      <c r="E244" s="2">
        <f t="shared" si="121"/>
        <v>0.30000000000000004</v>
      </c>
      <c r="H244" s="8">
        <f t="shared" ref="H244:AB244" ca="1" si="159" xml:space="preserve"> (D*(1-nu)*(G93-I93+I95-G95))/(4*delta^2)</f>
        <v>689.92828824832065</v>
      </c>
      <c r="I244" s="7">
        <f t="shared" ca="1" si="159"/>
        <v>689.13380144999724</v>
      </c>
      <c r="J244" s="7">
        <f t="shared" ca="1" si="159"/>
        <v>686.71589239569744</v>
      </c>
      <c r="K244" s="7">
        <f t="shared" ca="1" si="159"/>
        <v>682.57391786122389</v>
      </c>
      <c r="L244" s="7">
        <f t="shared" ca="1" si="159"/>
        <v>676.54978830620394</v>
      </c>
      <c r="M244" s="7">
        <f t="shared" ca="1" si="159"/>
        <v>668.44500498240279</v>
      </c>
      <c r="N244" s="7">
        <f t="shared" ca="1" si="159"/>
        <v>658.04977647778992</v>
      </c>
      <c r="O244" s="7">
        <f t="shared" ca="1" si="159"/>
        <v>645.18925651489917</v>
      </c>
      <c r="P244" s="7">
        <f t="shared" ca="1" si="159"/>
        <v>629.79163271950597</v>
      </c>
      <c r="Q244" s="7">
        <f t="shared" ca="1" si="159"/>
        <v>611.97823969264073</v>
      </c>
      <c r="R244" s="7">
        <f t="shared" ca="1" si="159"/>
        <v>592.16342022748165</v>
      </c>
      <c r="S244" s="7">
        <f t="shared" ca="1" si="159"/>
        <v>571.13118103319664</v>
      </c>
      <c r="T244" s="7">
        <f t="shared" ca="1" si="159"/>
        <v>550.04021833093771</v>
      </c>
      <c r="U244" s="7">
        <f t="shared" ca="1" si="159"/>
        <v>530.32869731643893</v>
      </c>
      <c r="V244" s="7">
        <f t="shared" ca="1" si="159"/>
        <v>513.53956385049958</v>
      </c>
      <c r="W244" s="7">
        <f t="shared" ca="1" si="159"/>
        <v>501.11851921464108</v>
      </c>
      <c r="X244" s="7">
        <f t="shared" ca="1" si="159"/>
        <v>494.24217777147328</v>
      </c>
      <c r="Y244" s="7">
        <f t="shared" ca="1" si="159"/>
        <v>493.72918023091114</v>
      </c>
      <c r="Z244" s="7">
        <f t="shared" ca="1" si="159"/>
        <v>500.05635486460631</v>
      </c>
      <c r="AA244" s="7">
        <f t="shared" ca="1" si="159"/>
        <v>513.45325865550535</v>
      </c>
      <c r="AB244" s="8">
        <f t="shared" ca="1" si="159"/>
        <v>534.02886446231162</v>
      </c>
    </row>
    <row r="245" spans="4:28" x14ac:dyDescent="0.25">
      <c r="D245" s="15"/>
      <c r="E245" s="2">
        <f t="shared" si="121"/>
        <v>0.2</v>
      </c>
      <c r="H245" s="8">
        <f t="shared" ref="H245:AB245" ca="1" si="160" xml:space="preserve"> (D*(1-nu)*(G94-I94+I96-G96))/(4*delta^2)</f>
        <v>700.76489010425109</v>
      </c>
      <c r="I245" s="7">
        <f t="shared" ca="1" si="160"/>
        <v>699.88753636547051</v>
      </c>
      <c r="J245" s="7">
        <f t="shared" ca="1" si="160"/>
        <v>697.22511478045817</v>
      </c>
      <c r="K245" s="7">
        <f t="shared" ca="1" si="160"/>
        <v>692.69035752971081</v>
      </c>
      <c r="L245" s="7">
        <f t="shared" ca="1" si="160"/>
        <v>686.1510002204277</v>
      </c>
      <c r="M245" s="7">
        <f t="shared" ca="1" si="160"/>
        <v>677.45139214841004</v>
      </c>
      <c r="N245" s="7">
        <f t="shared" ca="1" si="160"/>
        <v>666.44608106439193</v>
      </c>
      <c r="O245" s="7">
        <f t="shared" ca="1" si="160"/>
        <v>653.04749025565002</v>
      </c>
      <c r="P245" s="7">
        <f t="shared" ca="1" si="160"/>
        <v>637.28788008526419</v>
      </c>
      <c r="Q245" s="7">
        <f t="shared" ca="1" si="160"/>
        <v>619.39085814185842</v>
      </c>
      <c r="R245" s="7">
        <f t="shared" ca="1" si="160"/>
        <v>599.8391425133309</v>
      </c>
      <c r="S245" s="7">
        <f t="shared" ca="1" si="160"/>
        <v>579.41541261931729</v>
      </c>
      <c r="T245" s="7">
        <f t="shared" ca="1" si="160"/>
        <v>559.18989905148931</v>
      </c>
      <c r="U245" s="7">
        <f t="shared" ca="1" si="160"/>
        <v>540.44212185111962</v>
      </c>
      <c r="V245" s="7">
        <f t="shared" ca="1" si="160"/>
        <v>524.53044781599056</v>
      </c>
      <c r="W245" s="7">
        <f t="shared" ca="1" si="160"/>
        <v>512.74328552790689</v>
      </c>
      <c r="X245" s="7">
        <f t="shared" ca="1" si="160"/>
        <v>506.17198015734306</v>
      </c>
      <c r="Y245" s="7">
        <f t="shared" ca="1" si="160"/>
        <v>505.63961776275812</v>
      </c>
      <c r="Z245" s="7">
        <f t="shared" ca="1" si="160"/>
        <v>511.70007918342765</v>
      </c>
      <c r="AA245" s="7">
        <f t="shared" ca="1" si="160"/>
        <v>524.6953843544145</v>
      </c>
      <c r="AB245" s="8">
        <f t="shared" ca="1" si="160"/>
        <v>544.84484782121899</v>
      </c>
    </row>
    <row r="246" spans="4:28" x14ac:dyDescent="0.25">
      <c r="D246" s="15"/>
      <c r="E246" s="2">
        <f t="shared" si="121"/>
        <v>0.1</v>
      </c>
      <c r="H246" s="8">
        <f t="shared" ref="H246:AB246" ca="1" si="161" xml:space="preserve"> (D*(1-nu)*(G95-I95+I97-G97))/(4*delta^2)</f>
        <v>707.18664427810711</v>
      </c>
      <c r="I246" s="7">
        <f t="shared" ca="1" si="161"/>
        <v>706.25897955354117</v>
      </c>
      <c r="J246" s="7">
        <f t="shared" ca="1" si="161"/>
        <v>703.44853049107064</v>
      </c>
      <c r="K246" s="7">
        <f t="shared" ca="1" si="161"/>
        <v>698.67737607080426</v>
      </c>
      <c r="L246" s="7">
        <f t="shared" ca="1" si="161"/>
        <v>691.83078329452462</v>
      </c>
      <c r="M246" s="7">
        <f t="shared" ca="1" si="161"/>
        <v>682.78116056062936</v>
      </c>
      <c r="N246" s="7">
        <f t="shared" ca="1" si="161"/>
        <v>671.423520907941</v>
      </c>
      <c r="O246" s="7">
        <f t="shared" ca="1" si="161"/>
        <v>657.72278908514352</v>
      </c>
      <c r="P246" s="7">
        <f t="shared" ca="1" si="161"/>
        <v>641.77080154076918</v>
      </c>
      <c r="Q246" s="7">
        <f t="shared" ca="1" si="161"/>
        <v>623.84636040072064</v>
      </c>
      <c r="R246" s="7">
        <f t="shared" ca="1" si="161"/>
        <v>604.46576847805795</v>
      </c>
      <c r="S246" s="7">
        <f t="shared" ca="1" si="161"/>
        <v>584.40643957855968</v>
      </c>
      <c r="T246" s="7">
        <f t="shared" ca="1" si="161"/>
        <v>564.68715096673191</v>
      </c>
      <c r="U246" s="7">
        <f t="shared" ca="1" si="161"/>
        <v>546.49906211219547</v>
      </c>
      <c r="V246" s="7">
        <f t="shared" ca="1" si="161"/>
        <v>531.09849160397948</v>
      </c>
      <c r="W246" s="7">
        <f t="shared" ca="1" si="161"/>
        <v>519.68643642843756</v>
      </c>
      <c r="X246" s="7">
        <f t="shared" ca="1" si="161"/>
        <v>513.30492369309741</v>
      </c>
      <c r="Y246" s="7">
        <f t="shared" ca="1" si="161"/>
        <v>512.7753811163434</v>
      </c>
      <c r="Z246" s="7">
        <f t="shared" ca="1" si="161"/>
        <v>518.69023472057097</v>
      </c>
      <c r="AA246" s="7">
        <f t="shared" ca="1" si="161"/>
        <v>531.45164782387872</v>
      </c>
      <c r="AB246" s="8">
        <f t="shared" ca="1" si="161"/>
        <v>551.33952645457248</v>
      </c>
    </row>
    <row r="247" spans="4:28" x14ac:dyDescent="0.25">
      <c r="D247" s="15"/>
      <c r="E247" s="2">
        <v>0</v>
      </c>
      <c r="H247" s="13"/>
      <c r="I247" s="8">
        <f t="shared" ref="I247:AA247" ca="1" si="162" xml:space="preserve"> (D*(1-nu)*(H96-J96+J98-H98))/(4*delta^2)</f>
        <v>708.36905692043376</v>
      </c>
      <c r="J247" s="8">
        <f t="shared" ca="1" si="162"/>
        <v>705.50912243383686</v>
      </c>
      <c r="K247" s="8">
        <f t="shared" ca="1" si="162"/>
        <v>700.65917598140823</v>
      </c>
      <c r="L247" s="8">
        <f t="shared" ca="1" si="162"/>
        <v>693.71065968639027</v>
      </c>
      <c r="M247" s="8">
        <f t="shared" ca="1" si="162"/>
        <v>684.54570181787028</v>
      </c>
      <c r="N247" s="8">
        <f t="shared" ca="1" si="162"/>
        <v>673.07306664010207</v>
      </c>
      <c r="O247" s="8">
        <f t="shared" ca="1" si="162"/>
        <v>659.2751410187052</v>
      </c>
      <c r="P247" s="8">
        <f t="shared" ca="1" si="162"/>
        <v>643.26309914768603</v>
      </c>
      <c r="Q247" s="8">
        <f t="shared" ca="1" si="162"/>
        <v>625.33313455876578</v>
      </c>
      <c r="R247" s="8">
        <f t="shared" ca="1" si="162"/>
        <v>606.01159722921875</v>
      </c>
      <c r="S247" s="8">
        <f t="shared" ca="1" si="162"/>
        <v>586.07348480969483</v>
      </c>
      <c r="T247" s="8">
        <f t="shared" ca="1" si="162"/>
        <v>566.5206981143026</v>
      </c>
      <c r="U247" s="8">
        <f t="shared" ca="1" si="162"/>
        <v>548.51603865890229</v>
      </c>
      <c r="V247" s="8">
        <f t="shared" ca="1" si="162"/>
        <v>533.28321544825235</v>
      </c>
      <c r="W247" s="8">
        <f t="shared" ca="1" si="162"/>
        <v>521.99520706572173</v>
      </c>
      <c r="X247" s="8">
        <f t="shared" ca="1" si="162"/>
        <v>515.67791138194491</v>
      </c>
      <c r="Y247" s="8">
        <f t="shared" ca="1" si="162"/>
        <v>515.15156202740513</v>
      </c>
      <c r="Z247" s="8">
        <f t="shared" ca="1" si="162"/>
        <v>521.02023483228459</v>
      </c>
      <c r="AA247" s="8">
        <f t="shared" ca="1" si="162"/>
        <v>533.70492704106516</v>
      </c>
      <c r="AB247" s="13"/>
    </row>
    <row r="253" spans="4:28" ht="18.75" x14ac:dyDescent="0.3">
      <c r="E253" s="1" t="s">
        <v>31</v>
      </c>
    </row>
    <row r="254" spans="4:28" x14ac:dyDescent="0.25">
      <c r="H254" s="16" t="s">
        <v>17</v>
      </c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</row>
    <row r="255" spans="4:28" x14ac:dyDescent="0.25">
      <c r="H255" s="2">
        <v>0</v>
      </c>
      <c r="I255" s="2">
        <f t="shared" ref="I255" si="163">+H255+delta</f>
        <v>0.1</v>
      </c>
      <c r="J255" s="2">
        <f t="shared" ref="J255" si="164">+I255+delta</f>
        <v>0.2</v>
      </c>
      <c r="K255" s="2">
        <f t="shared" ref="K255" si="165">+J255+delta</f>
        <v>0.30000000000000004</v>
      </c>
      <c r="L255" s="2">
        <f t="shared" ref="L255" si="166">+K255+delta</f>
        <v>0.4</v>
      </c>
      <c r="M255" s="2">
        <f t="shared" ref="M255" si="167">+L255+delta</f>
        <v>0.5</v>
      </c>
      <c r="N255" s="2">
        <f t="shared" ref="N255" si="168">+M255+delta</f>
        <v>0.6</v>
      </c>
      <c r="O255" s="2">
        <f t="shared" ref="O255" si="169">+N255+delta</f>
        <v>0.7</v>
      </c>
      <c r="P255" s="2">
        <f t="shared" ref="P255" si="170">+O255+delta</f>
        <v>0.79999999999999993</v>
      </c>
      <c r="Q255" s="2">
        <f t="shared" ref="Q255" si="171">+P255+delta</f>
        <v>0.89999999999999991</v>
      </c>
      <c r="R255" s="2">
        <f t="shared" ref="R255" si="172">+Q255+delta</f>
        <v>0.99999999999999989</v>
      </c>
      <c r="S255" s="2">
        <f t="shared" ref="S255" si="173">+R255+delta</f>
        <v>1.0999999999999999</v>
      </c>
      <c r="T255" s="2">
        <f t="shared" ref="T255" si="174">+S255+delta</f>
        <v>1.2</v>
      </c>
      <c r="U255" s="2">
        <f t="shared" ref="U255" si="175">+T255+delta</f>
        <v>1.3</v>
      </c>
      <c r="V255" s="2">
        <f t="shared" ref="V255" si="176">+U255+delta</f>
        <v>1.4000000000000001</v>
      </c>
      <c r="W255" s="2">
        <f t="shared" ref="W255" si="177">+V255+delta</f>
        <v>1.5000000000000002</v>
      </c>
      <c r="X255" s="2">
        <f t="shared" ref="X255" si="178">+W255+delta</f>
        <v>1.6000000000000003</v>
      </c>
      <c r="Y255" s="2">
        <f t="shared" ref="Y255" si="179">+X255+delta</f>
        <v>1.7000000000000004</v>
      </c>
      <c r="Z255" s="2">
        <f t="shared" ref="Z255" si="180">+Y255+delta</f>
        <v>1.8000000000000005</v>
      </c>
      <c r="AA255" s="2">
        <f t="shared" ref="AA255" si="181">+Z255+delta</f>
        <v>1.9000000000000006</v>
      </c>
      <c r="AB255" s="2">
        <f t="shared" ref="AB255" si="182">+AA255+delta</f>
        <v>2.0000000000000004</v>
      </c>
    </row>
    <row r="258" spans="5:28" x14ac:dyDescent="0.25">
      <c r="E258" s="2">
        <f t="shared" ref="E258:E297" si="183">E259+delta</f>
        <v>4.0000000000000018</v>
      </c>
      <c r="H258" s="8">
        <f t="shared" ref="H258:AA258" si="184" xml:space="preserve"> (H58+G57+H56+I57-4*H57)/delta^2</f>
        <v>0</v>
      </c>
      <c r="I258" s="8">
        <f t="shared" ca="1" si="184"/>
        <v>-1.9359661375633985E-12</v>
      </c>
      <c r="J258" s="8">
        <f t="shared" ca="1" si="184"/>
        <v>-3.868193641104206E-12</v>
      </c>
      <c r="K258" s="8">
        <f t="shared" ca="1" si="184"/>
        <v>-5.7931439457819734E-12</v>
      </c>
      <c r="L258" s="8">
        <f t="shared" ca="1" si="184"/>
        <v>-7.7075298861349948E-12</v>
      </c>
      <c r="M258" s="8">
        <f t="shared" ca="1" si="184"/>
        <v>-9.6083902349796709E-12</v>
      </c>
      <c r="N258" s="8">
        <f t="shared" ca="1" si="184"/>
        <v>-1.1493162040024199E-11</v>
      </c>
      <c r="O258" s="8">
        <f t="shared" ca="1" si="184"/>
        <v>-1.335976820707532E-11</v>
      </c>
      <c r="P258" s="8">
        <f t="shared" ca="1" si="184"/>
        <v>-1.5206693055377221E-11</v>
      </c>
      <c r="Q258" s="8">
        <f t="shared" ca="1" si="184"/>
        <v>-1.7033083453345425E-11</v>
      </c>
      <c r="R258" s="8">
        <f t="shared" ca="1" si="184"/>
        <v>-1.8838839112278978E-11</v>
      </c>
      <c r="S258" s="8">
        <f t="shared" ca="1" si="184"/>
        <v>-2.0624724394709481E-11</v>
      </c>
      <c r="T258" s="8">
        <f t="shared" ca="1" si="184"/>
        <v>-2.2392485543760995E-11</v>
      </c>
      <c r="U258" s="8">
        <f t="shared" ca="1" si="184"/>
        <v>-2.4144970961828546E-11</v>
      </c>
      <c r="V258" s="8">
        <f t="shared" ca="1" si="184"/>
        <v>-2.5886279610750484E-11</v>
      </c>
      <c r="W258" s="8">
        <f t="shared" ca="1" si="184"/>
        <v>-2.7621921270442114E-11</v>
      </c>
      <c r="X258" s="8">
        <f t="shared" ca="1" si="184"/>
        <v>-2.9358978491595196E-11</v>
      </c>
      <c r="Y258" s="8">
        <f t="shared" ca="1" si="184"/>
        <v>-3.1106318015101588E-11</v>
      </c>
      <c r="Z258" s="8">
        <f t="shared" ca="1" si="184"/>
        <v>-3.2874812355872245E-11</v>
      </c>
      <c r="AA258" s="8">
        <f t="shared" ca="1" si="184"/>
        <v>-3.4677583748326031E-11</v>
      </c>
      <c r="AB258" s="8">
        <f ca="1" xml:space="preserve"> (AB58+AA57+AB56+AC57-4*AB57)/delta^2</f>
        <v>-3.6530326018909675E-11</v>
      </c>
    </row>
    <row r="259" spans="5:28" x14ac:dyDescent="0.25">
      <c r="E259" s="2">
        <f t="shared" si="183"/>
        <v>3.9000000000000021</v>
      </c>
      <c r="H259" s="8">
        <f t="shared" ref="H259:AB259" ca="1" si="185" xml:space="preserve"> (H59+G58+H57+I58-4*H58)/delta^2</f>
        <v>-1.9359661375633985E-12</v>
      </c>
      <c r="I259" s="7">
        <f t="shared" ca="1" si="185"/>
        <v>1.3246807853747588E-6</v>
      </c>
      <c r="J259" s="7">
        <f t="shared" ca="1" si="185"/>
        <v>2.6359589420712073E-6</v>
      </c>
      <c r="K259" s="7">
        <f t="shared" ca="1" si="185"/>
        <v>3.9204471673937732E-6</v>
      </c>
      <c r="L259" s="7">
        <f t="shared" ca="1" si="185"/>
        <v>5.1648369742637057E-6</v>
      </c>
      <c r="M259" s="7">
        <f t="shared" ca="1" si="185"/>
        <v>6.3559715222130352E-6</v>
      </c>
      <c r="N259" s="7">
        <f t="shared" ca="1" si="185"/>
        <v>7.4809586460505909E-6</v>
      </c>
      <c r="O259" s="7">
        <f t="shared" ca="1" si="185"/>
        <v>8.527326261245864E-6</v>
      </c>
      <c r="P259" s="7">
        <f t="shared" ca="1" si="185"/>
        <v>9.4832175899102439E-6</v>
      </c>
      <c r="Q259" s="7">
        <f t="shared" ca="1" si="185"/>
        <v>1.0337616490622621E-5</v>
      </c>
      <c r="R259" s="7">
        <f t="shared" ca="1" si="185"/>
        <v>1.108058655957685E-5</v>
      </c>
      <c r="S259" s="7">
        <f t="shared" ca="1" si="185"/>
        <v>1.1703502841972547E-5</v>
      </c>
      <c r="T259" s="7">
        <f t="shared" ca="1" si="185"/>
        <v>1.2199253159077748E-5</v>
      </c>
      <c r="U259" s="7">
        <f t="shared" ca="1" si="185"/>
        <v>1.2562388055105117E-5</v>
      </c>
      <c r="V259" s="7">
        <f t="shared" ca="1" si="185"/>
        <v>1.2789204322660598E-5</v>
      </c>
      <c r="W259" s="7">
        <f t="shared" ca="1" si="185"/>
        <v>1.287775618560036E-5</v>
      </c>
      <c r="X259" s="7">
        <f t="shared" ca="1" si="185"/>
        <v>1.2827798856617659E-5</v>
      </c>
      <c r="Y259" s="7">
        <f t="shared" ca="1" si="185"/>
        <v>1.2640679173300783E-5</v>
      </c>
      <c r="Z259" s="7">
        <f t="shared" ca="1" si="185"/>
        <v>1.2319195194241738E-5</v>
      </c>
      <c r="AA259" s="7">
        <f t="shared" ca="1" si="185"/>
        <v>1.1867449434857208E-5</v>
      </c>
      <c r="AB259" s="8">
        <f t="shared" ca="1" si="185"/>
        <v>1.1290718353258775E-5</v>
      </c>
    </row>
    <row r="260" spans="5:28" x14ac:dyDescent="0.25">
      <c r="E260" s="2">
        <f t="shared" si="183"/>
        <v>3.800000000000002</v>
      </c>
      <c r="H260" s="8">
        <f t="shared" ref="H260:AB260" ca="1" si="186" xml:space="preserve"> (H60+G59+H58+I59-4*H59)/delta^2</f>
        <v>-3.8597719313228354E-12</v>
      </c>
      <c r="I260" s="7">
        <f t="shared" ca="1" si="186"/>
        <v>2.6628029183751741E-6</v>
      </c>
      <c r="J260" s="7">
        <f t="shared" ca="1" si="186"/>
        <v>5.2987696910626909E-6</v>
      </c>
      <c r="K260" s="7">
        <f t="shared" ca="1" si="186"/>
        <v>7.8810796056889023E-6</v>
      </c>
      <c r="L260" s="7">
        <f t="shared" ca="1" si="186"/>
        <v>1.0383040880002763E-5</v>
      </c>
      <c r="M260" s="7">
        <f t="shared" ca="1" si="186"/>
        <v>1.2778226767910782E-5</v>
      </c>
      <c r="N260" s="7">
        <f t="shared" ca="1" si="186"/>
        <v>1.5040697502846945E-5</v>
      </c>
      <c r="O260" s="7">
        <f t="shared" ca="1" si="186"/>
        <v>1.7145313665659726E-5</v>
      </c>
      <c r="P260" s="7">
        <f t="shared" ca="1" si="186"/>
        <v>1.9068136354624218E-5</v>
      </c>
      <c r="Q260" s="7">
        <f t="shared" ca="1" si="186"/>
        <v>2.0786894178626173E-5</v>
      </c>
      <c r="R260" s="7">
        <f t="shared" ca="1" si="186"/>
        <v>2.2281482622022176E-5</v>
      </c>
      <c r="S260" s="7">
        <f t="shared" ca="1" si="186"/>
        <v>2.3534450463403522E-5</v>
      </c>
      <c r="T260" s="7">
        <f t="shared" ca="1" si="186"/>
        <v>2.4531423427034045E-5</v>
      </c>
      <c r="U260" s="7">
        <f t="shared" ca="1" si="186"/>
        <v>2.5261419119791117E-5</v>
      </c>
      <c r="V260" s="7">
        <f t="shared" ca="1" si="186"/>
        <v>2.5717020004885953E-5</v>
      </c>
      <c r="W260" s="7">
        <f t="shared" ca="1" si="186"/>
        <v>2.5894391052688539E-5</v>
      </c>
      <c r="X260" s="7">
        <f t="shared" ca="1" si="186"/>
        <v>2.5793152154212053E-5</v>
      </c>
      <c r="Y260" s="7">
        <f t="shared" ca="1" si="186"/>
        <v>2.5416137514825805E-5</v>
      </c>
      <c r="Z260" s="7">
        <f t="shared" ca="1" si="186"/>
        <v>2.4769090169207173E-5</v>
      </c>
      <c r="AA260" s="7">
        <f t="shared" ca="1" si="186"/>
        <v>2.3860345846923693E-5</v>
      </c>
      <c r="AB260" s="8">
        <f t="shared" ca="1" si="186"/>
        <v>2.2700555186972411E-5</v>
      </c>
    </row>
    <row r="261" spans="5:28" x14ac:dyDescent="0.25">
      <c r="E261" s="2">
        <f t="shared" si="183"/>
        <v>3.700000000000002</v>
      </c>
      <c r="H261" s="8">
        <f t="shared" ref="H261:AB261" ca="1" si="187" xml:space="preserve"> (H61+G60+H59+I60-4*H60)/delta^2</f>
        <v>-5.7593854476691532E-12</v>
      </c>
      <c r="I261" s="7">
        <f t="shared" ca="1" si="187"/>
        <v>4.0278306404844613E-6</v>
      </c>
      <c r="J261" s="7">
        <f t="shared" ca="1" si="187"/>
        <v>8.0153451733673146E-6</v>
      </c>
      <c r="K261" s="7">
        <f t="shared" ca="1" si="187"/>
        <v>1.192221065018814E-5</v>
      </c>
      <c r="L261" s="7">
        <f t="shared" ca="1" si="187"/>
        <v>1.5708211958975236E-5</v>
      </c>
      <c r="M261" s="7">
        <f t="shared" ca="1" si="187"/>
        <v>1.9333430443887086E-5</v>
      </c>
      <c r="N261" s="7">
        <f t="shared" ca="1" si="187"/>
        <v>2.2758565318113933E-5</v>
      </c>
      <c r="O261" s="7">
        <f t="shared" ca="1" si="187"/>
        <v>2.5945409618330228E-5</v>
      </c>
      <c r="P261" s="7">
        <f t="shared" ca="1" si="187"/>
        <v>2.8857475299810542E-5</v>
      </c>
      <c r="Q261" s="7">
        <f t="shared" ca="1" si="187"/>
        <v>3.1460736346346168E-5</v>
      </c>
      <c r="R261" s="7">
        <f t="shared" ca="1" si="187"/>
        <v>3.3724433719028517E-5</v>
      </c>
      <c r="S261" s="7">
        <f t="shared" ca="1" si="187"/>
        <v>3.5621866305930634E-5</v>
      </c>
      <c r="T261" s="7">
        <f t="shared" ca="1" si="187"/>
        <v>3.7131082847752666E-5</v>
      </c>
      <c r="U261" s="7">
        <f t="shared" ca="1" si="187"/>
        <v>3.8235395116546641E-5</v>
      </c>
      <c r="V261" s="7">
        <f t="shared" ca="1" si="187"/>
        <v>3.8923653700872892E-5</v>
      </c>
      <c r="W261" s="7">
        <f t="shared" ca="1" si="187"/>
        <v>3.9190262042065702E-5</v>
      </c>
      <c r="X261" s="7">
        <f t="shared" ca="1" si="187"/>
        <v>3.9034945490941466E-5</v>
      </c>
      <c r="Y261" s="7">
        <f t="shared" ca="1" si="187"/>
        <v>3.8462331321818023E-5</v>
      </c>
      <c r="Z261" s="7">
        <f t="shared" ca="1" si="187"/>
        <v>3.7481423943155547E-5</v>
      </c>
      <c r="AA261" s="7">
        <f t="shared" ca="1" si="187"/>
        <v>3.6105070399573568E-5</v>
      </c>
      <c r="AB261" s="8">
        <f t="shared" ca="1" si="187"/>
        <v>3.4349502051652773E-5</v>
      </c>
    </row>
    <row r="262" spans="5:28" x14ac:dyDescent="0.25">
      <c r="E262" s="2">
        <f t="shared" si="183"/>
        <v>3.6000000000000019</v>
      </c>
      <c r="H262" s="8">
        <f t="shared" ref="H262:AB262" ca="1" si="188" xml:space="preserve"> (H62+G61+H60+I61-4*H61)/delta^2</f>
        <v>-7.6229572038900314E-12</v>
      </c>
      <c r="I262" s="7">
        <f t="shared" ca="1" si="188"/>
        <v>5.4332761388983138E-6</v>
      </c>
      <c r="J262" s="7">
        <f t="shared" ca="1" si="188"/>
        <v>1.0812726778927692E-5</v>
      </c>
      <c r="K262" s="7">
        <f t="shared" ca="1" si="188"/>
        <v>1.6084423795531302E-5</v>
      </c>
      <c r="L262" s="7">
        <f t="shared" ca="1" si="188"/>
        <v>2.1194444268759135E-5</v>
      </c>
      <c r="M262" s="7">
        <f t="shared" ca="1" si="188"/>
        <v>2.6089056132615453E-5</v>
      </c>
      <c r="N262" s="7">
        <f t="shared" ca="1" si="188"/>
        <v>3.0715121552058295E-5</v>
      </c>
      <c r="O262" s="7">
        <f t="shared" ca="1" si="188"/>
        <v>3.5020740867756216E-5</v>
      </c>
      <c r="P262" s="7">
        <f t="shared" ca="1" si="188"/>
        <v>3.8956133744901579E-5</v>
      </c>
      <c r="Q262" s="7">
        <f t="shared" ca="1" si="188"/>
        <v>4.2474714578611147E-5</v>
      </c>
      <c r="R262" s="7">
        <f t="shared" ca="1" si="188"/>
        <v>4.5534278868243013E-5</v>
      </c>
      <c r="S262" s="7">
        <f t="shared" ca="1" si="188"/>
        <v>4.8098183726000877E-5</v>
      </c>
      <c r="T262" s="7">
        <f t="shared" ca="1" si="188"/>
        <v>5.0136387804084515E-5</v>
      </c>
      <c r="U262" s="7">
        <f t="shared" ca="1" si="188"/>
        <v>5.1626221365399457E-5</v>
      </c>
      <c r="V262" s="7">
        <f t="shared" ca="1" si="188"/>
        <v>5.255278924118843E-5</v>
      </c>
      <c r="W262" s="7">
        <f t="shared" ca="1" si="188"/>
        <v>5.2908964487364475E-5</v>
      </c>
      <c r="X262" s="7">
        <f t="shared" ca="1" si="188"/>
        <v>5.2694998155103961E-5</v>
      </c>
      <c r="Y262" s="7">
        <f t="shared" ca="1" si="188"/>
        <v>5.1917835690795052E-5</v>
      </c>
      <c r="Z262" s="7">
        <f t="shared" ca="1" si="188"/>
        <v>5.0590277756292015E-5</v>
      </c>
      <c r="AA262" s="7">
        <f t="shared" ca="1" si="188"/>
        <v>4.8730141489128E-5</v>
      </c>
      <c r="AB262" s="8">
        <f t="shared" ca="1" si="188"/>
        <v>4.6359563203113637E-5</v>
      </c>
    </row>
    <row r="263" spans="5:28" x14ac:dyDescent="0.25">
      <c r="E263" s="2">
        <f t="shared" si="183"/>
        <v>3.5000000000000018</v>
      </c>
      <c r="H263" s="8">
        <f t="shared" ref="H263:AB263" ca="1" si="189" xml:space="preserve"> (H63+G62+H61+I62-4*H62)/delta^2</f>
        <v>-9.4388867449596449E-12</v>
      </c>
      <c r="I263" s="7">
        <f t="shared" ca="1" si="189"/>
        <v>6.892680394007126E-6</v>
      </c>
      <c r="J263" s="7">
        <f t="shared" ca="1" si="189"/>
        <v>1.3718067284334696E-5</v>
      </c>
      <c r="K263" s="7">
        <f t="shared" ca="1" si="189"/>
        <v>2.0408598020479459E-5</v>
      </c>
      <c r="L263" s="7">
        <f t="shared" ca="1" si="189"/>
        <v>2.6896448473198019E-5</v>
      </c>
      <c r="M263" s="7">
        <f t="shared" ca="1" si="189"/>
        <v>3.3113669675515968E-5</v>
      </c>
      <c r="N263" s="7">
        <f t="shared" ca="1" si="189"/>
        <v>3.8992642703897754E-5</v>
      </c>
      <c r="O263" s="7">
        <f t="shared" ca="1" si="189"/>
        <v>4.4466893980643145E-5</v>
      </c>
      <c r="P263" s="7">
        <f t="shared" ca="1" si="189"/>
        <v>4.9472275427258092E-5</v>
      </c>
      <c r="Q263" s="7">
        <f t="shared" ca="1" si="189"/>
        <v>5.3948455457010911E-5</v>
      </c>
      <c r="R263" s="7">
        <f t="shared" ca="1" si="189"/>
        <v>5.784060361394915E-5</v>
      </c>
      <c r="S263" s="7">
        <f t="shared" ca="1" si="189"/>
        <v>6.110109536005191E-5</v>
      </c>
      <c r="T263" s="7">
        <f t="shared" ca="1" si="189"/>
        <v>6.3691029284851708E-5</v>
      </c>
      <c r="U263" s="7">
        <f t="shared" ca="1" si="189"/>
        <v>6.558135132959116E-5</v>
      </c>
      <c r="V263" s="7">
        <f t="shared" ca="1" si="189"/>
        <v>6.675342711200603E-5</v>
      </c>
      <c r="W263" s="7">
        <f t="shared" ca="1" si="189"/>
        <v>6.719898979438281E-5</v>
      </c>
      <c r="X263" s="7">
        <f t="shared" ca="1" si="189"/>
        <v>6.6919500059338028E-5</v>
      </c>
      <c r="Y263" s="7">
        <f t="shared" ca="1" si="189"/>
        <v>6.5925061115202393E-5</v>
      </c>
      <c r="Z263" s="7">
        <f t="shared" ca="1" si="189"/>
        <v>6.4233109114378455E-5</v>
      </c>
      <c r="AA263" s="7">
        <f t="shared" ca="1" si="189"/>
        <v>6.1867129183003862E-5</v>
      </c>
      <c r="AB263" s="8">
        <f t="shared" ca="1" si="189"/>
        <v>5.8855623056718203E-5</v>
      </c>
    </row>
    <row r="264" spans="5:28" x14ac:dyDescent="0.25">
      <c r="E264" s="2">
        <f t="shared" si="183"/>
        <v>3.4000000000000017</v>
      </c>
      <c r="H264" s="8">
        <f t="shared" ref="H264:AB264" ca="1" si="190" xml:space="preserve"> (H64+G63+H62+I63-4*H63)/delta^2</f>
        <v>-1.1195898537690733E-11</v>
      </c>
      <c r="I264" s="7">
        <f t="shared" ca="1" si="190"/>
        <v>8.4195421670539414E-6</v>
      </c>
      <c r="J264" s="7">
        <f t="shared" ca="1" si="190"/>
        <v>1.675851614693288E-5</v>
      </c>
      <c r="K264" s="7">
        <f t="shared" ca="1" si="190"/>
        <v>2.4935801890688306E-5</v>
      </c>
      <c r="L264" s="7">
        <f t="shared" ca="1" si="190"/>
        <v>3.2869527821869362E-5</v>
      </c>
      <c r="M264" s="7">
        <f t="shared" ca="1" si="190"/>
        <v>4.0477073051973452E-5</v>
      </c>
      <c r="N264" s="7">
        <f t="shared" ca="1" si="190"/>
        <v>4.7675522149722385E-5</v>
      </c>
      <c r="O264" s="7">
        <f t="shared" ca="1" si="190"/>
        <v>5.4382647375682082E-5</v>
      </c>
      <c r="P264" s="7">
        <f t="shared" ca="1" si="190"/>
        <v>6.0518441856178659E-5</v>
      </c>
      <c r="Q264" s="7">
        <f t="shared" ca="1" si="190"/>
        <v>6.6007143361117973E-5</v>
      </c>
      <c r="R264" s="7">
        <f t="shared" ca="1" si="190"/>
        <v>7.0779590710212483E-5</v>
      </c>
      <c r="S264" s="7">
        <f t="shared" ca="1" si="190"/>
        <v>7.4775660571292112E-5</v>
      </c>
      <c r="T264" s="7">
        <f t="shared" ca="1" si="190"/>
        <v>7.7946467365200091E-5</v>
      </c>
      <c r="U264" s="7">
        <f t="shared" ca="1" si="190"/>
        <v>8.0256000565518009E-5</v>
      </c>
      <c r="V264" s="7">
        <f t="shared" ca="1" si="190"/>
        <v>8.1681938954021406E-5</v>
      </c>
      <c r="W264" s="7">
        <f t="shared" ca="1" si="190"/>
        <v>8.2215516145219499E-5</v>
      </c>
      <c r="X264" s="7">
        <f t="shared" ca="1" si="190"/>
        <v>8.1860487854837683E-5</v>
      </c>
      <c r="Y264" s="7">
        <f t="shared" ca="1" si="190"/>
        <v>8.0631425137395172E-5</v>
      </c>
      <c r="Z264" s="7">
        <f t="shared" ca="1" si="190"/>
        <v>7.8551684216292606E-5</v>
      </c>
      <c r="AA264" s="7">
        <f t="shared" ca="1" si="190"/>
        <v>7.5651451301918929E-5</v>
      </c>
      <c r="AB264" s="8">
        <f t="shared" ca="1" si="190"/>
        <v>7.1966221128075603E-5</v>
      </c>
    </row>
    <row r="265" spans="5:28" x14ac:dyDescent="0.25">
      <c r="E265" s="2">
        <f t="shared" si="183"/>
        <v>3.3000000000000016</v>
      </c>
      <c r="H265" s="8">
        <f t="shared" ref="H265:AB265" ca="1" si="191" xml:space="preserve"> (H65+G64+H63+I64-4*H64)/delta^2</f>
        <v>-1.2883103804139751E-11</v>
      </c>
      <c r="I265" s="7">
        <f t="shared" ca="1" si="191"/>
        <v>1.0027165874323245E-5</v>
      </c>
      <c r="J265" s="7">
        <f t="shared" ca="1" si="191"/>
        <v>1.9960950801292478E-5</v>
      </c>
      <c r="K265" s="7">
        <f t="shared" ca="1" si="191"/>
        <v>2.9706977580629507E-5</v>
      </c>
      <c r="L265" s="7">
        <f t="shared" ca="1" si="191"/>
        <v>3.9169313591409266E-5</v>
      </c>
      <c r="M265" s="7">
        <f t="shared" ca="1" si="191"/>
        <v>4.8250211090108826E-5</v>
      </c>
      <c r="N265" s="7">
        <f t="shared" ca="1" si="191"/>
        <v>5.6850475765814101E-5</v>
      </c>
      <c r="O265" s="7">
        <f t="shared" ca="1" si="191"/>
        <v>6.4870592437354661E-5</v>
      </c>
      <c r="P265" s="7">
        <f t="shared" ca="1" si="191"/>
        <v>7.2212671589177803E-5</v>
      </c>
      <c r="Q265" s="7">
        <f t="shared" ca="1" si="191"/>
        <v>7.878316391471189E-5</v>
      </c>
      <c r="R265" s="7">
        <f t="shared" ca="1" si="191"/>
        <v>8.4496140733379674E-5</v>
      </c>
      <c r="S265" s="7">
        <f t="shared" ca="1" si="191"/>
        <v>8.9276780091199201E-5</v>
      </c>
      <c r="T265" s="7">
        <f t="shared" ca="1" si="191"/>
        <v>9.3064575080179551E-5</v>
      </c>
      <c r="U265" s="7">
        <f t="shared" ca="1" si="191"/>
        <v>9.5815744661576275E-5</v>
      </c>
      <c r="V265" s="7">
        <f t="shared" ca="1" si="191"/>
        <v>9.7504415546320424E-5</v>
      </c>
      <c r="W265" s="7">
        <f t="shared" ca="1" si="191"/>
        <v>9.8122354911969558E-5</v>
      </c>
      <c r="X265" s="7">
        <f t="shared" ca="1" si="191"/>
        <v>9.7677320749691557E-5</v>
      </c>
      <c r="Y265" s="7">
        <f t="shared" ca="1" si="191"/>
        <v>9.6190382721994178E-5</v>
      </c>
      <c r="Z265" s="7">
        <f t="shared" ca="1" si="191"/>
        <v>9.3692773024461523E-5</v>
      </c>
      <c r="AA265" s="7">
        <f t="shared" ca="1" si="191"/>
        <v>9.0222901275916777E-5</v>
      </c>
      <c r="AB265" s="8">
        <f t="shared" ca="1" si="191"/>
        <v>8.582409975414327E-5</v>
      </c>
    </row>
    <row r="266" spans="5:28" x14ac:dyDescent="0.25">
      <c r="E266" s="2">
        <f t="shared" si="183"/>
        <v>3.2000000000000015</v>
      </c>
      <c r="H266" s="8">
        <f t="shared" ref="H266:AB266" ca="1" si="192" xml:space="preserve"> (H66+G65+H64+I65-4*H65)/delta^2</f>
        <v>-1.4490065573737225E-11</v>
      </c>
      <c r="I266" s="7">
        <f t="shared" ca="1" si="192"/>
        <v>1.1728392800916812E-5</v>
      </c>
      <c r="J266" s="7">
        <f t="shared" ca="1" si="192"/>
        <v>2.3351484656605115E-5</v>
      </c>
      <c r="K266" s="7">
        <f t="shared" ca="1" si="192"/>
        <v>3.4762316123240239E-5</v>
      </c>
      <c r="L266" s="7">
        <f t="shared" ca="1" si="192"/>
        <v>4.5851140141627861E-5</v>
      </c>
      <c r="M266" s="7">
        <f t="shared" ca="1" si="192"/>
        <v>5.6504713370102749E-5</v>
      </c>
      <c r="N266" s="7">
        <f t="shared" ca="1" si="192"/>
        <v>6.6606436763868418E-5</v>
      </c>
      <c r="O266" s="7">
        <f t="shared" ca="1" si="192"/>
        <v>7.6037561043071082E-5</v>
      </c>
      <c r="P266" s="7">
        <f t="shared" ca="1" si="192"/>
        <v>8.4679599427926383E-5</v>
      </c>
      <c r="Q266" s="7">
        <f t="shared" ca="1" si="192"/>
        <v>9.2417935088171397E-5</v>
      </c>
      <c r="R266" s="7">
        <f t="shared" ca="1" si="192"/>
        <v>9.9146385767849552E-5</v>
      </c>
      <c r="S266" s="7">
        <f t="shared" ca="1" si="192"/>
        <v>1.047722226603072E-4</v>
      </c>
      <c r="T266" s="7">
        <f t="shared" ca="1" si="192"/>
        <v>1.0922090686595832E-4</v>
      </c>
      <c r="U266" s="7">
        <f t="shared" ca="1" si="192"/>
        <v>1.1243970519437573E-4</v>
      </c>
      <c r="V266" s="7">
        <f t="shared" ca="1" si="192"/>
        <v>1.1439945990106799E-4</v>
      </c>
      <c r="W266" s="7">
        <f t="shared" ca="1" si="192"/>
        <v>1.1509412181410787E-4</v>
      </c>
      <c r="X266" s="7">
        <f t="shared" ca="1" si="192"/>
        <v>1.1453813089127519E-4</v>
      </c>
      <c r="Y266" s="7">
        <f t="shared" ca="1" si="192"/>
        <v>1.1276220521975845E-4</v>
      </c>
      <c r="Z266" s="7">
        <f t="shared" ca="1" si="192"/>
        <v>1.098084389003972E-4</v>
      </c>
      <c r="AA266" s="7">
        <f t="shared" ca="1" si="192"/>
        <v>1.0572572070946526E-4</v>
      </c>
      <c r="AB266" s="8">
        <f t="shared" ca="1" si="192"/>
        <v>1.0056636244640779E-4</v>
      </c>
    </row>
    <row r="267" spans="5:28" x14ac:dyDescent="0.25">
      <c r="E267" s="2">
        <f t="shared" si="183"/>
        <v>3.1000000000000014</v>
      </c>
      <c r="H267" s="8">
        <f t="shared" ref="H267:AB267" ca="1" si="193" xml:space="preserve"> (H67+G66+H65+I66-4*H66)/delta^2</f>
        <v>-1.6006866445923519E-11</v>
      </c>
      <c r="I267" s="7">
        <f t="shared" ca="1" si="193"/>
        <v>1.3535170085407952E-5</v>
      </c>
      <c r="J267" s="7">
        <f t="shared" ca="1" si="193"/>
        <v>2.695466132801723E-5</v>
      </c>
      <c r="K267" s="7">
        <f t="shared" ca="1" si="193"/>
        <v>4.0140191335483615E-5</v>
      </c>
      <c r="L267" s="7">
        <f t="shared" ca="1" si="193"/>
        <v>5.2968892548695121E-5</v>
      </c>
      <c r="M267" s="7">
        <f t="shared" ca="1" si="193"/>
        <v>6.5311885238711502E-5</v>
      </c>
      <c r="N267" s="7">
        <f t="shared" ca="1" si="193"/>
        <v>7.7033959982556331E-5</v>
      </c>
      <c r="O267" s="7">
        <f t="shared" ca="1" si="193"/>
        <v>8.799472053103509E-5</v>
      </c>
      <c r="P267" s="7">
        <f t="shared" ca="1" si="193"/>
        <v>9.8051475302572067E-5</v>
      </c>
      <c r="Q267" s="7">
        <f t="shared" ca="1" si="193"/>
        <v>1.0706397528464437E-4</v>
      </c>
      <c r="R267" s="7">
        <f t="shared" ca="1" si="193"/>
        <v>1.149007657995967E-4</v>
      </c>
      <c r="S267" s="7">
        <f t="shared" ca="1" si="193"/>
        <v>1.2144647482997727E-4</v>
      </c>
      <c r="T267" s="7">
        <f t="shared" ca="1" si="193"/>
        <v>1.2660891586240439E-4</v>
      </c>
      <c r="U267" s="7">
        <f t="shared" ca="1" si="193"/>
        <v>1.3032463408854317E-4</v>
      </c>
      <c r="V267" s="7">
        <f t="shared" ca="1" si="193"/>
        <v>1.325616545536567E-4</v>
      </c>
      <c r="W267" s="7">
        <f t="shared" ca="1" si="193"/>
        <v>1.3331873166650633E-4</v>
      </c>
      <c r="X267" s="7">
        <f t="shared" ca="1" si="193"/>
        <v>1.3262119896695863E-4</v>
      </c>
      <c r="Y267" s="7">
        <f t="shared" ca="1" si="193"/>
        <v>1.3051432584247101E-4</v>
      </c>
      <c r="Z267" s="7">
        <f t="shared" ca="1" si="193"/>
        <v>1.2705565055912222E-4</v>
      </c>
      <c r="AA267" s="7">
        <f t="shared" ca="1" si="193"/>
        <v>1.2230791380609706E-4</v>
      </c>
      <c r="AB267" s="8">
        <f t="shared" ca="1" si="193"/>
        <v>1.1633397605881419E-4</v>
      </c>
    </row>
    <row r="268" spans="5:28" x14ac:dyDescent="0.25">
      <c r="E268" s="2">
        <f t="shared" si="183"/>
        <v>3.0000000000000013</v>
      </c>
      <c r="H268" s="8">
        <f t="shared" ref="H268:AB268" ca="1" si="194" xml:space="preserve"> (H68+G67+H66+I67-4*H67)/delta^2</f>
        <v>-1.7424158903905914E-11</v>
      </c>
      <c r="I268" s="7">
        <f t="shared" ca="1" si="194"/>
        <v>1.5457901214267405E-5</v>
      </c>
      <c r="J268" s="7">
        <f t="shared" ca="1" si="194"/>
        <v>3.0792220656204645E-5</v>
      </c>
      <c r="K268" s="7">
        <f t="shared" ca="1" si="194"/>
        <v>4.5875478408034444E-5</v>
      </c>
      <c r="L268" s="7">
        <f t="shared" ca="1" si="194"/>
        <v>6.0573097144763538E-5</v>
      </c>
      <c r="M268" s="7">
        <f t="shared" ca="1" si="194"/>
        <v>7.4740878042807074E-5</v>
      </c>
      <c r="N268" s="7">
        <f t="shared" ca="1" si="194"/>
        <v>8.8223858239571098E-5</v>
      </c>
      <c r="O268" s="7">
        <f t="shared" ca="1" si="194"/>
        <v>1.0085710287380081E-4</v>
      </c>
      <c r="P268" s="7">
        <f t="shared" ca="1" si="194"/>
        <v>1.124689775634747E-4</v>
      </c>
      <c r="Q268" s="7">
        <f t="shared" ca="1" si="194"/>
        <v>1.2288724931129502E-4</v>
      </c>
      <c r="R268" s="7">
        <f t="shared" ca="1" si="194"/>
        <v>1.3194790272406766E-4</v>
      </c>
      <c r="S268" s="7">
        <f t="shared" ca="1" si="194"/>
        <v>1.3950581983974451E-4</v>
      </c>
      <c r="T268" s="7">
        <f t="shared" ca="1" si="194"/>
        <v>1.4544562052820097E-4</v>
      </c>
      <c r="U268" s="7">
        <f t="shared" ca="1" si="194"/>
        <v>1.4969038051270125E-4</v>
      </c>
      <c r="V268" s="7">
        <f t="shared" ca="1" si="194"/>
        <v>1.5220605852834295E-4</v>
      </c>
      <c r="W268" s="7">
        <f t="shared" ca="1" si="194"/>
        <v>1.5300036333330214E-4</v>
      </c>
      <c r="X268" s="7">
        <f t="shared" ca="1" si="194"/>
        <v>1.5211616601045611E-4</v>
      </c>
      <c r="Y268" s="7">
        <f t="shared" ca="1" si="194"/>
        <v>1.4962095505333115E-4</v>
      </c>
      <c r="Z268" s="7">
        <f t="shared" ca="1" si="194"/>
        <v>1.45594780363357E-4</v>
      </c>
      <c r="AA268" s="7">
        <f t="shared" ca="1" si="194"/>
        <v>1.4011931839378632E-4</v>
      </c>
      <c r="AB268" s="8">
        <f t="shared" ca="1" si="194"/>
        <v>1.3327018121111857E-4</v>
      </c>
    </row>
    <row r="269" spans="5:28" x14ac:dyDescent="0.25">
      <c r="E269" s="2">
        <f t="shared" si="183"/>
        <v>2.9000000000000012</v>
      </c>
      <c r="H269" s="8">
        <f t="shared" ref="H269:AB269" ca="1" si="195" xml:space="preserve"> (H69+G68+H67+I68-4*H68)/delta^2</f>
        <v>-1.8733230027975775E-11</v>
      </c>
      <c r="I269" s="7">
        <f t="shared" ca="1" si="195"/>
        <v>1.7504512996561894E-5</v>
      </c>
      <c r="J269" s="7">
        <f t="shared" ca="1" si="195"/>
        <v>3.4881299471262513E-5</v>
      </c>
      <c r="K269" s="7">
        <f t="shared" ca="1" si="195"/>
        <v>5.1997037782538834E-5</v>
      </c>
      <c r="L269" s="7">
        <f t="shared" ca="1" si="195"/>
        <v>6.8707947221936173E-5</v>
      </c>
      <c r="M269" s="7">
        <f t="shared" ca="1" si="195"/>
        <v>8.4855652160626703E-5</v>
      </c>
      <c r="N269" s="7">
        <f t="shared" ca="1" si="195"/>
        <v>1.0026464404595943E-4</v>
      </c>
      <c r="O269" s="7">
        <f t="shared" ca="1" si="195"/>
        <v>1.1474217676505974E-4</v>
      </c>
      <c r="P269" s="7">
        <f t="shared" ca="1" si="195"/>
        <v>1.2808157212481315E-4</v>
      </c>
      <c r="Q269" s="7">
        <f t="shared" ca="1" si="195"/>
        <v>1.4006979688358648E-4</v>
      </c>
      <c r="R269" s="7">
        <f t="shared" ca="1" si="195"/>
        <v>1.5049959514053764E-4</v>
      </c>
      <c r="S269" s="7">
        <f t="shared" ca="1" si="195"/>
        <v>1.5918526270776703E-4</v>
      </c>
      <c r="T269" s="7">
        <f t="shared" ca="1" si="195"/>
        <v>1.6597950803171142E-4</v>
      </c>
      <c r="U269" s="7">
        <f t="shared" ca="1" si="195"/>
        <v>1.7078751053296607E-4</v>
      </c>
      <c r="V269" s="7">
        <f t="shared" ca="1" si="195"/>
        <v>1.7357429607017455E-4</v>
      </c>
      <c r="W269" s="7">
        <f t="shared" ca="1" si="195"/>
        <v>1.7436311603173831E-4</v>
      </c>
      <c r="X269" s="7">
        <f t="shared" ca="1" si="195"/>
        <v>1.732249246929251E-4</v>
      </c>
      <c r="Y269" s="7">
        <f t="shared" ca="1" si="195"/>
        <v>1.7026148656416014E-4</v>
      </c>
      <c r="Z269" s="7">
        <f t="shared" ca="1" si="195"/>
        <v>1.6558629913924688E-4</v>
      </c>
      <c r="AA269" s="7">
        <f t="shared" ca="1" si="195"/>
        <v>1.5930766689197307E-4</v>
      </c>
      <c r="AB269" s="8">
        <f t="shared" ca="1" si="195"/>
        <v>1.5151710781296371E-4</v>
      </c>
    </row>
    <row r="270" spans="5:28" x14ac:dyDescent="0.25">
      <c r="E270" s="2">
        <f t="shared" si="183"/>
        <v>2.8000000000000012</v>
      </c>
      <c r="H270" s="8">
        <f t="shared" ref="H270:AB270" ca="1" si="196" xml:space="preserve"> (H70+G69+H68+I69-4*H69)/delta^2</f>
        <v>-1.9926045541221804E-11</v>
      </c>
      <c r="I270" s="7">
        <f t="shared" ca="1" si="196"/>
        <v>1.9679172205181954E-5</v>
      </c>
      <c r="J270" s="7">
        <f t="shared" ca="1" si="196"/>
        <v>3.9231917778667759E-5</v>
      </c>
      <c r="K270" s="7">
        <f t="shared" ca="1" si="196"/>
        <v>5.852410560375935E-5</v>
      </c>
      <c r="L270" s="7">
        <f t="shared" ca="1" si="196"/>
        <v>7.7406868403419822E-5</v>
      </c>
      <c r="M270" s="7">
        <f t="shared" ca="1" si="196"/>
        <v>9.5710191478075722E-5</v>
      </c>
      <c r="N270" s="7">
        <f t="shared" ca="1" si="196"/>
        <v>1.132381249958512E-4</v>
      </c>
      <c r="O270" s="7">
        <f t="shared" ca="1" si="196"/>
        <v>1.2976680593912652E-4</v>
      </c>
      <c r="P270" s="7">
        <f t="shared" ca="1" si="196"/>
        <v>1.4504693515943274E-4</v>
      </c>
      <c r="Q270" s="7">
        <f t="shared" ca="1" si="196"/>
        <v>1.5881254673856795E-4</v>
      </c>
      <c r="R270" s="7">
        <f t="shared" ca="1" si="196"/>
        <v>1.7079736993332818E-4</v>
      </c>
      <c r="S270" s="7">
        <f t="shared" ca="1" si="196"/>
        <v>1.8075825353675368E-4</v>
      </c>
      <c r="T270" s="7">
        <f t="shared" ca="1" si="196"/>
        <v>1.8850193646315069E-4</v>
      </c>
      <c r="U270" s="7">
        <f t="shared" ca="1" si="196"/>
        <v>1.9390832671386905E-4</v>
      </c>
      <c r="V270" s="7">
        <f t="shared" ca="1" si="196"/>
        <v>1.9694313865684963E-4</v>
      </c>
      <c r="W270" s="7">
        <f t="shared" ca="1" si="196"/>
        <v>1.9765568957813299E-4</v>
      </c>
      <c r="X270" s="7">
        <f t="shared" ca="1" si="196"/>
        <v>1.9616191038632037E-4</v>
      </c>
      <c r="Y270" s="7">
        <f t="shared" ca="1" si="196"/>
        <v>1.9261691983382502E-4</v>
      </c>
      <c r="Z270" s="7">
        <f t="shared" ca="1" si="196"/>
        <v>1.871845901911962E-4</v>
      </c>
      <c r="AA270" s="7">
        <f t="shared" ca="1" si="196"/>
        <v>1.8001144882909614E-4</v>
      </c>
      <c r="AB270" s="8">
        <f t="shared" ca="1" si="196"/>
        <v>1.7120947806486747E-4</v>
      </c>
    </row>
    <row r="271" spans="5:28" x14ac:dyDescent="0.25">
      <c r="E271" s="2">
        <f t="shared" si="183"/>
        <v>2.7000000000000011</v>
      </c>
      <c r="H271" s="8">
        <f t="shared" ref="H271:AB271" ca="1" si="197" xml:space="preserve"> (H71+G70+H69+I70-4*H70)/delta^2</f>
        <v>-2.0995305374891384E-11</v>
      </c>
      <c r="I271" s="7">
        <f t="shared" ca="1" si="197"/>
        <v>2.1980598982043652E-5</v>
      </c>
      <c r="J271" s="7">
        <f t="shared" ca="1" si="197"/>
        <v>4.3843615646902598E-5</v>
      </c>
      <c r="K271" s="7">
        <f t="shared" ca="1" si="197"/>
        <v>6.5461320096607575E-5</v>
      </c>
      <c r="L271" s="7">
        <f t="shared" ca="1" si="197"/>
        <v>8.6686149497765163E-5</v>
      </c>
      <c r="M271" s="7">
        <f t="shared" ca="1" si="197"/>
        <v>1.0734123750420806E-4</v>
      </c>
      <c r="N271" s="7">
        <f t="shared" ca="1" si="197"/>
        <v>1.2721217081943824E-4</v>
      </c>
      <c r="O271" s="7">
        <f t="shared" ca="1" si="197"/>
        <v>1.460414922821798E-4</v>
      </c>
      <c r="P271" s="7">
        <f t="shared" ca="1" si="197"/>
        <v>1.6352851230792741E-4</v>
      </c>
      <c r="Q271" s="7">
        <f t="shared" ca="1" si="197"/>
        <v>1.7933797031223928E-4</v>
      </c>
      <c r="R271" s="7">
        <f t="shared" ca="1" si="197"/>
        <v>1.9312115638789836E-4</v>
      </c>
      <c r="S271" s="7">
        <f t="shared" ca="1" si="197"/>
        <v>2.0455070186022308E-4</v>
      </c>
      <c r="T271" s="7">
        <f t="shared" ca="1" si="197"/>
        <v>2.133640973908364E-4</v>
      </c>
      <c r="U271" s="7">
        <f t="shared" ca="1" si="197"/>
        <v>2.194033426513794E-4</v>
      </c>
      <c r="V271" s="7">
        <f t="shared" ca="1" si="197"/>
        <v>2.2263704447425097E-4</v>
      </c>
      <c r="W271" s="7">
        <f t="shared" ca="1" si="197"/>
        <v>2.2315757600174611E-4</v>
      </c>
      <c r="X271" s="7">
        <f t="shared" ca="1" si="197"/>
        <v>2.2115327139187764E-4</v>
      </c>
      <c r="Y271" s="7">
        <f t="shared" ca="1" si="197"/>
        <v>2.1686303899818427E-4</v>
      </c>
      <c r="Z271" s="7">
        <f t="shared" ca="1" si="197"/>
        <v>2.105272255386713E-4</v>
      </c>
      <c r="AA271" s="7">
        <f t="shared" ca="1" si="197"/>
        <v>2.0234778293319597E-4</v>
      </c>
      <c r="AB271" s="8">
        <f t="shared" ca="1" si="197"/>
        <v>1.9246366189766548E-4</v>
      </c>
    </row>
    <row r="272" spans="5:28" x14ac:dyDescent="0.25">
      <c r="E272" s="2">
        <f t="shared" si="183"/>
        <v>2.600000000000001</v>
      </c>
      <c r="H272" s="8">
        <f t="shared" ref="H272:AB272" ca="1" si="198" xml:space="preserve"> (H72+G71+H70+I71-4*H71)/delta^2</f>
        <v>-2.1934479243774365E-11</v>
      </c>
      <c r="I272" s="7">
        <f t="shared" ca="1" si="198"/>
        <v>2.4399966930887061E-5</v>
      </c>
      <c r="J272" s="7">
        <f t="shared" ca="1" si="198"/>
        <v>4.8701174790936445E-5</v>
      </c>
      <c r="K272" s="7">
        <f t="shared" ca="1" si="198"/>
        <v>7.2792168881463396E-5</v>
      </c>
      <c r="L272" s="7">
        <f t="shared" ca="1" si="198"/>
        <v>9.6536140054047704E-5</v>
      </c>
      <c r="M272" s="7">
        <f t="shared" ca="1" si="198"/>
        <v>1.1975761345312319E-4</v>
      </c>
      <c r="N272" s="7">
        <f t="shared" ca="1" si="198"/>
        <v>1.4222920898094256E-4</v>
      </c>
      <c r="O272" s="7">
        <f t="shared" ca="1" si="198"/>
        <v>1.6366006369763084E-4</v>
      </c>
      <c r="P272" s="7">
        <f t="shared" ca="1" si="198"/>
        <v>1.8368943603410626E-4</v>
      </c>
      <c r="Q272" s="7">
        <f t="shared" ca="1" si="198"/>
        <v>2.0189164901484276E-4</v>
      </c>
      <c r="R272" s="7">
        <f t="shared" ca="1" si="198"/>
        <v>2.1780076305539896E-4</v>
      </c>
      <c r="S272" s="7">
        <f t="shared" ca="1" si="198"/>
        <v>2.3096167405304251E-4</v>
      </c>
      <c r="T272" s="7">
        <f t="shared" ca="1" si="198"/>
        <v>2.4100297500127815E-4</v>
      </c>
      <c r="U272" s="7">
        <f t="shared" ca="1" si="198"/>
        <v>2.477066594788572E-4</v>
      </c>
      <c r="V272" s="7">
        <f t="shared" ca="1" si="198"/>
        <v>2.5104706816662237E-4</v>
      </c>
      <c r="W272" s="7">
        <f t="shared" ca="1" si="198"/>
        <v>2.5118743605576603E-4</v>
      </c>
      <c r="X272" s="7">
        <f t="shared" ca="1" si="198"/>
        <v>2.4843388825288888E-4</v>
      </c>
      <c r="Y272" s="7">
        <f t="shared" ca="1" si="198"/>
        <v>2.4315825963069215E-4</v>
      </c>
      <c r="Z272" s="7">
        <f t="shared" ca="1" si="198"/>
        <v>2.3571720583473102E-4</v>
      </c>
      <c r="AA272" s="7">
        <f t="shared" ca="1" si="198"/>
        <v>2.2639271131576899E-4</v>
      </c>
      <c r="AB272" s="8">
        <f t="shared" ca="1" si="198"/>
        <v>2.1535949262271691E-4</v>
      </c>
    </row>
    <row r="273" spans="5:28" x14ac:dyDescent="0.25">
      <c r="E273" s="2">
        <f t="shared" si="183"/>
        <v>2.5000000000000009</v>
      </c>
      <c r="H273" s="8">
        <f t="shared" ref="H273:AB273" ca="1" si="199" xml:space="preserve"> (H73+G72+H71+I72-4*H72)/delta^2</f>
        <v>-2.2737850691916317E-11</v>
      </c>
      <c r="I273" s="7">
        <f t="shared" ca="1" si="199"/>
        <v>2.6918468500351695E-5</v>
      </c>
      <c r="J273" s="7">
        <f t="shared" ca="1" si="199"/>
        <v>5.3769520611944986E-5</v>
      </c>
      <c r="K273" s="7">
        <f t="shared" ca="1" si="199"/>
        <v>8.0470832721391415E-5</v>
      </c>
      <c r="L273" s="7">
        <f t="shared" ca="1" si="199"/>
        <v>1.0690963833322227E-4</v>
      </c>
      <c r="M273" s="7">
        <f t="shared" ca="1" si="199"/>
        <v>1.3292509330419235E-4</v>
      </c>
      <c r="N273" s="7">
        <f t="shared" ca="1" si="199"/>
        <v>1.5828842807351967E-4</v>
      </c>
      <c r="O273" s="7">
        <f t="shared" ca="1" si="199"/>
        <v>1.8268176950829958E-4</v>
      </c>
      <c r="P273" s="7">
        <f t="shared" ca="1" si="199"/>
        <v>2.0567938070132402E-4</v>
      </c>
      <c r="Q273" s="7">
        <f t="shared" ca="1" si="199"/>
        <v>2.2674049543931757E-4</v>
      </c>
      <c r="R273" s="7">
        <f t="shared" ca="1" si="199"/>
        <v>2.4523084641353202E-4</v>
      </c>
      <c r="S273" s="7">
        <f t="shared" ca="1" si="199"/>
        <v>2.6049473262886117E-4</v>
      </c>
      <c r="T273" s="7">
        <f t="shared" ca="1" si="199"/>
        <v>2.7198214619039094E-4</v>
      </c>
      <c r="U273" s="7">
        <f t="shared" ca="1" si="199"/>
        <v>2.7937612847262963E-4</v>
      </c>
      <c r="V273" s="7">
        <f t="shared" ca="1" si="199"/>
        <v>2.8266020735204228E-4</v>
      </c>
      <c r="W273" s="7">
        <f t="shared" ca="1" si="199"/>
        <v>2.8211448459105124E-4</v>
      </c>
      <c r="X273" s="7">
        <f t="shared" ca="1" si="199"/>
        <v>2.7824005751227692E-4</v>
      </c>
      <c r="Y273" s="7">
        <f t="shared" ca="1" si="199"/>
        <v>2.7162257763362578E-4</v>
      </c>
      <c r="Z273" s="7">
        <f t="shared" ca="1" si="199"/>
        <v>2.6279450286974948E-4</v>
      </c>
      <c r="AA273" s="7">
        <f t="shared" ca="1" si="199"/>
        <v>2.5215044855172829E-4</v>
      </c>
      <c r="AB273" s="8">
        <f t="shared" ca="1" si="199"/>
        <v>2.3991122295348438E-4</v>
      </c>
    </row>
    <row r="274" spans="5:28" x14ac:dyDescent="0.25">
      <c r="E274" s="2">
        <f t="shared" si="183"/>
        <v>2.4000000000000008</v>
      </c>
      <c r="H274" s="8">
        <f t="shared" ref="H274:AB274" ca="1" si="200" xml:space="preserve"> (H74+G73+H72+I73-4*H73)/delta^2</f>
        <v>-2.3400550296310063E-11</v>
      </c>
      <c r="I274" s="7">
        <f t="shared" ca="1" si="200"/>
        <v>2.9504774384637537E-5</v>
      </c>
      <c r="J274" s="7">
        <f t="shared" ca="1" si="200"/>
        <v>5.898819964265813E-5</v>
      </c>
      <c r="K274" s="7">
        <f t="shared" ca="1" si="200"/>
        <v>8.8412823186169342E-5</v>
      </c>
      <c r="L274" s="7">
        <f t="shared" ca="1" si="200"/>
        <v>1.1770753283278773E-4</v>
      </c>
      <c r="M274" s="7">
        <f t="shared" ca="1" si="200"/>
        <v>1.4674596259775819E-4</v>
      </c>
      <c r="N274" s="7">
        <f t="shared" ca="1" si="200"/>
        <v>1.7531913134049591E-4</v>
      </c>
      <c r="O274" s="7">
        <f t="shared" ca="1" si="200"/>
        <v>2.0310091572916728E-4</v>
      </c>
      <c r="P274" s="7">
        <f t="shared" ca="1" si="200"/>
        <v>2.2960774891482826E-4</v>
      </c>
      <c r="Q274" s="7">
        <f t="shared" ca="1" si="200"/>
        <v>2.5416224718527095E-4</v>
      </c>
      <c r="R274" s="7">
        <f t="shared" ca="1" si="200"/>
        <v>2.7588974814329777E-4</v>
      </c>
      <c r="S274" s="7">
        <f t="shared" ca="1" si="200"/>
        <v>2.938068272703318E-4</v>
      </c>
      <c r="T274" s="7">
        <f t="shared" ca="1" si="200"/>
        <v>3.0705751989273158E-4</v>
      </c>
      <c r="U274" s="7">
        <f t="shared" ca="1" si="200"/>
        <v>3.1515847836653498E-4</v>
      </c>
      <c r="V274" s="7">
        <f t="shared" ca="1" si="200"/>
        <v>3.1810633095655927E-4</v>
      </c>
      <c r="W274" s="7">
        <f t="shared" ca="1" si="200"/>
        <v>3.1637362527354643E-4</v>
      </c>
      <c r="X274" s="7">
        <f t="shared" ca="1" si="200"/>
        <v>3.1079287317165542E-4</v>
      </c>
      <c r="Y274" s="7">
        <f t="shared" ca="1" si="200"/>
        <v>3.023012917850384E-4</v>
      </c>
      <c r="Z274" s="7">
        <f t="shared" ca="1" si="200"/>
        <v>2.9169179169841181E-4</v>
      </c>
      <c r="AA274" s="7">
        <f t="shared" ca="1" si="200"/>
        <v>2.7950758529648485E-4</v>
      </c>
      <c r="AB274" s="8">
        <f t="shared" ca="1" si="200"/>
        <v>2.6602320659058031E-4</v>
      </c>
    </row>
    <row r="275" spans="5:28" x14ac:dyDescent="0.25">
      <c r="E275" s="2">
        <f t="shared" si="183"/>
        <v>2.3000000000000007</v>
      </c>
      <c r="H275" s="8">
        <f t="shared" ref="H275:AB275" ca="1" si="201" xml:space="preserve"> (H75+G74+H73+I74-4*H74)/delta^2</f>
        <v>-2.3918580739070921E-11</v>
      </c>
      <c r="I275" s="7">
        <f t="shared" ca="1" si="201"/>
        <v>3.211282829807134E-5</v>
      </c>
      <c r="J275" s="7">
        <f t="shared" ca="1" si="201"/>
        <v>6.4266290226018224E-5</v>
      </c>
      <c r="K275" s="7">
        <f t="shared" ca="1" si="201"/>
        <v>9.648557059193165E-5</v>
      </c>
      <c r="L275" s="7">
        <f t="shared" ca="1" si="201"/>
        <v>1.2876278195611933E-4</v>
      </c>
      <c r="M275" s="7">
        <f t="shared" ca="1" si="201"/>
        <v>1.6103339751308415E-4</v>
      </c>
      <c r="N275" s="7">
        <f t="shared" ca="1" si="201"/>
        <v>1.9314275129954283E-4</v>
      </c>
      <c r="O275" s="7">
        <f t="shared" ca="1" si="201"/>
        <v>2.2479677089651864E-4</v>
      </c>
      <c r="P275" s="7">
        <f t="shared" ca="1" si="201"/>
        <v>2.5549043272082671E-4</v>
      </c>
      <c r="Q275" s="7">
        <f t="shared" ca="1" si="201"/>
        <v>2.8441319733058743E-4</v>
      </c>
      <c r="R275" s="7">
        <f t="shared" ca="1" si="201"/>
        <v>3.1036149072392357E-4</v>
      </c>
      <c r="S275" s="7">
        <f t="shared" ca="1" si="201"/>
        <v>3.3178794305115626E-4</v>
      </c>
      <c r="T275" s="7">
        <f t="shared" ca="1" si="201"/>
        <v>3.472854759626383E-4</v>
      </c>
      <c r="U275" s="7">
        <f t="shared" ca="1" si="201"/>
        <v>3.5609699434702673E-4</v>
      </c>
      <c r="V275" s="7">
        <f t="shared" ca="1" si="201"/>
        <v>3.5823628401162629E-4</v>
      </c>
      <c r="W275" s="7">
        <f t="shared" ca="1" si="201"/>
        <v>3.5448429429115082E-4</v>
      </c>
      <c r="X275" s="7">
        <f t="shared" ca="1" si="201"/>
        <v>3.4626021151156616E-4</v>
      </c>
      <c r="Y275" s="7">
        <f t="shared" ca="1" si="201"/>
        <v>3.3510183145664044E-4</v>
      </c>
      <c r="Z275" s="7">
        <f t="shared" ca="1" si="201"/>
        <v>3.2216791049041212E-4</v>
      </c>
      <c r="AA275" s="7">
        <f t="shared" ca="1" si="201"/>
        <v>3.0816923997250585E-4</v>
      </c>
      <c r="AB275" s="8">
        <f t="shared" ca="1" si="201"/>
        <v>2.9342657426514174E-4</v>
      </c>
    </row>
    <row r="276" spans="5:28" x14ac:dyDescent="0.25">
      <c r="E276" s="2">
        <f t="shared" si="183"/>
        <v>2.2000000000000006</v>
      </c>
      <c r="H276" s="8">
        <f t="shared" ref="H276:AB276" ca="1" si="202" xml:space="preserve"> (H76+G75+H74+I75-4*H75)/delta^2</f>
        <v>-2.4288844590117372E-11</v>
      </c>
      <c r="I276" s="7">
        <f t="shared" ca="1" si="202"/>
        <v>3.4680655994749224E-5</v>
      </c>
      <c r="J276" s="7">
        <f t="shared" ca="1" si="202"/>
        <v>6.947918507038533E-5</v>
      </c>
      <c r="K276" s="7">
        <f t="shared" ca="1" si="202"/>
        <v>1.0450124774899352E-4</v>
      </c>
      <c r="L276" s="7">
        <f t="shared" ca="1" si="202"/>
        <v>1.3982572414786632E-4</v>
      </c>
      <c r="M276" s="7">
        <f t="shared" ca="1" si="202"/>
        <v>1.7548342609287551E-4</v>
      </c>
      <c r="N276" s="7">
        <f t="shared" ca="1" si="202"/>
        <v>2.1142326981234654E-4</v>
      </c>
      <c r="O276" s="7">
        <f t="shared" ca="1" si="202"/>
        <v>2.4745477829003418E-4</v>
      </c>
      <c r="P276" s="7">
        <f t="shared" ca="1" si="202"/>
        <v>2.831460357616841E-4</v>
      </c>
      <c r="Q276" s="7">
        <f t="shared" ca="1" si="202"/>
        <v>3.1764086570373792E-4</v>
      </c>
      <c r="R276" s="7">
        <f t="shared" ca="1" si="202"/>
        <v>3.49357543845386E-4</v>
      </c>
      <c r="S276" s="7">
        <f t="shared" ca="1" si="202"/>
        <v>3.7570066782138199E-4</v>
      </c>
      <c r="T276" s="7">
        <f t="shared" ca="1" si="202"/>
        <v>3.9420235415934217E-4</v>
      </c>
      <c r="U276" s="7">
        <f t="shared" ca="1" si="202"/>
        <v>4.0371086304090588E-4</v>
      </c>
      <c r="V276" s="7">
        <f t="shared" ca="1" si="202"/>
        <v>4.0426085580976852E-4</v>
      </c>
      <c r="W276" s="7">
        <f t="shared" ca="1" si="202"/>
        <v>3.9707061085057083E-4</v>
      </c>
      <c r="X276" s="7">
        <f t="shared" ca="1" si="202"/>
        <v>3.8466561749039661E-4</v>
      </c>
      <c r="Y276" s="7">
        <f t="shared" ca="1" si="202"/>
        <v>3.6968190026903999E-4</v>
      </c>
      <c r="Z276" s="7">
        <f t="shared" ca="1" si="202"/>
        <v>3.5371298840415269E-4</v>
      </c>
      <c r="AA276" s="7">
        <f t="shared" ca="1" si="202"/>
        <v>3.3757932600526024E-4</v>
      </c>
      <c r="AB276" s="8">
        <f t="shared" ca="1" si="202"/>
        <v>3.2159832958453429E-4</v>
      </c>
    </row>
    <row r="277" spans="5:28" x14ac:dyDescent="0.25">
      <c r="E277" s="2">
        <f t="shared" si="183"/>
        <v>2.1000000000000005</v>
      </c>
      <c r="H277" s="8">
        <f t="shared" ref="H277:AB277" ca="1" si="203" xml:space="preserve"> (H77+G76+H75+I76-4*H76)/delta^2</f>
        <v>-2.4509158537324574E-11</v>
      </c>
      <c r="I277" s="7">
        <f t="shared" ca="1" si="203"/>
        <v>3.7131024017465562E-5</v>
      </c>
      <c r="J277" s="7">
        <f t="shared" ca="1" si="203"/>
        <v>7.4469178025011353E-5</v>
      </c>
      <c r="K277" s="7">
        <f t="shared" ca="1" si="203"/>
        <v>1.1221538432400069E-4</v>
      </c>
      <c r="L277" s="7">
        <f t="shared" ca="1" si="203"/>
        <v>1.5055655379564781E-4</v>
      </c>
      <c r="M277" s="7">
        <f t="shared" ca="1" si="203"/>
        <v>1.8965266385958339E-4</v>
      </c>
      <c r="N277" s="7">
        <f t="shared" ca="1" si="203"/>
        <v>2.2961371029426523E-4</v>
      </c>
      <c r="O277" s="7">
        <f t="shared" ca="1" si="203"/>
        <v>2.7045485676889606E-4</v>
      </c>
      <c r="P277" s="7">
        <f t="shared" ca="1" si="203"/>
        <v>3.1200011720562774E-4</v>
      </c>
      <c r="Q277" s="7">
        <f t="shared" ca="1" si="203"/>
        <v>3.5364896493357811E-4</v>
      </c>
      <c r="R277" s="7">
        <f t="shared" ca="1" si="203"/>
        <v>3.9372965580900145E-4</v>
      </c>
      <c r="S277" s="7">
        <f t="shared" ca="1" si="203"/>
        <v>4.2745755812847476E-4</v>
      </c>
      <c r="T277" s="7">
        <f t="shared" ca="1" si="203"/>
        <v>4.5011535883378642E-4</v>
      </c>
      <c r="U277" s="7">
        <f t="shared" ca="1" si="203"/>
        <v>4.6028641633552743E-4</v>
      </c>
      <c r="V277" s="7">
        <f t="shared" ca="1" si="203"/>
        <v>4.5802905224876986E-4</v>
      </c>
      <c r="W277" s="7">
        <f t="shared" ca="1" si="203"/>
        <v>4.4487528090535872E-4</v>
      </c>
      <c r="X277" s="7">
        <f t="shared" ca="1" si="203"/>
        <v>4.2565357137409529E-4</v>
      </c>
      <c r="Y277" s="7">
        <f t="shared" ca="1" si="203"/>
        <v>4.0525120873088032E-4</v>
      </c>
      <c r="Z277" s="7">
        <f t="shared" ca="1" si="203"/>
        <v>3.8542708634386325E-4</v>
      </c>
      <c r="AA277" s="7">
        <f t="shared" ca="1" si="203"/>
        <v>3.6684124536624432E-4</v>
      </c>
      <c r="AB277" s="8">
        <f t="shared" ca="1" si="203"/>
        <v>3.4967946092204037E-4</v>
      </c>
    </row>
    <row r="278" spans="5:28" x14ac:dyDescent="0.25">
      <c r="E278" s="2">
        <f t="shared" si="183"/>
        <v>2.0000000000000004</v>
      </c>
      <c r="H278" s="8">
        <f t="shared" ref="H278:AB278" ca="1" si="204" xml:space="preserve"> (H78+G77+H76+I77-4*H77)/delta^2</f>
        <v>-2.4578263550919726E-11</v>
      </c>
      <c r="I278" s="7">
        <f t="shared" ca="1" si="204"/>
        <v>3.9374678898799699E-5</v>
      </c>
      <c r="J278" s="7">
        <f t="shared" ca="1" si="204"/>
        <v>7.9051755516086215E-5</v>
      </c>
      <c r="K278" s="7">
        <f t="shared" ca="1" si="204"/>
        <v>1.1933543786330194E-4</v>
      </c>
      <c r="L278" s="7">
        <f t="shared" ca="1" si="204"/>
        <v>1.6053356472417801E-4</v>
      </c>
      <c r="M278" s="7">
        <f t="shared" ca="1" si="204"/>
        <v>2.0295832694482193E-4</v>
      </c>
      <c r="N278" s="7">
        <f t="shared" ca="1" si="204"/>
        <v>2.4692565003218021E-4</v>
      </c>
      <c r="O278" s="7">
        <f t="shared" ca="1" si="204"/>
        <v>2.9275265575579799E-4</v>
      </c>
      <c r="P278" s="7">
        <f t="shared" ca="1" si="204"/>
        <v>3.4075267842561657E-4</v>
      </c>
      <c r="Q278" s="7">
        <f t="shared" ca="1" si="204"/>
        <v>3.9122751804916868E-4</v>
      </c>
      <c r="R278" s="9">
        <f t="shared" ca="1" si="204"/>
        <v>4.4445708074617753E-4</v>
      </c>
      <c r="S278" s="9">
        <f t="shared" ca="1" si="204"/>
        <v>4.9028729943614662E-4</v>
      </c>
      <c r="T278" s="9">
        <f t="shared" ca="1" si="204"/>
        <v>5.1851807895109635E-4</v>
      </c>
      <c r="U278" s="9">
        <f t="shared" ca="1" si="204"/>
        <v>5.292935846442497E-4</v>
      </c>
      <c r="V278" s="9">
        <f t="shared" ca="1" si="204"/>
        <v>5.2269706950591559E-4</v>
      </c>
      <c r="W278" s="9">
        <f t="shared" ca="1" si="204"/>
        <v>4.9875152260169312E-4</v>
      </c>
      <c r="X278" s="7">
        <f t="shared" ca="1" si="204"/>
        <v>4.6782603248972019E-4</v>
      </c>
      <c r="Y278" s="7">
        <f t="shared" ca="1" si="204"/>
        <v>4.4024635375114636E-4</v>
      </c>
      <c r="Z278" s="7">
        <f t="shared" ca="1" si="204"/>
        <v>4.1590720593395048E-4</v>
      </c>
      <c r="AA278" s="7">
        <f t="shared" ca="1" si="204"/>
        <v>3.9468364286792535E-4</v>
      </c>
      <c r="AB278" s="8">
        <f t="shared" ca="1" si="204"/>
        <v>3.7643934013291582E-4</v>
      </c>
    </row>
    <row r="279" spans="5:28" x14ac:dyDescent="0.25">
      <c r="E279" s="2">
        <f t="shared" si="183"/>
        <v>1.9000000000000006</v>
      </c>
      <c r="H279" s="8">
        <f t="shared" ref="H279:AB279" ca="1" si="205" xml:space="preserve"> (H79+G78+H77+I78-4*H78)/delta^2</f>
        <v>-2.4495838436009231E-11</v>
      </c>
      <c r="I279" s="7">
        <f t="shared" ca="1" si="205"/>
        <v>4.1316353780612446E-5</v>
      </c>
      <c r="J279" s="7">
        <f t="shared" ca="1" si="205"/>
        <v>8.3028365291452853E-5</v>
      </c>
      <c r="K279" s="7">
        <f t="shared" ca="1" si="205"/>
        <v>1.2554192859535321E-4</v>
      </c>
      <c r="L279" s="7">
        <f t="shared" ca="1" si="205"/>
        <v>1.6928506411612116E-4</v>
      </c>
      <c r="M279" s="7">
        <f t="shared" ca="1" si="205"/>
        <v>2.1472279318090381E-4</v>
      </c>
      <c r="N279" s="7">
        <f t="shared" ca="1" si="205"/>
        <v>2.6237950913310897E-4</v>
      </c>
      <c r="O279" s="7">
        <f t="shared" ca="1" si="205"/>
        <v>3.1287927534109043E-4</v>
      </c>
      <c r="P279" s="7">
        <f t="shared" ca="1" si="205"/>
        <v>3.6703249320217153E-4</v>
      </c>
      <c r="Q279" s="7">
        <f t="shared" ca="1" si="205"/>
        <v>4.2605364893213537E-4</v>
      </c>
      <c r="R279" s="9">
        <f t="shared" ca="1" si="205"/>
        <v>4.9218637827698811E-4</v>
      </c>
      <c r="S279" s="9">
        <f t="shared" ca="1" si="205"/>
        <v>5.4991923383301128E-4</v>
      </c>
      <c r="T279" s="9">
        <f t="shared" ca="1" si="205"/>
        <v>5.8357905001393459E-4</v>
      </c>
      <c r="U279" s="9">
        <f t="shared" ca="1" si="205"/>
        <v>5.9487597244851215E-4</v>
      </c>
      <c r="V279" s="9">
        <f t="shared" ca="1" si="205"/>
        <v>5.8391753768316501E-4</v>
      </c>
      <c r="W279" s="9">
        <f t="shared" ca="1" si="205"/>
        <v>5.4921134690594047E-4</v>
      </c>
      <c r="X279" s="7">
        <f t="shared" ca="1" si="205"/>
        <v>5.0665654265421428E-4</v>
      </c>
      <c r="Y279" s="7">
        <f t="shared" ca="1" si="205"/>
        <v>4.7200505132577962E-4</v>
      </c>
      <c r="Z279" s="7">
        <f t="shared" ca="1" si="205"/>
        <v>4.4327605085770795E-4</v>
      </c>
      <c r="AA279" s="7">
        <f t="shared" ca="1" si="205"/>
        <v>4.1955132210869616E-4</v>
      </c>
      <c r="AB279" s="8">
        <f t="shared" ca="1" si="205"/>
        <v>4.0036855590728707E-4</v>
      </c>
    </row>
    <row r="280" spans="5:28" x14ac:dyDescent="0.25">
      <c r="E280" s="2">
        <f t="shared" si="183"/>
        <v>1.8000000000000005</v>
      </c>
      <c r="H280" s="8">
        <f t="shared" ref="H280:AB280" ca="1" si="206" xml:space="preserve"> (H80+G79+H78+I79-4*H79)/delta^2</f>
        <v>-2.4262495089194186E-11</v>
      </c>
      <c r="I280" s="7">
        <f t="shared" ca="1" si="206"/>
        <v>4.2862786946357746E-5</v>
      </c>
      <c r="J280" s="7">
        <f t="shared" ca="1" si="206"/>
        <v>8.6204058541157033E-5</v>
      </c>
      <c r="K280" s="7">
        <f t="shared" ca="1" si="206"/>
        <v>1.3051972495110514E-4</v>
      </c>
      <c r="L280" s="7">
        <f t="shared" ca="1" si="206"/>
        <v>1.7634308880974493E-4</v>
      </c>
      <c r="M280" s="7">
        <f t="shared" ca="1" si="206"/>
        <v>2.2426963046709951E-4</v>
      </c>
      <c r="N280" s="7">
        <f t="shared" ca="1" si="206"/>
        <v>2.7499191280516867E-4</v>
      </c>
      <c r="O280" s="7">
        <f t="shared" ca="1" si="206"/>
        <v>3.2935427256542636E-4</v>
      </c>
      <c r="P280" s="7">
        <f t="shared" ca="1" si="206"/>
        <v>3.8844643129932235E-4</v>
      </c>
      <c r="Q280" s="7">
        <f t="shared" ca="1" si="206"/>
        <v>4.537704966654266E-4</v>
      </c>
      <c r="R280" s="9">
        <f t="shared" ca="1" si="206"/>
        <v>5.2751806676517427E-4</v>
      </c>
      <c r="S280" s="9">
        <f t="shared" ca="1" si="206"/>
        <v>5.9202694907061957E-4</v>
      </c>
      <c r="T280" s="9">
        <f t="shared" ca="1" si="206"/>
        <v>6.2940587847856364E-4</v>
      </c>
      <c r="U280" s="9">
        <f t="shared" ca="1" si="206"/>
        <v>6.4111690163742494E-4</v>
      </c>
      <c r="V280" s="9">
        <f t="shared" ca="1" si="206"/>
        <v>6.2728916554164761E-4</v>
      </c>
      <c r="W280" s="9">
        <f t="shared" ca="1" si="206"/>
        <v>5.8672340759653187E-4</v>
      </c>
      <c r="X280" s="7">
        <f t="shared" ca="1" si="206"/>
        <v>5.3758758282243513E-4</v>
      </c>
      <c r="Y280" s="7">
        <f t="shared" ca="1" si="206"/>
        <v>4.978453230049944E-4</v>
      </c>
      <c r="Z280" s="7">
        <f t="shared" ca="1" si="206"/>
        <v>4.6564491460298469E-4</v>
      </c>
      <c r="AA280" s="7">
        <f t="shared" ca="1" si="206"/>
        <v>4.3988156026826878E-4</v>
      </c>
      <c r="AB280" s="8">
        <f t="shared" ca="1" si="206"/>
        <v>4.1994918592688942E-4</v>
      </c>
    </row>
    <row r="281" spans="5:28" x14ac:dyDescent="0.25">
      <c r="E281" s="2">
        <f t="shared" si="183"/>
        <v>1.7000000000000004</v>
      </c>
      <c r="H281" s="8">
        <f t="shared" ref="H281:AB281" ca="1" si="207" xml:space="preserve"> (H81+G80+H79+I80-4*H80)/delta^2</f>
        <v>-2.387977239993316E-11</v>
      </c>
      <c r="I281" s="7">
        <f t="shared" ca="1" si="207"/>
        <v>4.3931147210123083E-5</v>
      </c>
      <c r="J281" s="7">
        <f t="shared" ca="1" si="207"/>
        <v>8.8405985582801723E-5</v>
      </c>
      <c r="K281" s="7">
        <f t="shared" ca="1" si="207"/>
        <v>1.339906924251459E-4</v>
      </c>
      <c r="L281" s="7">
        <f t="shared" ca="1" si="207"/>
        <v>1.8129904268042796E-4</v>
      </c>
      <c r="M281" s="7">
        <f t="shared" ca="1" si="207"/>
        <v>2.3102207056471677E-4</v>
      </c>
      <c r="N281" s="7">
        <f t="shared" ca="1" si="207"/>
        <v>2.8396581688509397E-4</v>
      </c>
      <c r="O281" s="7">
        <f t="shared" ca="1" si="207"/>
        <v>3.4110128058668655E-4</v>
      </c>
      <c r="P281" s="7">
        <f t="shared" ca="1" si="207"/>
        <v>4.0363050193550557E-4</v>
      </c>
      <c r="Q281" s="7">
        <f t="shared" ca="1" si="207"/>
        <v>4.7306610564440573E-4</v>
      </c>
      <c r="R281" s="9">
        <f t="shared" ca="1" si="207"/>
        <v>5.5129093329158742E-4</v>
      </c>
      <c r="S281" s="9">
        <f t="shared" ca="1" si="207"/>
        <v>6.196673293344233E-4</v>
      </c>
      <c r="T281" s="9">
        <f t="shared" ca="1" si="207"/>
        <v>6.593035451221001E-4</v>
      </c>
      <c r="U281" s="9">
        <f t="shared" ca="1" si="207"/>
        <v>6.7129974017079627E-4</v>
      </c>
      <c r="V281" s="9">
        <f t="shared" ca="1" si="207"/>
        <v>6.558021824659958E-4</v>
      </c>
      <c r="W281" s="9">
        <f t="shared" ca="1" si="207"/>
        <v>6.120091192214019E-4</v>
      </c>
      <c r="X281" s="7">
        <f t="shared" ca="1" si="207"/>
        <v>5.5912885979186682E-4</v>
      </c>
      <c r="Y281" s="7">
        <f t="shared" ca="1" si="207"/>
        <v>5.1614776468084436E-4</v>
      </c>
      <c r="Z281" s="7">
        <f t="shared" ca="1" si="207"/>
        <v>4.8158096884560661E-4</v>
      </c>
      <c r="AA281" s="7">
        <f t="shared" ca="1" si="207"/>
        <v>4.5438529144336051E-4</v>
      </c>
      <c r="AB281" s="8">
        <f t="shared" ca="1" si="207"/>
        <v>4.3392960005772519E-4</v>
      </c>
    </row>
    <row r="282" spans="5:28" x14ac:dyDescent="0.25">
      <c r="E282" s="2">
        <f t="shared" si="183"/>
        <v>1.6000000000000003</v>
      </c>
      <c r="H282" s="8">
        <f t="shared" ref="H282:AB282" ca="1" si="208" xml:space="preserve"> (H82+G81+H80+I81-4*H81)/delta^2</f>
        <v>-2.335013082953134E-11</v>
      </c>
      <c r="I282" s="7">
        <f t="shared" ca="1" si="208"/>
        <v>4.445622125529859E-5</v>
      </c>
      <c r="J282" s="7">
        <f t="shared" ca="1" si="208"/>
        <v>8.949866223188187E-5</v>
      </c>
      <c r="K282" s="7">
        <f t="shared" ca="1" si="208"/>
        <v>1.3573887043262205E-4</v>
      </c>
      <c r="L282" s="7">
        <f t="shared" ca="1" si="208"/>
        <v>1.8384140721351865E-4</v>
      </c>
      <c r="M282" s="7">
        <f t="shared" ca="1" si="208"/>
        <v>2.3455511300223209E-4</v>
      </c>
      <c r="N282" s="7">
        <f t="shared" ca="1" si="208"/>
        <v>2.8874955470394118E-4</v>
      </c>
      <c r="O282" s="7">
        <f t="shared" ca="1" si="208"/>
        <v>3.474563100684625E-4</v>
      </c>
      <c r="P282" s="7">
        <f t="shared" ca="1" si="208"/>
        <v>4.1191019481143573E-4</v>
      </c>
      <c r="Q282" s="7">
        <f t="shared" ca="1" si="208"/>
        <v>4.8357471822912067E-4</v>
      </c>
      <c r="R282" s="9">
        <f t="shared" ca="1" si="208"/>
        <v>5.6411467941100922E-4</v>
      </c>
      <c r="S282" s="9">
        <f t="shared" ca="1" si="208"/>
        <v>6.3445055594924134E-4</v>
      </c>
      <c r="T282" s="9">
        <f t="shared" ca="1" si="208"/>
        <v>6.7524411465928389E-4</v>
      </c>
      <c r="U282" s="9">
        <f t="shared" ca="1" si="208"/>
        <v>6.8737942805962768E-4</v>
      </c>
      <c r="V282" s="9">
        <f t="shared" ca="1" si="208"/>
        <v>6.7101401496454094E-4</v>
      </c>
      <c r="W282" s="9">
        <f t="shared" ca="1" si="208"/>
        <v>6.2558555026419663E-4</v>
      </c>
      <c r="X282" s="7">
        <f t="shared" ca="1" si="208"/>
        <v>5.7077470962648205E-4</v>
      </c>
      <c r="Y282" s="7">
        <f t="shared" ca="1" si="208"/>
        <v>5.2603986018195058E-4</v>
      </c>
      <c r="Z282" s="7">
        <f t="shared" ca="1" si="208"/>
        <v>4.9015007711301548E-4</v>
      </c>
      <c r="AA282" s="7">
        <f t="shared" ca="1" si="208"/>
        <v>4.6215343361515049E-4</v>
      </c>
      <c r="AB282" s="8">
        <f t="shared" ca="1" si="208"/>
        <v>4.4143175229639775E-4</v>
      </c>
    </row>
    <row r="283" spans="5:28" x14ac:dyDescent="0.25">
      <c r="E283" s="2">
        <f t="shared" si="183"/>
        <v>1.5000000000000002</v>
      </c>
      <c r="H283" s="8">
        <f t="shared" ref="H283:AB283" ca="1" si="209" xml:space="preserve"> (H83+G82+H81+I82-4*H82)/delta^2</f>
        <v>-2.2676929371844356E-11</v>
      </c>
      <c r="I283" s="7">
        <f t="shared" ca="1" si="209"/>
        <v>4.4395471229455431E-5</v>
      </c>
      <c r="J283" s="7">
        <f t="shared" ca="1" si="209"/>
        <v>8.939417540151233E-5</v>
      </c>
      <c r="K283" s="7">
        <f t="shared" ca="1" si="209"/>
        <v>1.3562555393259107E-4</v>
      </c>
      <c r="L283" s="7">
        <f t="shared" ca="1" si="209"/>
        <v>1.8377366565056278E-4</v>
      </c>
      <c r="M283" s="7">
        <f t="shared" ca="1" si="209"/>
        <v>2.3460870946164246E-4</v>
      </c>
      <c r="N283" s="7">
        <f t="shared" ca="1" si="209"/>
        <v>2.8902249372775383E-4</v>
      </c>
      <c r="O283" s="7">
        <f t="shared" ca="1" si="209"/>
        <v>3.4806594767218616E-4</v>
      </c>
      <c r="P283" s="7">
        <f t="shared" ca="1" si="209"/>
        <v>4.1298120670874705E-4</v>
      </c>
      <c r="Q283" s="7">
        <f t="shared" ca="1" si="209"/>
        <v>4.8521006845445361E-4</v>
      </c>
      <c r="R283" s="9">
        <f t="shared" ca="1" si="209"/>
        <v>5.6634490084779023E-4</v>
      </c>
      <c r="S283" s="9">
        <f t="shared" ca="1" si="209"/>
        <v>6.3717870405189346E-4</v>
      </c>
      <c r="T283" s="9">
        <f t="shared" ca="1" si="209"/>
        <v>6.7824574415471957E-4</v>
      </c>
      <c r="U283" s="9">
        <f t="shared" ca="1" si="209"/>
        <v>6.9036286650678627E-4</v>
      </c>
      <c r="V283" s="9">
        <f t="shared" ca="1" si="209"/>
        <v>6.7369213155622765E-4</v>
      </c>
      <c r="W283" s="9">
        <f t="shared" ca="1" si="209"/>
        <v>6.2774779792983462E-4</v>
      </c>
      <c r="X283" s="7">
        <f t="shared" ca="1" si="209"/>
        <v>5.723482178853714E-4</v>
      </c>
      <c r="Y283" s="7">
        <f t="shared" ca="1" si="209"/>
        <v>5.2709074977769384E-4</v>
      </c>
      <c r="Z283" s="7">
        <f t="shared" ca="1" si="209"/>
        <v>4.9083012049005125E-4</v>
      </c>
      <c r="AA283" s="7">
        <f t="shared" ca="1" si="209"/>
        <v>4.6265090757448616E-4</v>
      </c>
      <c r="AB283" s="8">
        <f t="shared" ca="1" si="209"/>
        <v>4.4194249505676529E-4</v>
      </c>
    </row>
    <row r="284" spans="5:28" x14ac:dyDescent="0.25">
      <c r="E284" s="2">
        <f t="shared" si="183"/>
        <v>1.4000000000000001</v>
      </c>
      <c r="H284" s="8">
        <f t="shared" ref="H284:AB284" ca="1" si="210" xml:space="preserve"> (H84+G83+H82+I83-4*H83)/delta^2</f>
        <v>-2.1864407257366627E-11</v>
      </c>
      <c r="I284" s="7">
        <f t="shared" ca="1" si="210"/>
        <v>4.3731872185269833E-5</v>
      </c>
      <c r="J284" s="7">
        <f t="shared" ca="1" si="210"/>
        <v>8.8057599912982668E-5</v>
      </c>
      <c r="K284" s="7">
        <f t="shared" ca="1" si="210"/>
        <v>1.3359631331695584E-4</v>
      </c>
      <c r="L284" s="7">
        <f t="shared" ca="1" si="210"/>
        <v>1.8102002299274575E-4</v>
      </c>
      <c r="M284" s="7">
        <f t="shared" ca="1" si="210"/>
        <v>2.3108481662986383E-4</v>
      </c>
      <c r="N284" s="7">
        <f t="shared" ca="1" si="210"/>
        <v>2.8466723237597404E-4</v>
      </c>
      <c r="O284" s="7">
        <f t="shared" ca="1" si="210"/>
        <v>3.4280546539508337E-4</v>
      </c>
      <c r="P284" s="7">
        <f t="shared" ca="1" si="210"/>
        <v>4.0674051465414916E-4</v>
      </c>
      <c r="Q284" s="7">
        <f t="shared" ca="1" si="210"/>
        <v>4.7794155792412688E-4</v>
      </c>
      <c r="R284" s="9">
        <f t="shared" ca="1" si="210"/>
        <v>5.5807847013469066E-4</v>
      </c>
      <c r="S284" s="9">
        <f t="shared" ca="1" si="210"/>
        <v>6.2807614047406888E-4</v>
      </c>
      <c r="T284" s="9">
        <f t="shared" ca="1" si="210"/>
        <v>6.6860002123818655E-4</v>
      </c>
      <c r="U284" s="9">
        <f t="shared" ca="1" si="210"/>
        <v>6.8053709518910838E-4</v>
      </c>
      <c r="V284" s="9">
        <f t="shared" ca="1" si="210"/>
        <v>6.640469818913838E-4</v>
      </c>
      <c r="W284" s="9">
        <f t="shared" ca="1" si="210"/>
        <v>6.1856862899750664E-4</v>
      </c>
      <c r="X284" s="7">
        <f t="shared" ca="1" si="210"/>
        <v>5.6378315381995839E-4</v>
      </c>
      <c r="Y284" s="7">
        <f t="shared" ca="1" si="210"/>
        <v>5.1914854465738732E-4</v>
      </c>
      <c r="Z284" s="7">
        <f t="shared" ca="1" si="210"/>
        <v>4.8343269934600873E-4</v>
      </c>
      <c r="AA284" s="7">
        <f t="shared" ca="1" si="210"/>
        <v>4.556817456560085E-4</v>
      </c>
      <c r="AB284" s="8">
        <f t="shared" ca="1" si="210"/>
        <v>4.3527482887803319E-4</v>
      </c>
    </row>
    <row r="285" spans="5:28" x14ac:dyDescent="0.25">
      <c r="E285" s="2">
        <f t="shared" si="183"/>
        <v>1.3</v>
      </c>
      <c r="H285" s="8">
        <f t="shared" ref="H285:AB285" ca="1" si="211" xml:space="preserve"> (H85+G84+H83+I84-4*H84)/delta^2</f>
        <v>-2.0917656170550688E-11</v>
      </c>
      <c r="I285" s="7">
        <f t="shared" ca="1" si="211"/>
        <v>4.2474787438376786E-5</v>
      </c>
      <c r="J285" s="7">
        <f t="shared" ca="1" si="211"/>
        <v>8.5508602807167432E-5</v>
      </c>
      <c r="K285" s="7">
        <f t="shared" ca="1" si="211"/>
        <v>1.2968285552940586E-4</v>
      </c>
      <c r="L285" s="7">
        <f t="shared" ca="1" si="211"/>
        <v>1.7562628912470756E-4</v>
      </c>
      <c r="M285" s="7">
        <f t="shared" ca="1" si="211"/>
        <v>2.2404450639578339E-4</v>
      </c>
      <c r="N285" s="7">
        <f t="shared" ca="1" si="211"/>
        <v>2.7575756846303241E-4</v>
      </c>
      <c r="O285" s="7">
        <f t="shared" ca="1" si="211"/>
        <v>3.3174978944748573E-4</v>
      </c>
      <c r="P285" s="7">
        <f t="shared" ca="1" si="211"/>
        <v>3.9323565674260862E-4</v>
      </c>
      <c r="Q285" s="7">
        <f t="shared" ca="1" si="211"/>
        <v>4.6173920987034936E-4</v>
      </c>
      <c r="R285" s="9">
        <f t="shared" ca="1" si="211"/>
        <v>5.3915351369674964E-4</v>
      </c>
      <c r="S285" s="9">
        <f t="shared" ca="1" si="211"/>
        <v>6.0684979773346296E-4</v>
      </c>
      <c r="T285" s="9">
        <f t="shared" ca="1" si="211"/>
        <v>6.4594373339033572E-4</v>
      </c>
      <c r="U285" s="9">
        <f t="shared" ca="1" si="211"/>
        <v>6.575413349024262E-4</v>
      </c>
      <c r="V285" s="9">
        <f t="shared" ca="1" si="211"/>
        <v>6.4179309020927038E-4</v>
      </c>
      <c r="W285" s="9">
        <f t="shared" ca="1" si="211"/>
        <v>5.9789979512912806E-4</v>
      </c>
      <c r="X285" s="7">
        <f t="shared" ca="1" si="211"/>
        <v>5.4507063159989026E-4</v>
      </c>
      <c r="Y285" s="7">
        <f t="shared" ca="1" si="211"/>
        <v>5.0229118042015113E-4</v>
      </c>
      <c r="Z285" s="7">
        <f t="shared" ca="1" si="211"/>
        <v>4.6807419132278625E-4</v>
      </c>
      <c r="AA285" s="7">
        <f t="shared" ca="1" si="211"/>
        <v>4.41372556311912E-4</v>
      </c>
      <c r="AB285" s="8">
        <f t="shared" ca="1" si="211"/>
        <v>4.2154974840436638E-4</v>
      </c>
    </row>
    <row r="286" spans="5:28" x14ac:dyDescent="0.25">
      <c r="E286" s="2">
        <f t="shared" si="183"/>
        <v>1.2</v>
      </c>
      <c r="H286" s="8">
        <f t="shared" ref="H286:AB286" ca="1" si="212" xml:space="preserve"> (H86+G85+H84+I85-4*H85)/delta^2</f>
        <v>-1.9842582980357512E-11</v>
      </c>
      <c r="I286" s="7">
        <f t="shared" ca="1" si="212"/>
        <v>4.0659028245930075E-5</v>
      </c>
      <c r="J286" s="7">
        <f t="shared" ca="1" si="212"/>
        <v>8.1819707302519394E-5</v>
      </c>
      <c r="K286" s="7">
        <f t="shared" ca="1" si="212"/>
        <v>1.2400096121483251E-4</v>
      </c>
      <c r="L286" s="7">
        <f t="shared" ca="1" si="212"/>
        <v>1.6775871999076799E-4</v>
      </c>
      <c r="M286" s="7">
        <f t="shared" ca="1" si="212"/>
        <v>2.137105022202343E-4</v>
      </c>
      <c r="N286" s="7">
        <f t="shared" ca="1" si="212"/>
        <v>2.62570097069102E-4</v>
      </c>
      <c r="O286" s="7">
        <f t="shared" ca="1" si="212"/>
        <v>3.1520201715677301E-4</v>
      </c>
      <c r="P286" s="7">
        <f t="shared" ca="1" si="212"/>
        <v>3.7271485932612031E-4</v>
      </c>
      <c r="Q286" s="7">
        <f t="shared" ca="1" si="212"/>
        <v>4.3662805158958893E-4</v>
      </c>
      <c r="R286" s="9">
        <f t="shared" ca="1" si="212"/>
        <v>5.0914870949052445E-4</v>
      </c>
      <c r="S286" s="9">
        <f t="shared" ca="1" si="212"/>
        <v>5.7262812575248161E-4</v>
      </c>
      <c r="T286" s="9">
        <f t="shared" ca="1" si="212"/>
        <v>6.091862902254376E-4</v>
      </c>
      <c r="U286" s="9">
        <f t="shared" ca="1" si="212"/>
        <v>6.202941181172784E-4</v>
      </c>
      <c r="V286" s="9">
        <f t="shared" ca="1" si="212"/>
        <v>6.0608713208804693E-4</v>
      </c>
      <c r="W286" s="9">
        <f t="shared" ca="1" si="212"/>
        <v>5.6536989856120063E-4</v>
      </c>
      <c r="X286" s="7">
        <f t="shared" ca="1" si="212"/>
        <v>5.1631165221546402E-4</v>
      </c>
      <c r="Y286" s="7">
        <f t="shared" ca="1" si="212"/>
        <v>4.7687479733330557E-4</v>
      </c>
      <c r="Z286" s="7">
        <f t="shared" ca="1" si="212"/>
        <v>4.4520396348607719E-4</v>
      </c>
      <c r="AA286" s="7">
        <f t="shared" ca="1" si="212"/>
        <v>4.2018836970084811E-4</v>
      </c>
      <c r="AB286" s="8">
        <f t="shared" ca="1" si="212"/>
        <v>4.0121374896141636E-4</v>
      </c>
    </row>
    <row r="287" spans="5:28" x14ac:dyDescent="0.25">
      <c r="E287" s="2">
        <f t="shared" si="183"/>
        <v>1.0999999999999999</v>
      </c>
      <c r="H287" s="8">
        <f t="shared" ref="H287:AB287" ca="1" si="213" xml:space="preserve"> (H87+G86+H85+I86-4*H86)/delta^2</f>
        <v>-1.8645879924696764E-11</v>
      </c>
      <c r="I287" s="7">
        <f t="shared" ca="1" si="213"/>
        <v>3.8341953204559119E-5</v>
      </c>
      <c r="J287" s="7">
        <f t="shared" ca="1" si="213"/>
        <v>7.7110747486602575E-5</v>
      </c>
      <c r="K287" s="7">
        <f t="shared" ca="1" si="213"/>
        <v>1.1674326706297901E-4</v>
      </c>
      <c r="L287" s="7">
        <f t="shared" ca="1" si="213"/>
        <v>1.5769802565468186E-4</v>
      </c>
      <c r="M287" s="7">
        <f t="shared" ca="1" si="213"/>
        <v>2.0046977536842612E-4</v>
      </c>
      <c r="N287" s="7">
        <f t="shared" ca="1" si="213"/>
        <v>2.4561158030735828E-4</v>
      </c>
      <c r="O287" s="7">
        <f t="shared" ca="1" si="213"/>
        <v>2.9377479064225052E-4</v>
      </c>
      <c r="P287" s="7">
        <f t="shared" ca="1" si="213"/>
        <v>3.4579536560468219E-4</v>
      </c>
      <c r="Q287" s="7">
        <f t="shared" ca="1" si="213"/>
        <v>4.0291126529414569E-4</v>
      </c>
      <c r="R287" s="9">
        <f t="shared" ca="1" si="213"/>
        <v>4.6738716632205117E-4</v>
      </c>
      <c r="S287" s="9">
        <f t="shared" ca="1" si="213"/>
        <v>5.2372990481160803E-4</v>
      </c>
      <c r="T287" s="9">
        <f t="shared" ca="1" si="213"/>
        <v>5.5628156106072343E-4</v>
      </c>
      <c r="U287" s="9">
        <f t="shared" ca="1" si="213"/>
        <v>5.6676426951549053E-4</v>
      </c>
      <c r="V287" s="9">
        <f t="shared" ca="1" si="213"/>
        <v>5.5529415173764622E-4</v>
      </c>
      <c r="W287" s="9">
        <f t="shared" ca="1" si="213"/>
        <v>5.2038392090673197E-4</v>
      </c>
      <c r="X287" s="7">
        <f t="shared" ca="1" si="213"/>
        <v>4.7793436390650135E-4</v>
      </c>
      <c r="Y287" s="7">
        <f t="shared" ca="1" si="213"/>
        <v>4.436956538175946E-4</v>
      </c>
      <c r="Z287" s="7">
        <f t="shared" ca="1" si="213"/>
        <v>4.1568193709451759E-4</v>
      </c>
      <c r="AA287" s="7">
        <f t="shared" ca="1" si="213"/>
        <v>3.9296683673412444E-4</v>
      </c>
      <c r="AB287" s="8">
        <f t="shared" ca="1" si="213"/>
        <v>3.7507692733020239E-4</v>
      </c>
    </row>
    <row r="288" spans="5:28" x14ac:dyDescent="0.25">
      <c r="E288" s="2">
        <f t="shared" si="183"/>
        <v>0.99999999999999989</v>
      </c>
      <c r="H288" s="8">
        <f t="shared" ref="H288:AB288" ca="1" si="214" xml:space="preserve"> (H88+G87+H86+I87-4*H87)/delta^2</f>
        <v>-1.7334977176581761E-11</v>
      </c>
      <c r="I288" s="7">
        <f t="shared" ca="1" si="214"/>
        <v>3.5598351471281943E-5</v>
      </c>
      <c r="J288" s="7">
        <f t="shared" ca="1" si="214"/>
        <v>7.153854138145062E-5</v>
      </c>
      <c r="K288" s="7">
        <f t="shared" ca="1" si="214"/>
        <v>1.0816399528145888E-4</v>
      </c>
      <c r="L288" s="7">
        <f t="shared" ca="1" si="214"/>
        <v>1.4582118278384443E-4</v>
      </c>
      <c r="M288" s="7">
        <f t="shared" ca="1" si="214"/>
        <v>1.8486001564282838E-4</v>
      </c>
      <c r="N288" s="7">
        <f t="shared" ca="1" si="214"/>
        <v>2.2563285861085849E-4</v>
      </c>
      <c r="O288" s="7">
        <f t="shared" ca="1" si="214"/>
        <v>2.6849157625135391E-4</v>
      </c>
      <c r="P288" s="7">
        <f t="shared" ca="1" si="214"/>
        <v>3.1378209827002864E-4</v>
      </c>
      <c r="Q288" s="7">
        <f t="shared" ca="1" si="214"/>
        <v>3.6183620117011516E-4</v>
      </c>
      <c r="R288" s="9">
        <f t="shared" ca="1" si="214"/>
        <v>4.1296067966904362E-4</v>
      </c>
      <c r="S288" s="9">
        <f t="shared" ca="1" si="214"/>
        <v>4.5702482875189805E-4</v>
      </c>
      <c r="T288" s="9">
        <f t="shared" ca="1" si="214"/>
        <v>4.8384800941695609E-4</v>
      </c>
      <c r="U288" s="9">
        <f t="shared" ca="1" si="214"/>
        <v>4.9358964271646675E-4</v>
      </c>
      <c r="V288" s="9">
        <f t="shared" ca="1" si="214"/>
        <v>4.8634384507489296E-4</v>
      </c>
      <c r="W288" s="9">
        <f t="shared" ca="1" si="214"/>
        <v>4.6213999494427126E-4</v>
      </c>
      <c r="X288" s="7">
        <f t="shared" ca="1" si="214"/>
        <v>4.3134911968138376E-4</v>
      </c>
      <c r="Y288" s="7">
        <f t="shared" ca="1" si="214"/>
        <v>4.0429457492563605E-4</v>
      </c>
      <c r="Z288" s="7">
        <f t="shared" ca="1" si="214"/>
        <v>3.8086452198268951E-4</v>
      </c>
      <c r="AA288" s="7">
        <f t="shared" ca="1" si="214"/>
        <v>3.6092351412093585E-4</v>
      </c>
      <c r="AB288" s="8">
        <f t="shared" ca="1" si="214"/>
        <v>3.4432101458387732E-4</v>
      </c>
    </row>
    <row r="289" spans="5:28" x14ac:dyDescent="0.25">
      <c r="E289" s="2">
        <f t="shared" si="183"/>
        <v>0.89999999999999991</v>
      </c>
      <c r="H289" s="8">
        <f t="shared" ref="H289:AB289" ca="1" si="215" xml:space="preserve"> (H89+G88+H87+I88-4*H88)/delta^2</f>
        <v>-1.591799202215263E-11</v>
      </c>
      <c r="I289" s="7">
        <f t="shared" ca="1" si="215"/>
        <v>3.2513203183199498E-5</v>
      </c>
      <c r="J289" s="7">
        <f t="shared" ca="1" si="215"/>
        <v>6.528151581875525E-5</v>
      </c>
      <c r="K289" s="7">
        <f t="shared" ca="1" si="215"/>
        <v>9.8553603592219734E-5</v>
      </c>
      <c r="L289" s="7">
        <f t="shared" ca="1" si="215"/>
        <v>1.3256347631973453E-4</v>
      </c>
      <c r="M289" s="7">
        <f t="shared" ca="1" si="215"/>
        <v>1.6751719430663657E-4</v>
      </c>
      <c r="N289" s="7">
        <f t="shared" ca="1" si="215"/>
        <v>2.0356937594137979E-4</v>
      </c>
      <c r="O289" s="7">
        <f t="shared" ca="1" si="215"/>
        <v>2.4077783469516207E-4</v>
      </c>
      <c r="P289" s="7">
        <f t="shared" ca="1" si="215"/>
        <v>2.7900668899268841E-4</v>
      </c>
      <c r="Q289" s="7">
        <f t="shared" ca="1" si="215"/>
        <v>3.1769236028852775E-4</v>
      </c>
      <c r="R289" s="7">
        <f t="shared" ca="1" si="215"/>
        <v>3.5519627938681431E-4</v>
      </c>
      <c r="S289" s="7">
        <f t="shared" ca="1" si="215"/>
        <v>3.8676263450724413E-4</v>
      </c>
      <c r="T289" s="7">
        <f t="shared" ca="1" si="215"/>
        <v>4.0769807351486836E-4</v>
      </c>
      <c r="U289" s="7">
        <f t="shared" ca="1" si="215"/>
        <v>4.166046690629119E-4</v>
      </c>
      <c r="V289" s="7">
        <f t="shared" ca="1" si="215"/>
        <v>4.1355396621170227E-4</v>
      </c>
      <c r="W289" s="7">
        <f t="shared" ca="1" si="215"/>
        <v>4.0008562236842812E-4</v>
      </c>
      <c r="X289" s="7">
        <f t="shared" ca="1" si="215"/>
        <v>3.8103022669015366E-4</v>
      </c>
      <c r="Y289" s="7">
        <f t="shared" ca="1" si="215"/>
        <v>3.6127184086195448E-4</v>
      </c>
      <c r="Z289" s="7">
        <f t="shared" ca="1" si="215"/>
        <v>3.4256105579544971E-4</v>
      </c>
      <c r="AA289" s="7">
        <f t="shared" ca="1" si="215"/>
        <v>3.2554483827768385E-4</v>
      </c>
      <c r="AB289" s="8">
        <f t="shared" ca="1" si="215"/>
        <v>3.1039142839748771E-4</v>
      </c>
    </row>
    <row r="290" spans="5:28" x14ac:dyDescent="0.25">
      <c r="E290" s="2">
        <f t="shared" si="183"/>
        <v>0.79999999999999993</v>
      </c>
      <c r="H290" s="8">
        <f t="shared" ref="H290:AB290" ca="1" si="216" xml:space="preserve"> (H90+G89+H88+I89-4*H89)/delta^2</f>
        <v>-1.4403681426831263E-11</v>
      </c>
      <c r="I290" s="7">
        <f t="shared" ca="1" si="216"/>
        <v>2.9173213039312272E-5</v>
      </c>
      <c r="J290" s="7">
        <f t="shared" ca="1" si="216"/>
        <v>5.8521122457759161E-5</v>
      </c>
      <c r="K290" s="7">
        <f t="shared" ca="1" si="216"/>
        <v>8.8205989197403934E-5</v>
      </c>
      <c r="L290" s="7">
        <f t="shared" ca="1" si="216"/>
        <v>1.1836264075205588E-4</v>
      </c>
      <c r="M290" s="7">
        <f t="shared" ca="1" si="216"/>
        <v>1.4907677816450518E-4</v>
      </c>
      <c r="N290" s="7">
        <f t="shared" ca="1" si="216"/>
        <v>1.8035063627592137E-4</v>
      </c>
      <c r="O290" s="7">
        <f t="shared" ca="1" si="216"/>
        <v>2.1204486745407574E-4</v>
      </c>
      <c r="P290" s="7">
        <f t="shared" ca="1" si="216"/>
        <v>2.4377578067534279E-4</v>
      </c>
      <c r="Q290" s="7">
        <f t="shared" ca="1" si="216"/>
        <v>2.747317359926091E-4</v>
      </c>
      <c r="R290" s="7">
        <f t="shared" ca="1" si="216"/>
        <v>3.0337105226337259E-4</v>
      </c>
      <c r="S290" s="7">
        <f t="shared" ca="1" si="216"/>
        <v>3.2713310881881183E-4</v>
      </c>
      <c r="T290" s="7">
        <f t="shared" ca="1" si="216"/>
        <v>3.4357887543918613E-4</v>
      </c>
      <c r="U290" s="7">
        <f t="shared" ca="1" si="216"/>
        <v>3.5157902904627865E-4</v>
      </c>
      <c r="V290" s="7">
        <f t="shared" ca="1" si="216"/>
        <v>3.5118390378915601E-4</v>
      </c>
      <c r="W290" s="7">
        <f t="shared" ca="1" si="216"/>
        <v>3.4362061713893126E-4</v>
      </c>
      <c r="X290" s="7">
        <f t="shared" ca="1" si="216"/>
        <v>3.3141677992186679E-4</v>
      </c>
      <c r="Y290" s="7">
        <f t="shared" ca="1" si="216"/>
        <v>3.1720410396513481E-4</v>
      </c>
      <c r="Z290" s="7">
        <f t="shared" ca="1" si="216"/>
        <v>3.0256576410304237E-4</v>
      </c>
      <c r="AA290" s="7">
        <f t="shared" ca="1" si="216"/>
        <v>2.8830624436426694E-4</v>
      </c>
      <c r="AB290" s="8">
        <f t="shared" ca="1" si="216"/>
        <v>2.7472181495422592E-4</v>
      </c>
    </row>
    <row r="291" spans="5:28" x14ac:dyDescent="0.25">
      <c r="E291" s="2">
        <f t="shared" si="183"/>
        <v>0.7</v>
      </c>
      <c r="H291" s="8">
        <f t="shared" ref="H291:AB291" ca="1" si="217" xml:space="preserve"> (H91+G90+H89+I90-4*H90)/delta^2</f>
        <v>-1.2801388164025877E-11</v>
      </c>
      <c r="I291" s="7">
        <f t="shared" ca="1" si="217"/>
        <v>2.5658768189395843E-5</v>
      </c>
      <c r="J291" s="7">
        <f t="shared" ca="1" si="217"/>
        <v>5.1424139432240704E-5</v>
      </c>
      <c r="K291" s="7">
        <f t="shared" ca="1" si="217"/>
        <v>7.7387097352813673E-5</v>
      </c>
      <c r="L291" s="7">
        <f t="shared" ca="1" si="217"/>
        <v>1.0360496549681202E-4</v>
      </c>
      <c r="M291" s="7">
        <f t="shared" ca="1" si="217"/>
        <v>1.3007742519711071E-4</v>
      </c>
      <c r="N291" s="7">
        <f t="shared" ca="1" si="217"/>
        <v>1.5671244385377688E-4</v>
      </c>
      <c r="O291" s="7">
        <f t="shared" ca="1" si="217"/>
        <v>1.8327627352267628E-4</v>
      </c>
      <c r="P291" s="7">
        <f t="shared" ca="1" si="217"/>
        <v>2.0932101918172879E-4</v>
      </c>
      <c r="Q291" s="7">
        <f t="shared" ca="1" si="217"/>
        <v>2.3408907172503714E-4</v>
      </c>
      <c r="R291" s="7">
        <f t="shared" ca="1" si="217"/>
        <v>2.5642453642287557E-4</v>
      </c>
      <c r="S291" s="7">
        <f t="shared" ca="1" si="217"/>
        <v>2.7482145383956284E-4</v>
      </c>
      <c r="T291" s="7">
        <f t="shared" ca="1" si="217"/>
        <v>2.8790699915085845E-4</v>
      </c>
      <c r="U291" s="7">
        <f t="shared" ca="1" si="217"/>
        <v>2.9495050371923249E-4</v>
      </c>
      <c r="V291" s="7">
        <f t="shared" ca="1" si="217"/>
        <v>2.9598396504215344E-4</v>
      </c>
      <c r="W291" s="7">
        <f t="shared" ca="1" si="217"/>
        <v>2.9179825108435834E-4</v>
      </c>
      <c r="X291" s="7">
        <f t="shared" ca="1" si="217"/>
        <v>2.8381438727720013E-4</v>
      </c>
      <c r="Y291" s="7">
        <f t="shared" ca="1" si="217"/>
        <v>2.7356437430278707E-4</v>
      </c>
      <c r="Z291" s="7">
        <f t="shared" ca="1" si="217"/>
        <v>2.6219412559867408E-4</v>
      </c>
      <c r="AA291" s="7">
        <f t="shared" ca="1" si="217"/>
        <v>2.5039516649183637E-4</v>
      </c>
      <c r="AB291" s="8">
        <f t="shared" ca="1" si="217"/>
        <v>2.3846313189899467E-4</v>
      </c>
    </row>
    <row r="292" spans="5:28" x14ac:dyDescent="0.25">
      <c r="E292" s="2">
        <f t="shared" si="183"/>
        <v>0.6</v>
      </c>
      <c r="H292" s="8">
        <f t="shared" ref="H292:AB292" ca="1" si="218" xml:space="preserve"> (H92+G91+H90+I91-4*H91)/delta^2</f>
        <v>-1.1120977118253375E-11</v>
      </c>
      <c r="I292" s="7">
        <f t="shared" ca="1" si="218"/>
        <v>2.2037934559631156E-5</v>
      </c>
      <c r="J292" s="7">
        <f t="shared" ca="1" si="218"/>
        <v>4.4129895457244653E-5</v>
      </c>
      <c r="K292" s="7">
        <f t="shared" ca="1" si="218"/>
        <v>6.6313744667993623E-5</v>
      </c>
      <c r="L292" s="7">
        <f t="shared" ca="1" si="218"/>
        <v>8.8593270923401413E-5</v>
      </c>
      <c r="M292" s="7">
        <f t="shared" ca="1" si="218"/>
        <v>1.1091620739112635E-4</v>
      </c>
      <c r="N292" s="7">
        <f t="shared" ca="1" si="218"/>
        <v>1.3314625529523523E-4</v>
      </c>
      <c r="O292" s="7">
        <f t="shared" ca="1" si="218"/>
        <v>1.5502769800164069E-4</v>
      </c>
      <c r="P292" s="7">
        <f t="shared" ca="1" si="218"/>
        <v>1.7614400342326559E-4</v>
      </c>
      <c r="Q292" s="7">
        <f t="shared" ca="1" si="218"/>
        <v>1.9588016480907202E-4</v>
      </c>
      <c r="R292" s="7">
        <f t="shared" ca="1" si="218"/>
        <v>2.13417852950573E-4</v>
      </c>
      <c r="S292" s="7">
        <f t="shared" ca="1" si="218"/>
        <v>2.278225704136025E-4</v>
      </c>
      <c r="T292" s="7">
        <f t="shared" ca="1" si="218"/>
        <v>2.38278676347077E-4</v>
      </c>
      <c r="U292" s="7">
        <f t="shared" ca="1" si="218"/>
        <v>2.4433364683453489E-4</v>
      </c>
      <c r="V292" s="7">
        <f t="shared" ca="1" si="218"/>
        <v>2.460049387035612E-4</v>
      </c>
      <c r="W292" s="7">
        <f t="shared" ca="1" si="218"/>
        <v>2.4377588382200067E-4</v>
      </c>
      <c r="X292" s="7">
        <f t="shared" ca="1" si="218"/>
        <v>2.3848010495867116E-4</v>
      </c>
      <c r="Y292" s="7">
        <f t="shared" ca="1" si="218"/>
        <v>2.3104695478066111E-4</v>
      </c>
      <c r="Z292" s="7">
        <f t="shared" ca="1" si="218"/>
        <v>2.2225338696430121E-4</v>
      </c>
      <c r="AA292" s="7">
        <f t="shared" ca="1" si="218"/>
        <v>2.126194713524898E-4</v>
      </c>
      <c r="AB292" s="8">
        <f t="shared" ca="1" si="218"/>
        <v>2.0239019835387257E-4</v>
      </c>
    </row>
    <row r="293" spans="5:28" x14ac:dyDescent="0.25">
      <c r="E293" s="2">
        <f t="shared" si="183"/>
        <v>0.5</v>
      </c>
      <c r="H293" s="8">
        <f t="shared" ref="H293:AB293" ca="1" si="219" xml:space="preserve"> (H93+G92+H91+I92-4*H92)/delta^2</f>
        <v>-9.3727715882617105E-12</v>
      </c>
      <c r="I293" s="7">
        <f t="shared" ca="1" si="219"/>
        <v>1.8363260158559812E-5</v>
      </c>
      <c r="J293" s="7">
        <f t="shared" ca="1" si="219"/>
        <v>3.6744044981543236E-5</v>
      </c>
      <c r="K293" s="7">
        <f t="shared" ca="1" si="219"/>
        <v>5.5145103597777412E-5</v>
      </c>
      <c r="L293" s="7">
        <f t="shared" ca="1" si="219"/>
        <v>7.353866095211155E-5</v>
      </c>
      <c r="M293" s="7">
        <f t="shared" ca="1" si="219"/>
        <v>9.1848478275314581E-5</v>
      </c>
      <c r="N293" s="7">
        <f t="shared" ca="1" si="219"/>
        <v>1.099293764038984E-4</v>
      </c>
      <c r="O293" s="7">
        <f t="shared" ca="1" si="219"/>
        <v>1.2754506751193109E-4</v>
      </c>
      <c r="P293" s="7">
        <f t="shared" ca="1" si="219"/>
        <v>1.4434804159607625E-4</v>
      </c>
      <c r="Q293" s="7">
        <f t="shared" ca="1" si="219"/>
        <v>1.5987074203100551E-4</v>
      </c>
      <c r="R293" s="7">
        <f t="shared" ca="1" si="219"/>
        <v>1.7354525092077262E-4</v>
      </c>
      <c r="S293" s="7">
        <f t="shared" ca="1" si="219"/>
        <v>1.8477350809792921E-4</v>
      </c>
      <c r="T293" s="7">
        <f t="shared" ca="1" si="219"/>
        <v>1.9305279646578087E-4</v>
      </c>
      <c r="U293" s="7">
        <f t="shared" ca="1" si="219"/>
        <v>1.981018732169319E-4</v>
      </c>
      <c r="V293" s="7">
        <f t="shared" ca="1" si="219"/>
        <v>1.9992776048474538E-4</v>
      </c>
      <c r="W293" s="7">
        <f t="shared" ca="1" si="219"/>
        <v>1.988218385331813E-4</v>
      </c>
      <c r="X293" s="7">
        <f t="shared" ca="1" si="219"/>
        <v>1.9528488891652846E-4</v>
      </c>
      <c r="Y293" s="7">
        <f t="shared" ca="1" si="219"/>
        <v>1.8989174572585623E-4</v>
      </c>
      <c r="Z293" s="7">
        <f t="shared" ca="1" si="219"/>
        <v>1.8315488838295446E-4</v>
      </c>
      <c r="AA293" s="7">
        <f t="shared" ca="1" si="219"/>
        <v>1.7544112764101419E-4</v>
      </c>
      <c r="AB293" s="8">
        <f t="shared" ca="1" si="219"/>
        <v>1.6693674101087797E-4</v>
      </c>
    </row>
    <row r="294" spans="5:28" x14ac:dyDescent="0.25">
      <c r="E294" s="2">
        <f t="shared" si="183"/>
        <v>0.4</v>
      </c>
      <c r="H294" s="8">
        <f t="shared" ref="H294:AB294" ca="1" si="220" xml:space="preserve"> (H94+G93+H92+I93-4*H93)/delta^2</f>
        <v>-7.5674929782840514E-12</v>
      </c>
      <c r="I294" s="7">
        <f t="shared" ca="1" si="220"/>
        <v>1.4671216821750013E-5</v>
      </c>
      <c r="J294" s="7">
        <f t="shared" ca="1" si="220"/>
        <v>2.9338156891530423E-5</v>
      </c>
      <c r="K294" s="7">
        <f t="shared" ca="1" si="220"/>
        <v>4.3984289355950168E-5</v>
      </c>
      <c r="L294" s="7">
        <f t="shared" ca="1" si="220"/>
        <v>5.8568205386758964E-5</v>
      </c>
      <c r="M294" s="7">
        <f t="shared" ca="1" si="220"/>
        <v>7.3010170831624963E-5</v>
      </c>
      <c r="N294" s="7">
        <f t="shared" ca="1" si="220"/>
        <v>8.7178294302231698E-5</v>
      </c>
      <c r="O294" s="7">
        <f t="shared" ca="1" si="220"/>
        <v>1.0087583021493048E-4</v>
      </c>
      <c r="P294" s="7">
        <f t="shared" ca="1" si="220"/>
        <v>1.1383311504296973E-4</v>
      </c>
      <c r="Q294" s="7">
        <f t="shared" ca="1" si="220"/>
        <v>1.2571035691665399E-4</v>
      </c>
      <c r="R294" s="7">
        <f t="shared" ca="1" si="220"/>
        <v>1.3611983027259813E-4</v>
      </c>
      <c r="S294" s="7">
        <f t="shared" ca="1" si="220"/>
        <v>1.4467442693069912E-4</v>
      </c>
      <c r="T294" s="7">
        <f t="shared" ca="1" si="220"/>
        <v>1.5105822244041364E-4</v>
      </c>
      <c r="U294" s="7">
        <f t="shared" ca="1" si="220"/>
        <v>1.5509446461863709E-4</v>
      </c>
      <c r="V294" s="7">
        <f t="shared" ca="1" si="220"/>
        <v>1.5678364794106467E-4</v>
      </c>
      <c r="W294" s="7">
        <f t="shared" ca="1" si="220"/>
        <v>1.5630015820497021E-4</v>
      </c>
      <c r="X294" s="7">
        <f t="shared" ca="1" si="220"/>
        <v>1.5394728487705007E-4</v>
      </c>
      <c r="Y294" s="7">
        <f t="shared" ca="1" si="220"/>
        <v>1.5008175113747667E-4</v>
      </c>
      <c r="Z294" s="7">
        <f t="shared" ca="1" si="220"/>
        <v>1.4503487670936095E-4</v>
      </c>
      <c r="AA294" s="7">
        <f t="shared" ca="1" si="220"/>
        <v>1.3905507849345727E-4</v>
      </c>
      <c r="AB294" s="8">
        <f t="shared" ca="1" si="220"/>
        <v>1.3227684616627913E-4</v>
      </c>
    </row>
    <row r="295" spans="5:28" x14ac:dyDescent="0.25">
      <c r="E295" s="2">
        <f t="shared" si="183"/>
        <v>0.30000000000000004</v>
      </c>
      <c r="H295" s="8">
        <f t="shared" ref="H295:AB295" ca="1" si="221" xml:space="preserve"> (H95+G94+H93+I94-4*H94)/delta^2</f>
        <v>-5.7161881226118995E-12</v>
      </c>
      <c r="I295" s="7">
        <f t="shared" ca="1" si="221"/>
        <v>1.0983575179439828E-5</v>
      </c>
      <c r="J295" s="7">
        <f t="shared" ca="1" si="221"/>
        <v>2.1953265514440358E-5</v>
      </c>
      <c r="K295" s="7">
        <f t="shared" ca="1" si="221"/>
        <v>3.2885952039297076E-5</v>
      </c>
      <c r="L295" s="7">
        <f t="shared" ca="1" si="221"/>
        <v>4.3740031819677323E-5</v>
      </c>
      <c r="M295" s="7">
        <f t="shared" ca="1" si="221"/>
        <v>5.4446107131269432E-5</v>
      </c>
      <c r="N295" s="7">
        <f t="shared" ca="1" si="221"/>
        <v>6.4898271236272226E-5</v>
      </c>
      <c r="O295" s="7">
        <f t="shared" ca="1" si="221"/>
        <v>7.4947384476689309E-5</v>
      </c>
      <c r="P295" s="7">
        <f t="shared" ca="1" si="221"/>
        <v>8.4398840160897722E-5</v>
      </c>
      <c r="Q295" s="7">
        <f t="shared" ca="1" si="221"/>
        <v>9.3018416511220299E-5</v>
      </c>
      <c r="R295" s="7">
        <f t="shared" ca="1" si="221"/>
        <v>1.0055002923516487E-4</v>
      </c>
      <c r="S295" s="7">
        <f t="shared" ca="1" si="221"/>
        <v>1.0674695584394348E-4</v>
      </c>
      <c r="T295" s="7">
        <f t="shared" ca="1" si="221"/>
        <v>1.1141207608442256E-4</v>
      </c>
      <c r="U295" s="7">
        <f t="shared" ca="1" si="221"/>
        <v>1.1443505413890077E-4</v>
      </c>
      <c r="V295" s="7">
        <f t="shared" ca="1" si="221"/>
        <v>1.1581321234500026E-4</v>
      </c>
      <c r="W295" s="7">
        <f t="shared" ca="1" si="221"/>
        <v>1.1564892992197261E-4</v>
      </c>
      <c r="X295" s="7">
        <f t="shared" ca="1" si="221"/>
        <v>1.1412347450373949E-4</v>
      </c>
      <c r="Y295" s="7">
        <f t="shared" ca="1" si="221"/>
        <v>1.1145429589751738E-4</v>
      </c>
      <c r="Z295" s="7">
        <f t="shared" ca="1" si="221"/>
        <v>1.0784905393719857E-4</v>
      </c>
      <c r="AA295" s="7">
        <f t="shared" ca="1" si="221"/>
        <v>1.0346879660326837E-4</v>
      </c>
      <c r="AB295" s="8">
        <f t="shared" ca="1" si="221"/>
        <v>9.8405644591401269E-5</v>
      </c>
    </row>
    <row r="296" spans="5:28" x14ac:dyDescent="0.25">
      <c r="E296" s="2">
        <f t="shared" si="183"/>
        <v>0.2</v>
      </c>
      <c r="H296" s="8">
        <f t="shared" ref="H296:AB296" ca="1" si="222" xml:space="preserve"> (H96+G95+H94+I95-4*H95)/delta^2</f>
        <v>-3.8301605065197724E-12</v>
      </c>
      <c r="I296" s="7">
        <f t="shared" ca="1" si="222"/>
        <v>7.3099117781559255E-6</v>
      </c>
      <c r="J296" s="7">
        <f t="shared" ca="1" si="222"/>
        <v>1.4605518833715787E-5</v>
      </c>
      <c r="K296" s="7">
        <f t="shared" ca="1" si="222"/>
        <v>2.1866415299684393E-5</v>
      </c>
      <c r="L296" s="7">
        <f t="shared" ca="1" si="222"/>
        <v>2.9060109155916202E-5</v>
      </c>
      <c r="M296" s="7">
        <f t="shared" ca="1" si="222"/>
        <v>3.6136253254976209E-5</v>
      </c>
      <c r="N296" s="7">
        <f t="shared" ca="1" si="222"/>
        <v>4.3021649354137695E-5</v>
      </c>
      <c r="O296" s="7">
        <f t="shared" ca="1" si="222"/>
        <v>4.9616997786991743E-5</v>
      </c>
      <c r="P296" s="7">
        <f t="shared" ca="1" si="222"/>
        <v>5.5796896719184454E-5</v>
      </c>
      <c r="Q296" s="7">
        <f t="shared" ca="1" si="222"/>
        <v>6.1414941883067924E-5</v>
      </c>
      <c r="R296" s="7">
        <f t="shared" ca="1" si="222"/>
        <v>6.6315465950658636E-5</v>
      </c>
      <c r="S296" s="7">
        <f t="shared" ca="1" si="222"/>
        <v>7.0351891729965644E-5</v>
      </c>
      <c r="T296" s="7">
        <f t="shared" ca="1" si="222"/>
        <v>7.3408721031921722E-5</v>
      </c>
      <c r="U296" s="7">
        <f t="shared" ca="1" si="222"/>
        <v>7.54211607832168E-5</v>
      </c>
      <c r="V296" s="7">
        <f t="shared" ca="1" si="222"/>
        <v>7.6385962592543416E-5</v>
      </c>
      <c r="W296" s="7">
        <f t="shared" ca="1" si="222"/>
        <v>7.6359667744316443E-5</v>
      </c>
      <c r="X296" s="7">
        <f t="shared" ca="1" si="222"/>
        <v>7.5444228503325004E-5</v>
      </c>
      <c r="Y296" s="7">
        <f t="shared" ca="1" si="222"/>
        <v>7.3763793723418268E-5</v>
      </c>
      <c r="Z296" s="7">
        <f t="shared" ca="1" si="222"/>
        <v>7.1439185559329571E-5</v>
      </c>
      <c r="AA296" s="7">
        <f t="shared" ca="1" si="222"/>
        <v>6.8566398896911088E-5</v>
      </c>
      <c r="AB296" s="8">
        <f t="shared" ca="1" si="222"/>
        <v>6.5202795785355449E-5</v>
      </c>
    </row>
    <row r="297" spans="5:28" x14ac:dyDescent="0.25">
      <c r="E297" s="2">
        <f t="shared" si="183"/>
        <v>0.1</v>
      </c>
      <c r="H297" s="8">
        <f t="shared" ref="H297:AB297" ca="1" si="223" xml:space="preserve"> (H97+G96+H95+I96-4*H96)/delta^2</f>
        <v>-1.9208983531679865E-12</v>
      </c>
      <c r="I297" s="7">
        <f t="shared" ca="1" si="223"/>
        <v>3.6506143828683173E-6</v>
      </c>
      <c r="J297" s="7">
        <f t="shared" ca="1" si="223"/>
        <v>7.2925745518337853E-6</v>
      </c>
      <c r="K297" s="7">
        <f t="shared" ca="1" si="223"/>
        <v>1.091420716620335E-5</v>
      </c>
      <c r="L297" s="7">
        <f t="shared" ca="1" si="223"/>
        <v>1.4497896209376653E-5</v>
      </c>
      <c r="M297" s="7">
        <f t="shared" ca="1" si="223"/>
        <v>1.8017341030800601E-5</v>
      </c>
      <c r="N297" s="7">
        <f t="shared" ca="1" si="223"/>
        <v>2.1435302171295835E-5</v>
      </c>
      <c r="O297" s="7">
        <f t="shared" ca="1" si="223"/>
        <v>2.4702320669963651E-5</v>
      </c>
      <c r="P297" s="7">
        <f t="shared" ca="1" si="223"/>
        <v>2.7757099795770814E-5</v>
      </c>
      <c r="Q297" s="7">
        <f t="shared" ca="1" si="223"/>
        <v>3.0529313411683811E-5</v>
      </c>
      <c r="R297" s="7">
        <f t="shared" ca="1" si="223"/>
        <v>3.2945357966040636E-5</v>
      </c>
      <c r="S297" s="7">
        <f t="shared" ca="1" si="223"/>
        <v>3.4936812721387204E-5</v>
      </c>
      <c r="T297" s="7">
        <f t="shared" ca="1" si="223"/>
        <v>3.6450175483371146E-5</v>
      </c>
      <c r="U297" s="7">
        <f t="shared" ca="1" si="223"/>
        <v>3.7455356421221672E-5</v>
      </c>
      <c r="V297" s="7">
        <f t="shared" ca="1" si="223"/>
        <v>3.7950291509211648E-5</v>
      </c>
      <c r="W297" s="7">
        <f t="shared" ca="1" si="223"/>
        <v>3.7960062906756372E-5</v>
      </c>
      <c r="X297" s="7">
        <f t="shared" ca="1" si="223"/>
        <v>3.7530522045036345E-5</v>
      </c>
      <c r="Y297" s="7">
        <f t="shared" ca="1" si="223"/>
        <v>3.6718040290065802E-5</v>
      </c>
      <c r="Z297" s="7">
        <f t="shared" ca="1" si="223"/>
        <v>3.5578102901279156E-5</v>
      </c>
      <c r="AA297" s="7">
        <f t="shared" ca="1" si="223"/>
        <v>3.4155457492705294E-5</v>
      </c>
      <c r="AB297" s="8">
        <f t="shared" ca="1" si="223"/>
        <v>3.2477614490410312E-5</v>
      </c>
    </row>
    <row r="298" spans="5:28" x14ac:dyDescent="0.25">
      <c r="E298" s="2">
        <v>0</v>
      </c>
      <c r="H298" s="8">
        <f t="shared" ref="H298:AB298" si="224" xml:space="preserve"> (H98+G97+H96+I97-4*H97)/delta^2</f>
        <v>0</v>
      </c>
      <c r="I298" s="8">
        <f t="shared" ca="1" si="224"/>
        <v>0</v>
      </c>
      <c r="J298" s="8">
        <f t="shared" ca="1" si="224"/>
        <v>0</v>
      </c>
      <c r="K298" s="8">
        <f t="shared" ca="1" si="224"/>
        <v>0</v>
      </c>
      <c r="L298" s="8">
        <f t="shared" ca="1" si="224"/>
        <v>0</v>
      </c>
      <c r="M298" s="8">
        <f t="shared" ca="1" si="224"/>
        <v>0</v>
      </c>
      <c r="N298" s="8">
        <f t="shared" ca="1" si="224"/>
        <v>0</v>
      </c>
      <c r="O298" s="8">
        <f t="shared" ca="1" si="224"/>
        <v>0</v>
      </c>
      <c r="P298" s="8">
        <f t="shared" ca="1" si="224"/>
        <v>0</v>
      </c>
      <c r="Q298" s="8">
        <f t="shared" ca="1" si="224"/>
        <v>0</v>
      </c>
      <c r="R298" s="8">
        <f t="shared" ca="1" si="224"/>
        <v>0</v>
      </c>
      <c r="S298" s="8">
        <f t="shared" ca="1" si="224"/>
        <v>0</v>
      </c>
      <c r="T298" s="8">
        <f t="shared" ca="1" si="224"/>
        <v>0</v>
      </c>
      <c r="U298" s="8">
        <f t="shared" ca="1" si="224"/>
        <v>0</v>
      </c>
      <c r="V298" s="8">
        <f t="shared" ca="1" si="224"/>
        <v>0</v>
      </c>
      <c r="W298" s="8">
        <f t="shared" ca="1" si="224"/>
        <v>0</v>
      </c>
      <c r="X298" s="8">
        <f t="shared" ca="1" si="224"/>
        <v>0</v>
      </c>
      <c r="Y298" s="8">
        <f t="shared" ca="1" si="224"/>
        <v>0</v>
      </c>
      <c r="Z298" s="8">
        <f t="shared" ca="1" si="224"/>
        <v>0</v>
      </c>
      <c r="AA298" s="8">
        <f t="shared" ca="1" si="224"/>
        <v>0</v>
      </c>
      <c r="AB298" s="8">
        <f t="shared" ca="1" si="224"/>
        <v>0</v>
      </c>
    </row>
    <row r="303" spans="5:28" ht="18.75" x14ac:dyDescent="0.3">
      <c r="E303" s="1" t="s">
        <v>29</v>
      </c>
    </row>
    <row r="304" spans="5:28" x14ac:dyDescent="0.25">
      <c r="H304" s="16" t="s">
        <v>17</v>
      </c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</row>
    <row r="305" spans="4:28" x14ac:dyDescent="0.25">
      <c r="H305" s="2">
        <v>0</v>
      </c>
      <c r="I305" s="2">
        <f t="shared" ref="I305:AB305" si="225">+H305+delta</f>
        <v>0.1</v>
      </c>
      <c r="J305" s="2">
        <f t="shared" si="225"/>
        <v>0.2</v>
      </c>
      <c r="K305" s="2">
        <f t="shared" si="225"/>
        <v>0.30000000000000004</v>
      </c>
      <c r="L305" s="2">
        <f t="shared" si="225"/>
        <v>0.4</v>
      </c>
      <c r="M305" s="2">
        <f t="shared" si="225"/>
        <v>0.5</v>
      </c>
      <c r="N305" s="2">
        <f t="shared" si="225"/>
        <v>0.6</v>
      </c>
      <c r="O305" s="2">
        <f t="shared" si="225"/>
        <v>0.7</v>
      </c>
      <c r="P305" s="2">
        <f t="shared" si="225"/>
        <v>0.79999999999999993</v>
      </c>
      <c r="Q305" s="2">
        <f t="shared" si="225"/>
        <v>0.89999999999999991</v>
      </c>
      <c r="R305" s="2">
        <f t="shared" si="225"/>
        <v>0.99999999999999989</v>
      </c>
      <c r="S305" s="2">
        <f t="shared" si="225"/>
        <v>1.0999999999999999</v>
      </c>
      <c r="T305" s="2">
        <f t="shared" si="225"/>
        <v>1.2</v>
      </c>
      <c r="U305" s="2">
        <f t="shared" si="225"/>
        <v>1.3</v>
      </c>
      <c r="V305" s="2">
        <f t="shared" si="225"/>
        <v>1.4000000000000001</v>
      </c>
      <c r="W305" s="2">
        <f t="shared" si="225"/>
        <v>1.5000000000000002</v>
      </c>
      <c r="X305" s="2">
        <f t="shared" si="225"/>
        <v>1.6000000000000003</v>
      </c>
      <c r="Y305" s="2">
        <f t="shared" si="225"/>
        <v>1.7000000000000004</v>
      </c>
      <c r="Z305" s="2">
        <f t="shared" si="225"/>
        <v>1.8000000000000005</v>
      </c>
      <c r="AA305" s="2">
        <f t="shared" si="225"/>
        <v>1.9000000000000006</v>
      </c>
      <c r="AB305" s="2">
        <f t="shared" si="225"/>
        <v>2.0000000000000004</v>
      </c>
    </row>
    <row r="308" spans="4:28" x14ac:dyDescent="0.25">
      <c r="D308" s="15" t="s">
        <v>16</v>
      </c>
      <c r="E308" s="2">
        <f t="shared" ref="E308:E347" si="226">E309+delta</f>
        <v>4.0000000000000018</v>
      </c>
      <c r="H308" s="10">
        <f t="shared" ref="H308:H348" ca="1" si="227">-D*(I258-H258)/delta</f>
        <v>4.65376475375817E-5</v>
      </c>
      <c r="I308" s="3">
        <f t="shared" ref="I308:AA308" ca="1" si="228">-D*(J258-H258)/(2*delta)</f>
        <v>4.6492712032502486E-5</v>
      </c>
      <c r="J308" s="3">
        <f t="shared" ca="1" si="228"/>
        <v>4.6360310194934805E-5</v>
      </c>
      <c r="K308" s="3">
        <f t="shared" ca="1" si="228"/>
        <v>4.6145868329696984E-5</v>
      </c>
      <c r="L308" s="3">
        <f t="shared" ca="1" si="228"/>
        <v>4.585632559131849E-5</v>
      </c>
      <c r="M308" s="3">
        <f t="shared" ca="1" si="228"/>
        <v>4.5500386465014478E-5</v>
      </c>
      <c r="N308" s="3">
        <f t="shared" ca="1" si="228"/>
        <v>4.5088677549226556E-5</v>
      </c>
      <c r="O308" s="3">
        <f t="shared" ca="1" si="228"/>
        <v>4.4633786242223831E-5</v>
      </c>
      <c r="P308" s="3">
        <f t="shared" ca="1" si="228"/>
        <v>4.4150423633054156E-5</v>
      </c>
      <c r="Q308" s="3">
        <f t="shared" ca="1" si="228"/>
        <v>4.3655601645453816E-5</v>
      </c>
      <c r="R308" s="3">
        <f t="shared" ca="1" si="228"/>
        <v>4.3168761314471843E-5</v>
      </c>
      <c r="S308" s="3">
        <f t="shared" ca="1" si="228"/>
        <v>4.2712096532235791E-5</v>
      </c>
      <c r="T308" s="3">
        <f t="shared" ca="1" si="228"/>
        <v>4.2310655854796456E-5</v>
      </c>
      <c r="U308" s="3">
        <f t="shared" ca="1" si="228"/>
        <v>4.199271715131598E-5</v>
      </c>
      <c r="V308" s="3">
        <f t="shared" ca="1" si="228"/>
        <v>4.1790268132374625E-5</v>
      </c>
      <c r="W308" s="3">
        <f t="shared" ca="1" si="228"/>
        <v>4.1739169240922032E-5</v>
      </c>
      <c r="X308" s="3">
        <f t="shared" ca="1" si="228"/>
        <v>4.1879768565618682E-5</v>
      </c>
      <c r="Y308" s="3">
        <f t="shared" ca="1" si="228"/>
        <v>4.2257618561022233E-5</v>
      </c>
      <c r="Z308" s="3">
        <f t="shared" ca="1" si="228"/>
        <v>4.2923866985870725E-5</v>
      </c>
      <c r="AA308" s="3">
        <f t="shared" ca="1" si="228"/>
        <v>4.393646229612296E-5</v>
      </c>
      <c r="AB308" s="10">
        <f t="shared" ref="AB308:AB348" ca="1" si="229">-D*(AB258-AA258)/delta</f>
        <v>4.4537073812106821E-5</v>
      </c>
    </row>
    <row r="309" spans="4:28" x14ac:dyDescent="0.25">
      <c r="D309" s="15"/>
      <c r="E309" s="2">
        <f t="shared" si="226"/>
        <v>3.9000000000000021</v>
      </c>
      <c r="H309" s="10">
        <f t="shared" ca="1" si="227"/>
        <v>-31.843334647617709</v>
      </c>
      <c r="I309" s="4">
        <f t="shared" ref="I309:AA309" ca="1" si="230">-D*(J259-H259)/(2*delta)</f>
        <v>-31.682222091795015</v>
      </c>
      <c r="J309" s="4">
        <f t="shared" ca="1" si="230"/>
        <v>-31.199115168497773</v>
      </c>
      <c r="K309" s="4">
        <f t="shared" ca="1" si="230"/>
        <v>-30.395168656159843</v>
      </c>
      <c r="L309" s="4">
        <f t="shared" ca="1" si="230"/>
        <v>-29.2731292646546</v>
      </c>
      <c r="M309" s="4">
        <f t="shared" ca="1" si="230"/>
        <v>-27.838000862823147</v>
      </c>
      <c r="N309" s="4">
        <f t="shared" ca="1" si="230"/>
        <v>-26.09801369029843</v>
      </c>
      <c r="O309" s="4">
        <f t="shared" ca="1" si="230"/>
        <v>-24.065612306005452</v>
      </c>
      <c r="P309" s="4">
        <f t="shared" ca="1" si="230"/>
        <v>-21.758296026162952</v>
      </c>
      <c r="Q309" s="4">
        <f t="shared" ca="1" si="230"/>
        <v>-19.199146270031328</v>
      </c>
      <c r="R309" s="4">
        <f t="shared" ca="1" si="230"/>
        <v>-16.416903261417374</v>
      </c>
      <c r="S309" s="4">
        <f t="shared" ca="1" si="230"/>
        <v>-13.445512013231946</v>
      </c>
      <c r="T309" s="4">
        <f t="shared" ca="1" si="230"/>
        <v>-10.323139580920314</v>
      </c>
      <c r="U309" s="4">
        <f t="shared" ca="1" si="230"/>
        <v>-7.0907591776784917</v>
      </c>
      <c r="V309" s="4">
        <f t="shared" ca="1" si="230"/>
        <v>-3.79048233768322</v>
      </c>
      <c r="W309" s="4">
        <f t="shared" ca="1" si="230"/>
        <v>-0.46387661006083136</v>
      </c>
      <c r="X309" s="4">
        <f t="shared" ca="1" si="230"/>
        <v>2.8494833209083859</v>
      </c>
      <c r="Y309" s="4">
        <f t="shared" ca="1" si="230"/>
        <v>6.1130247881721322</v>
      </c>
      <c r="Z309" s="4">
        <f t="shared" ca="1" si="230"/>
        <v>9.2936266639852754</v>
      </c>
      <c r="AA309" s="4">
        <f t="shared" ca="1" si="230"/>
        <v>12.361500492583696</v>
      </c>
      <c r="AB309" s="10">
        <f t="shared" ca="1" si="229"/>
        <v>13.863727923039265</v>
      </c>
    </row>
    <row r="310" spans="4:28" x14ac:dyDescent="0.25">
      <c r="D310" s="15"/>
      <c r="E310" s="2">
        <f t="shared" si="226"/>
        <v>3.800000000000002</v>
      </c>
      <c r="H310" s="10">
        <f t="shared" ca="1" si="227"/>
        <v>-64.009778320843893</v>
      </c>
      <c r="I310" s="4">
        <f t="shared" ref="I310:AA310" ca="1" si="231">-D*(J260-H260)/(2*delta)</f>
        <v>-63.687182101377687</v>
      </c>
      <c r="J310" s="4">
        <f t="shared" ca="1" si="231"/>
        <v>-62.719671722520779</v>
      </c>
      <c r="K310" s="4">
        <f t="shared" ca="1" si="231"/>
        <v>-61.109028713222031</v>
      </c>
      <c r="L310" s="4">
        <f t="shared" ca="1" si="231"/>
        <v>-58.859941853628371</v>
      </c>
      <c r="M310" s="4">
        <f t="shared" ca="1" si="231"/>
        <v>-55.98144979380028</v>
      </c>
      <c r="N310" s="4">
        <f t="shared" ca="1" si="231"/>
        <v>-52.489025213328667</v>
      </c>
      <c r="O310" s="4">
        <f t="shared" ca="1" si="231"/>
        <v>-48.406716968476836</v>
      </c>
      <c r="P310" s="4">
        <f t="shared" ca="1" si="231"/>
        <v>-43.768996550077496</v>
      </c>
      <c r="Q310" s="4">
        <f t="shared" ca="1" si="231"/>
        <v>-38.621950329302393</v>
      </c>
      <c r="R310" s="4">
        <f t="shared" ca="1" si="231"/>
        <v>-33.0235130381893</v>
      </c>
      <c r="S310" s="4">
        <f t="shared" ca="1" si="231"/>
        <v>-27.042557752546514</v>
      </c>
      <c r="T310" s="4">
        <f t="shared" ca="1" si="231"/>
        <v>-20.756834812350895</v>
      </c>
      <c r="U310" s="4">
        <f t="shared" ca="1" si="231"/>
        <v>-14.249958868412353</v>
      </c>
      <c r="V310" s="4">
        <f t="shared" ca="1" si="231"/>
        <v>-7.6078357319401695</v>
      </c>
      <c r="W310" s="4">
        <f t="shared" ca="1" si="231"/>
        <v>-0.91504987170792917</v>
      </c>
      <c r="X310" s="4">
        <f t="shared" ca="1" si="231"/>
        <v>5.7482396377732368</v>
      </c>
      <c r="Y310" s="4">
        <f t="shared" ca="1" si="231"/>
        <v>12.308437319770189</v>
      </c>
      <c r="Z310" s="4">
        <f t="shared" ca="1" si="231"/>
        <v>18.699419085361939</v>
      </c>
      <c r="AA310" s="4">
        <f t="shared" ca="1" si="231"/>
        <v>24.862199305706287</v>
      </c>
      <c r="AB310" s="10">
        <f t="shared" ca="1" si="229"/>
        <v>27.879583171905821</v>
      </c>
    </row>
    <row r="311" spans="4:28" x14ac:dyDescent="0.25">
      <c r="D311" s="15"/>
      <c r="E311" s="2">
        <f t="shared" si="226"/>
        <v>3.700000000000002</v>
      </c>
      <c r="H311" s="10">
        <f t="shared" ca="1" si="227"/>
        <v>-96.822990381488211</v>
      </c>
      <c r="I311" s="4">
        <f t="shared" ref="I311:AA311" ca="1" si="232">-D*(J261-H261)/(2*delta)</f>
        <v>-96.338352557124566</v>
      </c>
      <c r="J311" s="4">
        <f t="shared" ca="1" si="232"/>
        <v>-94.884375116630792</v>
      </c>
      <c r="K311" s="4">
        <f t="shared" ca="1" si="232"/>
        <v>-92.462341173172149</v>
      </c>
      <c r="L311" s="4">
        <f t="shared" ca="1" si="232"/>
        <v>-89.077160981958514</v>
      </c>
      <c r="M311" s="4">
        <f t="shared" ca="1" si="232"/>
        <v>-84.739824028109354</v>
      </c>
      <c r="N311" s="4">
        <f t="shared" ca="1" si="232"/>
        <v>-79.470903538980082</v>
      </c>
      <c r="O311" s="4">
        <f t="shared" ca="1" si="232"/>
        <v>-73.304206510776552</v>
      </c>
      <c r="P311" s="4">
        <f t="shared" ca="1" si="232"/>
        <v>-66.289984711730057</v>
      </c>
      <c r="Q311" s="4">
        <f t="shared" ca="1" si="232"/>
        <v>-58.497096384831451</v>
      </c>
      <c r="R311" s="4">
        <f t="shared" ca="1" si="232"/>
        <v>-50.013581245005604</v>
      </c>
      <c r="S311" s="4">
        <f t="shared" ca="1" si="232"/>
        <v>-40.945302027934488</v>
      </c>
      <c r="T311" s="4">
        <f t="shared" ca="1" si="232"/>
        <v>-31.412605896827017</v>
      </c>
      <c r="U311" s="4">
        <f t="shared" ca="1" si="232"/>
        <v>-21.545322753848872</v>
      </c>
      <c r="V311" s="4">
        <f t="shared" ca="1" si="232"/>
        <v>-11.476765931719488</v>
      </c>
      <c r="W311" s="4">
        <f t="shared" ca="1" si="232"/>
        <v>-1.3376417075549796</v>
      </c>
      <c r="X311" s="4">
        <f t="shared" ca="1" si="232"/>
        <v>8.7491673106692218</v>
      </c>
      <c r="Y311" s="4">
        <f t="shared" ca="1" si="232"/>
        <v>18.672133987811534</v>
      </c>
      <c r="Z311" s="4">
        <f t="shared" ca="1" si="232"/>
        <v>28.332463007745851</v>
      </c>
      <c r="AA311" s="4">
        <f t="shared" ca="1" si="232"/>
        <v>37.643291965177575</v>
      </c>
      <c r="AB311" s="10">
        <f t="shared" ca="1" si="229"/>
        <v>42.201162209634511</v>
      </c>
    </row>
    <row r="312" spans="4:28" x14ac:dyDescent="0.25">
      <c r="D312" s="15"/>
      <c r="E312" s="2">
        <f t="shared" si="226"/>
        <v>3.6000000000000019</v>
      </c>
      <c r="H312" s="10">
        <f t="shared" ca="1" si="227"/>
        <v>-130.6077827369115</v>
      </c>
      <c r="I312" s="4">
        <f t="shared" ref="I312:AA312" ca="1" si="233">-D*(J262-H262)/(2*delta)</f>
        <v>-129.96075002265502</v>
      </c>
      <c r="J312" s="4">
        <f t="shared" ca="1" si="233"/>
        <v>-128.01860164222342</v>
      </c>
      <c r="K312" s="4">
        <f t="shared" ca="1" si="233"/>
        <v>-124.78025829124334</v>
      </c>
      <c r="L312" s="4">
        <f t="shared" ca="1" si="233"/>
        <v>-120.24798482072299</v>
      </c>
      <c r="M312" s="4">
        <f t="shared" ca="1" si="233"/>
        <v>-114.43121734734569</v>
      </c>
      <c r="N312" s="4">
        <f t="shared" ca="1" si="233"/>
        <v>-107.35197998967266</v>
      </c>
      <c r="O312" s="4">
        <f t="shared" ca="1" si="233"/>
        <v>-99.050627317827946</v>
      </c>
      <c r="P312" s="4">
        <f t="shared" ca="1" si="233"/>
        <v>-89.591030178544855</v>
      </c>
      <c r="Q312" s="4">
        <f t="shared" ca="1" si="233"/>
        <v>-79.064244270930715</v>
      </c>
      <c r="R312" s="4">
        <f t="shared" ca="1" si="233"/>
        <v>-67.589773406126568</v>
      </c>
      <c r="S312" s="4">
        <f t="shared" ca="1" si="233"/>
        <v>-55.313809325018063</v>
      </c>
      <c r="T312" s="4">
        <f t="shared" ca="1" si="233"/>
        <v>-42.404298550463722</v>
      </c>
      <c r="U312" s="4">
        <f t="shared" ca="1" si="233"/>
        <v>-29.043286503652823</v>
      </c>
      <c r="V312" s="4">
        <f t="shared" ca="1" si="233"/>
        <v>-15.417585600541079</v>
      </c>
      <c r="W312" s="4">
        <f t="shared" ca="1" si="233"/>
        <v>-1.7092417537924447</v>
      </c>
      <c r="X312" s="4">
        <f t="shared" ca="1" si="233"/>
        <v>11.912605727997869</v>
      </c>
      <c r="Y312" s="4">
        <f t="shared" ca="1" si="233"/>
        <v>25.297120178028209</v>
      </c>
      <c r="Z312" s="4">
        <f t="shared" ca="1" si="233"/>
        <v>38.313632231575156</v>
      </c>
      <c r="AA312" s="4">
        <f t="shared" ca="1" si="233"/>
        <v>50.849934533393977</v>
      </c>
      <c r="AB312" s="10">
        <f t="shared" ca="1" si="229"/>
        <v>56.985054952268364</v>
      </c>
    </row>
    <row r="313" spans="4:28" x14ac:dyDescent="0.25">
      <c r="D313" s="15"/>
      <c r="E313" s="2">
        <f t="shared" si="226"/>
        <v>3.5000000000000018</v>
      </c>
      <c r="H313" s="10">
        <f t="shared" ca="1" si="227"/>
        <v>-165.68965944456426</v>
      </c>
      <c r="I313" s="4">
        <f t="shared" ref="I313:AA313" ca="1" si="234">-D*(J263-H263)/(2*delta)</f>
        <v>-164.88072984641158</v>
      </c>
      <c r="J313" s="4">
        <f t="shared" ca="1" si="234"/>
        <v>-162.45093301048479</v>
      </c>
      <c r="K313" s="4">
        <f t="shared" ca="1" si="234"/>
        <v>-158.39400467383805</v>
      </c>
      <c r="L313" s="4">
        <f t="shared" ca="1" si="234"/>
        <v>-152.70518816149655</v>
      </c>
      <c r="M313" s="4">
        <f t="shared" ca="1" si="234"/>
        <v>-145.386949888218</v>
      </c>
      <c r="N313" s="4">
        <f t="shared" ca="1" si="234"/>
        <v>-136.45702289816322</v>
      </c>
      <c r="O313" s="4">
        <f t="shared" ca="1" si="234"/>
        <v>-125.95712407885024</v>
      </c>
      <c r="P313" s="4">
        <f t="shared" ca="1" si="234"/>
        <v>-113.9610754371126</v>
      </c>
      <c r="Q313" s="4">
        <f t="shared" ca="1" si="234"/>
        <v>-100.58086762849832</v>
      </c>
      <c r="R313" s="4">
        <f t="shared" ca="1" si="234"/>
        <v>-85.969229603858182</v>
      </c>
      <c r="S313" s="4">
        <f t="shared" ca="1" si="234"/>
        <v>-70.317616236809613</v>
      </c>
      <c r="T313" s="4">
        <f t="shared" ca="1" si="234"/>
        <v>-53.849230403115996</v>
      </c>
      <c r="U313" s="4">
        <f t="shared" ca="1" si="234"/>
        <v>-36.807666191758685</v>
      </c>
      <c r="V313" s="4">
        <f t="shared" ca="1" si="234"/>
        <v>-19.442770009515037</v>
      </c>
      <c r="W313" s="4">
        <f t="shared" ca="1" si="234"/>
        <v>-1.9960690785095836</v>
      </c>
      <c r="X313" s="4">
        <f t="shared" ca="1" si="234"/>
        <v>15.311642778610789</v>
      </c>
      <c r="Y313" s="4">
        <f t="shared" ca="1" si="234"/>
        <v>32.288352703841028</v>
      </c>
      <c r="Z313" s="4">
        <f t="shared" ca="1" si="234"/>
        <v>48.773220338924659</v>
      </c>
      <c r="AA313" s="4">
        <f t="shared" ca="1" si="234"/>
        <v>64.633245885339576</v>
      </c>
      <c r="AB313" s="10">
        <f t="shared" ca="1" si="229"/>
        <v>72.391974189559136</v>
      </c>
    </row>
    <row r="314" spans="4:28" x14ac:dyDescent="0.25">
      <c r="D314" s="15"/>
      <c r="E314" s="2">
        <f t="shared" si="226"/>
        <v>3.4000000000000017</v>
      </c>
      <c r="H314" s="10">
        <f t="shared" ca="1" si="227"/>
        <v>-202.39310968635769</v>
      </c>
      <c r="I314" s="4">
        <f t="shared" ref="I314:AA314" ca="1" si="235">-D*(J264-H264)/(2*delta)</f>
        <v>-201.4246074859546</v>
      </c>
      <c r="J314" s="4">
        <f t="shared" ca="1" si="235"/>
        <v>-198.51273706291309</v>
      </c>
      <c r="K314" s="4">
        <f t="shared" ca="1" si="235"/>
        <v>-193.64196724683273</v>
      </c>
      <c r="L314" s="4">
        <f t="shared" ca="1" si="235"/>
        <v>-186.79412453467728</v>
      </c>
      <c r="M314" s="4">
        <f t="shared" ca="1" si="235"/>
        <v>-177.95666259438735</v>
      </c>
      <c r="N314" s="4">
        <f t="shared" ca="1" si="235"/>
        <v>-167.13430677534413</v>
      </c>
      <c r="O314" s="4">
        <f t="shared" ca="1" si="235"/>
        <v>-154.36201570259948</v>
      </c>
      <c r="P314" s="4">
        <f t="shared" ca="1" si="235"/>
        <v>-139.71749982495064</v>
      </c>
      <c r="Q314" s="4">
        <f t="shared" ca="1" si="235"/>
        <v>-123.33111603406041</v>
      </c>
      <c r="R314" s="4">
        <f t="shared" ca="1" si="235"/>
        <v>-105.39083185305458</v>
      </c>
      <c r="S314" s="4">
        <f t="shared" ca="1" si="235"/>
        <v>-86.140344410908767</v>
      </c>
      <c r="T314" s="4">
        <f t="shared" ca="1" si="235"/>
        <v>-65.869471084445877</v>
      </c>
      <c r="U314" s="4">
        <f t="shared" ca="1" si="235"/>
        <v>-44.897495057948511</v>
      </c>
      <c r="V314" s="4">
        <f t="shared" ca="1" si="235"/>
        <v>-23.551869948335224</v>
      </c>
      <c r="W314" s="4">
        <f t="shared" ca="1" si="235"/>
        <v>-2.1460204425033216</v>
      </c>
      <c r="X314" s="4">
        <f t="shared" ca="1" si="235"/>
        <v>19.039555382503938</v>
      </c>
      <c r="Y314" s="4">
        <f t="shared" ca="1" si="235"/>
        <v>39.769274501743723</v>
      </c>
      <c r="Z314" s="4">
        <f t="shared" ca="1" si="235"/>
        <v>59.855454753320231</v>
      </c>
      <c r="AA314" s="4">
        <f t="shared" ca="1" si="235"/>
        <v>79.152200579531311</v>
      </c>
      <c r="AB314" s="10">
        <f t="shared" ca="1" si="229"/>
        <v>88.587263794310758</v>
      </c>
    </row>
    <row r="315" spans="4:28" x14ac:dyDescent="0.25">
      <c r="D315" s="15"/>
      <c r="E315" s="2">
        <f t="shared" si="226"/>
        <v>3.3000000000000016</v>
      </c>
      <c r="H315" s="10">
        <f t="shared" ca="1" si="227"/>
        <v>-241.03795089968872</v>
      </c>
      <c r="I315" s="4">
        <f t="shared" ref="I315:AA315" ca="1" si="236">-D*(J265-H265)/(2*delta)</f>
        <v>-239.91542889899381</v>
      </c>
      <c r="J315" s="4">
        <f t="shared" ca="1" si="236"/>
        <v>-236.53619839310414</v>
      </c>
      <c r="K315" s="4">
        <f t="shared" ca="1" si="236"/>
        <v>-230.86974507351914</v>
      </c>
      <c r="L315" s="4">
        <f t="shared" ca="1" si="236"/>
        <v>-222.87540275816497</v>
      </c>
      <c r="M315" s="4">
        <f t="shared" ca="1" si="236"/>
        <v>-212.51396844236584</v>
      </c>
      <c r="N315" s="4">
        <f t="shared" ca="1" si="236"/>
        <v>-199.76419888516634</v>
      </c>
      <c r="O315" s="4">
        <f t="shared" ca="1" si="236"/>
        <v>-184.64177672312147</v>
      </c>
      <c r="P315" s="4">
        <f t="shared" ca="1" si="236"/>
        <v>-167.21840717977443</v>
      </c>
      <c r="Q315" s="4">
        <f t="shared" ca="1" si="236"/>
        <v>-147.63785029088788</v>
      </c>
      <c r="R315" s="4">
        <f t="shared" ca="1" si="236"/>
        <v>-126.12519442893405</v>
      </c>
      <c r="S315" s="4">
        <f t="shared" ca="1" si="236"/>
        <v>-102.98598974519085</v>
      </c>
      <c r="T315" s="4">
        <f t="shared" ca="1" si="236"/>
        <v>-78.593324163185983</v>
      </c>
      <c r="U315" s="4">
        <f t="shared" ca="1" si="236"/>
        <v>-53.363467141116274</v>
      </c>
      <c r="V315" s="4">
        <f t="shared" ca="1" si="236"/>
        <v>-27.723680894150043</v>
      </c>
      <c r="W315" s="4">
        <f t="shared" ca="1" si="236"/>
        <v>-2.0781875405184307</v>
      </c>
      <c r="X315" s="4">
        <f t="shared" ca="1" si="236"/>
        <v>23.22081959105024</v>
      </c>
      <c r="Y315" s="4">
        <f t="shared" ca="1" si="236"/>
        <v>47.891198620553304</v>
      </c>
      <c r="Z315" s="4">
        <f t="shared" ca="1" si="236"/>
        <v>71.724536611507233</v>
      </c>
      <c r="AA315" s="4">
        <f t="shared" ca="1" si="236"/>
        <v>94.575399883632883</v>
      </c>
      <c r="AB315" s="10">
        <f t="shared" ca="1" si="229"/>
        <v>105.74042119647856</v>
      </c>
    </row>
    <row r="316" spans="4:28" x14ac:dyDescent="0.25">
      <c r="D316" s="15"/>
      <c r="E316" s="2">
        <f t="shared" si="226"/>
        <v>3.2000000000000015</v>
      </c>
      <c r="H316" s="10">
        <f t="shared" ca="1" si="227"/>
        <v>-281.93286757169204</v>
      </c>
      <c r="I316" s="4">
        <f t="shared" ref="I316:AA316" ca="1" si="237">-D*(J266-H266)/(2*delta)</f>
        <v>-280.66705705133046</v>
      </c>
      <c r="J316" s="4">
        <f t="shared" ca="1" si="237"/>
        <v>-276.85003993177202</v>
      </c>
      <c r="K316" s="4">
        <f t="shared" ca="1" si="237"/>
        <v>-270.42855150267729</v>
      </c>
      <c r="L316" s="4">
        <f t="shared" ca="1" si="237"/>
        <v>-261.3268899863283</v>
      </c>
      <c r="M316" s="4">
        <f t="shared" ca="1" si="237"/>
        <v>-249.46269978654522</v>
      </c>
      <c r="N316" s="4">
        <f t="shared" ca="1" si="237"/>
        <v>-234.76980376163868</v>
      </c>
      <c r="O316" s="4">
        <f t="shared" ca="1" si="237"/>
        <v>-217.2255127891583</v>
      </c>
      <c r="P316" s="4">
        <f t="shared" ca="1" si="237"/>
        <v>-196.87949573437882</v>
      </c>
      <c r="Q316" s="4">
        <f t="shared" ca="1" si="237"/>
        <v>-173.87964350869197</v>
      </c>
      <c r="R316" s="4">
        <f t="shared" ca="1" si="237"/>
        <v>-148.48903331894002</v>
      </c>
      <c r="S316" s="4">
        <f t="shared" ca="1" si="237"/>
        <v>-121.08799396765349</v>
      </c>
      <c r="T316" s="4">
        <f t="shared" ca="1" si="237"/>
        <v>-92.157241996015898</v>
      </c>
      <c r="U316" s="4">
        <f t="shared" ca="1" si="237"/>
        <v>-62.242223979683601</v>
      </c>
      <c r="V316" s="4">
        <f t="shared" ca="1" si="237"/>
        <v>-31.904045910242075</v>
      </c>
      <c r="W316" s="4">
        <f t="shared" ca="1" si="237"/>
        <v>-1.666718632298011</v>
      </c>
      <c r="X316" s="4">
        <f t="shared" ca="1" si="237"/>
        <v>28.027843682084303</v>
      </c>
      <c r="Y316" s="4">
        <f t="shared" ca="1" si="237"/>
        <v>56.847259505745029</v>
      </c>
      <c r="Z316" s="4">
        <f t="shared" ca="1" si="237"/>
        <v>84.573131133331657</v>
      </c>
      <c r="AA316" s="4">
        <f t="shared" ca="1" si="237"/>
        <v>111.08264968737275</v>
      </c>
      <c r="AB316" s="10">
        <f t="shared" ca="1" si="229"/>
        <v>124.0230351696507</v>
      </c>
    </row>
    <row r="317" spans="4:28" x14ac:dyDescent="0.25">
      <c r="D317" s="15"/>
      <c r="E317" s="2">
        <f t="shared" si="226"/>
        <v>3.1000000000000014</v>
      </c>
      <c r="H317" s="10">
        <f t="shared" ca="1" si="227"/>
        <v>-325.36505029505764</v>
      </c>
      <c r="I317" s="4">
        <f t="shared" ref="I317:AA317" ca="1" si="238">-D*(J267-H267)/(2*delta)</f>
        <v>-323.97448719812115</v>
      </c>
      <c r="J317" s="4">
        <f t="shared" ca="1" si="238"/>
        <v>-319.77189002494794</v>
      </c>
      <c r="K317" s="4">
        <f t="shared" ca="1" si="238"/>
        <v>-312.67104832545544</v>
      </c>
      <c r="L317" s="4">
        <f t="shared" ca="1" si="238"/>
        <v>-302.54439787533522</v>
      </c>
      <c r="M317" s="4">
        <f t="shared" ca="1" si="238"/>
        <v>-289.24359896467809</v>
      </c>
      <c r="N317" s="4">
        <f t="shared" ca="1" si="238"/>
        <v>-272.63023187888933</v>
      </c>
      <c r="O317" s="4">
        <f t="shared" ca="1" si="238"/>
        <v>-252.61436682711226</v>
      </c>
      <c r="P317" s="4">
        <f t="shared" ca="1" si="238"/>
        <v>-229.19777348088084</v>
      </c>
      <c r="Q317" s="4">
        <f t="shared" ca="1" si="238"/>
        <v>-202.51551078154608</v>
      </c>
      <c r="R317" s="4">
        <f t="shared" ca="1" si="238"/>
        <v>-172.86658107371275</v>
      </c>
      <c r="S317" s="4">
        <f t="shared" ca="1" si="238"/>
        <v>-140.72295748566947</v>
      </c>
      <c r="T317" s="4">
        <f t="shared" ca="1" si="238"/>
        <v>-106.70864493468625</v>
      </c>
      <c r="U317" s="4">
        <f t="shared" ca="1" si="238"/>
        <v>-71.547340039090216</v>
      </c>
      <c r="V317" s="4">
        <f t="shared" ca="1" si="238"/>
        <v>-35.986749735134111</v>
      </c>
      <c r="W317" s="4">
        <f t="shared" ca="1" si="238"/>
        <v>-0.71567804449442307</v>
      </c>
      <c r="X317" s="4">
        <f t="shared" ca="1" si="238"/>
        <v>33.706800769655239</v>
      </c>
      <c r="Y317" s="4">
        <f t="shared" ca="1" si="238"/>
        <v>66.893610671110764</v>
      </c>
      <c r="Z317" s="4">
        <f t="shared" ca="1" si="238"/>
        <v>98.634760052571593</v>
      </c>
      <c r="AA317" s="4">
        <f t="shared" ca="1" si="238"/>
        <v>128.86628005177926</v>
      </c>
      <c r="AB317" s="10">
        <f t="shared" ca="1" si="229"/>
        <v>143.60427277122278</v>
      </c>
    </row>
    <row r="318" spans="4:28" x14ac:dyDescent="0.25">
      <c r="D318" s="15"/>
      <c r="E318" s="2">
        <f t="shared" si="226"/>
        <v>3.0000000000000013</v>
      </c>
      <c r="H318" s="10">
        <f t="shared" ca="1" si="227"/>
        <v>-371.58458265447865</v>
      </c>
      <c r="I318" s="4">
        <f t="shared" ref="I318:AA318" ca="1" si="239">-D*(J268-H268)/(2*delta)</f>
        <v>-370.09901538898504</v>
      </c>
      <c r="J318" s="4">
        <f t="shared" ca="1" si="239"/>
        <v>-365.59587973277701</v>
      </c>
      <c r="K318" s="4">
        <f t="shared" ca="1" si="239"/>
        <v>-357.94322702594832</v>
      </c>
      <c r="L318" s="4">
        <f t="shared" ca="1" si="239"/>
        <v>-346.93989945640186</v>
      </c>
      <c r="M318" s="4">
        <f t="shared" ca="1" si="239"/>
        <v>-332.34087854336013</v>
      </c>
      <c r="N318" s="4">
        <f t="shared" ca="1" si="239"/>
        <v>-313.89693306482866</v>
      </c>
      <c r="O318" s="4">
        <f t="shared" ca="1" si="239"/>
        <v>-291.40768418153374</v>
      </c>
      <c r="P318" s="4">
        <f t="shared" ca="1" si="239"/>
        <v>-264.78541391218999</v>
      </c>
      <c r="Q318" s="4">
        <f t="shared" ca="1" si="239"/>
        <v>-234.12169664174232</v>
      </c>
      <c r="R318" s="5">
        <f t="shared" ca="1" si="239"/>
        <v>-199.7424342361719</v>
      </c>
      <c r="S318" s="5">
        <f t="shared" ca="1" si="239"/>
        <v>-162.23218514583309</v>
      </c>
      <c r="T318" s="5">
        <f t="shared" ca="1" si="239"/>
        <v>-122.41058501149924</v>
      </c>
      <c r="U318" s="5">
        <f t="shared" ca="1" si="239"/>
        <v>-81.255264424783476</v>
      </c>
      <c r="V318" s="5">
        <f t="shared" ca="1" si="239"/>
        <v>-39.783447362991545</v>
      </c>
      <c r="W318" s="5">
        <f t="shared" ca="1" si="239"/>
        <v>1.0804389169092028</v>
      </c>
      <c r="X318" s="4">
        <f t="shared" ca="1" si="239"/>
        <v>40.617887980420662</v>
      </c>
      <c r="Y318" s="4">
        <f t="shared" ca="1" si="239"/>
        <v>78.382039027633525</v>
      </c>
      <c r="Z318" s="4">
        <f t="shared" ca="1" si="239"/>
        <v>114.20236369645231</v>
      </c>
      <c r="AA318" s="4">
        <f t="shared" ca="1" si="239"/>
        <v>148.1322013490196</v>
      </c>
      <c r="AB318" s="10">
        <f t="shared" ca="1" si="229"/>
        <v>164.64272073720551</v>
      </c>
    </row>
    <row r="319" spans="4:28" x14ac:dyDescent="0.25">
      <c r="D319" s="15"/>
      <c r="E319" s="2">
        <f t="shared" si="226"/>
        <v>2.9000000000000012</v>
      </c>
      <c r="H319" s="10">
        <f t="shared" ca="1" si="227"/>
        <v>-420.78201273538281</v>
      </c>
      <c r="I319" s="4">
        <f t="shared" ref="I319:AA319" ca="1" si="240">-D*(J269-H269)/(2*delta)</f>
        <v>-419.24661303476626</v>
      </c>
      <c r="J319" s="4">
        <f t="shared" ca="1" si="240"/>
        <v>-414.57361521606913</v>
      </c>
      <c r="K319" s="4">
        <f t="shared" ca="1" si="240"/>
        <v>-406.57028546482775</v>
      </c>
      <c r="L319" s="4">
        <f t="shared" ca="1" si="240"/>
        <v>-394.93526896740235</v>
      </c>
      <c r="M319" s="4">
        <f t="shared" ca="1" si="240"/>
        <v>-379.28722144258728</v>
      </c>
      <c r="N319" s="4">
        <f t="shared" ca="1" si="240"/>
        <v>-359.21303611097403</v>
      </c>
      <c r="O319" s="4">
        <f t="shared" ca="1" si="240"/>
        <v>-334.33807787083805</v>
      </c>
      <c r="P319" s="4">
        <f t="shared" ca="1" si="240"/>
        <v>-304.41851103998493</v>
      </c>
      <c r="Q319" s="4">
        <f t="shared" ca="1" si="240"/>
        <v>-269.44739201591932</v>
      </c>
      <c r="R319" s="5">
        <f t="shared" ca="1" si="240"/>
        <v>-229.75319500217012</v>
      </c>
      <c r="S319" s="5">
        <f t="shared" ca="1" si="240"/>
        <v>-186.05664532660796</v>
      </c>
      <c r="T319" s="5">
        <f t="shared" ca="1" si="240"/>
        <v>-139.45009405287314</v>
      </c>
      <c r="U319" s="5">
        <f t="shared" ca="1" si="240"/>
        <v>-91.28351007768191</v>
      </c>
      <c r="V319" s="5">
        <f t="shared" ca="1" si="240"/>
        <v>-42.976027629473975</v>
      </c>
      <c r="W319" s="5">
        <f t="shared" ca="1" si="240"/>
        <v>4.199175207325097</v>
      </c>
      <c r="X319" s="4">
        <f t="shared" ca="1" si="240"/>
        <v>49.298431100699119</v>
      </c>
      <c r="Y319" s="4">
        <f t="shared" ca="1" si="240"/>
        <v>91.810403289401663</v>
      </c>
      <c r="Z319" s="4">
        <f t="shared" ca="1" si="240"/>
        <v>131.65648644455621</v>
      </c>
      <c r="AA319" s="4">
        <f t="shared" ca="1" si="240"/>
        <v>169.10085728705744</v>
      </c>
      <c r="AB319" s="10">
        <f t="shared" ca="1" si="229"/>
        <v>187.27305478387882</v>
      </c>
    </row>
    <row r="320" spans="4:28" x14ac:dyDescent="0.25">
      <c r="D320" s="15"/>
      <c r="E320" s="2">
        <f t="shared" si="226"/>
        <v>2.8000000000000012</v>
      </c>
      <c r="H320" s="10">
        <f t="shared" ca="1" si="227"/>
        <v>-473.05750315450723</v>
      </c>
      <c r="I320" s="4">
        <f t="shared" ref="I320:AA320" ca="1" si="241">-D*(J270-H270)/(2*delta)</f>
        <v>-471.53771279703494</v>
      </c>
      <c r="J320" s="4">
        <f t="shared" ca="1" si="241"/>
        <v>-466.88621873290145</v>
      </c>
      <c r="K320" s="4">
        <f t="shared" ca="1" si="241"/>
        <v>-458.83354116288547</v>
      </c>
      <c r="L320" s="4">
        <f t="shared" ca="1" si="241"/>
        <v>-446.94814752784112</v>
      </c>
      <c r="M320" s="4">
        <f t="shared" ca="1" si="241"/>
        <v>-430.6641417359541</v>
      </c>
      <c r="N320" s="4">
        <f t="shared" ca="1" si="241"/>
        <v>-409.33430842609141</v>
      </c>
      <c r="O320" s="4">
        <f t="shared" ca="1" si="241"/>
        <v>-382.31742985073976</v>
      </c>
      <c r="P320" s="4">
        <f t="shared" ca="1" si="241"/>
        <v>-349.10746153174802</v>
      </c>
      <c r="Q320" s="4">
        <f t="shared" ca="1" si="241"/>
        <v>-309.50041795547406</v>
      </c>
      <c r="R320" s="5">
        <f t="shared" ca="1" si="241"/>
        <v>-263.77051440127082</v>
      </c>
      <c r="S320" s="5">
        <f t="shared" ca="1" si="241"/>
        <v>-212.79527079113606</v>
      </c>
      <c r="T320" s="5">
        <f t="shared" ca="1" si="241"/>
        <v>-158.05376414802137</v>
      </c>
      <c r="U320" s="5">
        <f t="shared" ca="1" si="241"/>
        <v>-101.45675713580459</v>
      </c>
      <c r="V320" s="5">
        <f t="shared" ca="1" si="241"/>
        <v>-45.040419041633847</v>
      </c>
      <c r="W320" s="5">
        <f t="shared" ca="1" si="241"/>
        <v>9.3897628669382307</v>
      </c>
      <c r="X320" s="4">
        <f t="shared" ca="1" si="241"/>
        <v>60.5621363498554</v>
      </c>
      <c r="Y320" s="4">
        <f t="shared" ca="1" si="241"/>
        <v>107.90048311447332</v>
      </c>
      <c r="Z320" s="4">
        <f t="shared" ca="1" si="241"/>
        <v>151.50806496068364</v>
      </c>
      <c r="AA320" s="4">
        <f t="shared" ca="1" si="241"/>
        <v>192.00855921068182</v>
      </c>
      <c r="AB320" s="10">
        <f t="shared" ca="1" si="229"/>
        <v>211.58583567857391</v>
      </c>
    </row>
    <row r="321" spans="4:28" x14ac:dyDescent="0.25">
      <c r="D321" s="15"/>
      <c r="E321" s="2">
        <f t="shared" si="226"/>
        <v>2.7000000000000011</v>
      </c>
      <c r="H321" s="10">
        <f t="shared" ca="1" si="227"/>
        <v>-528.38028791704403</v>
      </c>
      <c r="I321" s="4">
        <f t="shared" ref="I321:AA321" ca="1" si="242">-D*(J271-H271)/(2*delta)</f>
        <v>-526.96678656499978</v>
      </c>
      <c r="J321" s="4">
        <f t="shared" ca="1" si="242"/>
        <v>-522.60482108850874</v>
      </c>
      <c r="K321" s="4">
        <f t="shared" ca="1" si="242"/>
        <v>-514.93430109209817</v>
      </c>
      <c r="L321" s="4">
        <f t="shared" ca="1" si="242"/>
        <v>-503.3643919182752</v>
      </c>
      <c r="M321" s="4">
        <f t="shared" ca="1" si="242"/>
        <v>-487.09160242395529</v>
      </c>
      <c r="N321" s="4">
        <f t="shared" ca="1" si="242"/>
        <v>-465.14729300446817</v>
      </c>
      <c r="O321" s="4">
        <f t="shared" ca="1" si="242"/>
        <v>-436.49448904434115</v>
      </c>
      <c r="P321" s="4">
        <f t="shared" ca="1" si="242"/>
        <v>-400.19805324590732</v>
      </c>
      <c r="Q321" s="4">
        <f t="shared" ca="1" si="242"/>
        <v>-355.68081826888158</v>
      </c>
      <c r="R321" s="5">
        <f t="shared" ca="1" si="242"/>
        <v>-303.03763879788227</v>
      </c>
      <c r="S321" s="5">
        <f t="shared" ca="1" si="242"/>
        <v>-243.30457936223618</v>
      </c>
      <c r="T321" s="5">
        <f t="shared" ca="1" si="242"/>
        <v>-178.51731720139804</v>
      </c>
      <c r="U321" s="5">
        <f t="shared" ca="1" si="242"/>
        <v>-111.45369090642515</v>
      </c>
      <c r="V321" s="5">
        <f t="shared" ca="1" si="242"/>
        <v>-45.122996999599977</v>
      </c>
      <c r="W321" s="5">
        <f t="shared" ca="1" si="242"/>
        <v>17.833811086217924</v>
      </c>
      <c r="X321" s="4">
        <f t="shared" ca="1" si="242"/>
        <v>75.655492831272227</v>
      </c>
      <c r="Y321" s="4">
        <f t="shared" ca="1" si="242"/>
        <v>127.71689727411467</v>
      </c>
      <c r="Z321" s="4">
        <f t="shared" ca="1" si="242"/>
        <v>174.46221231957091</v>
      </c>
      <c r="AA321" s="4">
        <f t="shared" ca="1" si="242"/>
        <v>217.11013991593541</v>
      </c>
      <c r="AB321" s="10">
        <f t="shared" ca="1" si="229"/>
        <v>237.5990633540984</v>
      </c>
    </row>
    <row r="322" spans="4:28" x14ac:dyDescent="0.25">
      <c r="D322" s="15"/>
      <c r="E322" s="2">
        <f t="shared" si="226"/>
        <v>2.600000000000001</v>
      </c>
      <c r="H322" s="10">
        <f t="shared" ca="1" si="227"/>
        <v>-586.53819387899784</v>
      </c>
      <c r="I322" s="4">
        <f t="shared" ref="I322:AA322" ca="1" si="243">-D*(J272-H272)/(2*delta)</f>
        <v>-585.35092218047714</v>
      </c>
      <c r="J322" s="4">
        <f t="shared" ca="1" si="243"/>
        <v>-581.63704267519643</v>
      </c>
      <c r="K322" s="4">
        <f t="shared" ca="1" si="243"/>
        <v>-574.939486335472</v>
      </c>
      <c r="L322" s="4">
        <f t="shared" ca="1" si="243"/>
        <v>-564.48851648629579</v>
      </c>
      <c r="M322" s="4">
        <f t="shared" ca="1" si="243"/>
        <v>-549.19553998671711</v>
      </c>
      <c r="N322" s="4">
        <f t="shared" ca="1" si="243"/>
        <v>-527.67368082340943</v>
      </c>
      <c r="O322" s="4">
        <f t="shared" ca="1" si="243"/>
        <v>-498.32003669667927</v>
      </c>
      <c r="P322" s="4">
        <f t="shared" ca="1" si="243"/>
        <v>-459.51424660110479</v>
      </c>
      <c r="Q322" s="4">
        <f t="shared" ca="1" si="243"/>
        <v>-409.9919113136142</v>
      </c>
      <c r="R322" s="5">
        <f t="shared" ca="1" si="243"/>
        <v>-349.39933940143936</v>
      </c>
      <c r="S322" s="5">
        <f t="shared" ca="1" si="243"/>
        <v>-278.87273973412499</v>
      </c>
      <c r="T322" s="5">
        <f t="shared" ca="1" si="243"/>
        <v>-201.26184406027281</v>
      </c>
      <c r="U322" s="5">
        <f t="shared" ca="1" si="243"/>
        <v>-120.72227362192568</v>
      </c>
      <c r="V322" s="5">
        <f t="shared" ca="1" si="243"/>
        <v>-41.836256934000389</v>
      </c>
      <c r="W322" s="5">
        <f t="shared" ca="1" si="243"/>
        <v>31.408412424681316</v>
      </c>
      <c r="X322" s="4">
        <f t="shared" ca="1" si="243"/>
        <v>96.504524339830283</v>
      </c>
      <c r="Y322" s="4">
        <f t="shared" ca="1" si="243"/>
        <v>152.84474060285896</v>
      </c>
      <c r="Z322" s="4">
        <f t="shared" ca="1" si="243"/>
        <v>201.50899416974957</v>
      </c>
      <c r="AA322" s="4">
        <f t="shared" ca="1" si="243"/>
        <v>244.68405302901587</v>
      </c>
      <c r="AB322" s="10">
        <f t="shared" ca="1" si="229"/>
        <v>265.22160319836746</v>
      </c>
    </row>
    <row r="323" spans="4:28" x14ac:dyDescent="0.25">
      <c r="D323" s="15"/>
      <c r="E323" s="2">
        <f t="shared" si="226"/>
        <v>2.5000000000000009</v>
      </c>
      <c r="H323" s="10">
        <f t="shared" ca="1" si="227"/>
        <v>-647.07911630294211</v>
      </c>
      <c r="I323" s="4">
        <f t="shared" ref="I323:AA323" ca="1" si="244">-D*(J273-H273)/(2*delta)</f>
        <v>-646.26854987735192</v>
      </c>
      <c r="J323" s="4">
        <f t="shared" ca="1" si="244"/>
        <v>-643.65822381057365</v>
      </c>
      <c r="K323" s="4">
        <f t="shared" ca="1" si="244"/>
        <v>-638.70333799612138</v>
      </c>
      <c r="L323" s="4">
        <f t="shared" ca="1" si="244"/>
        <v>-630.45986277404984</v>
      </c>
      <c r="M323" s="4">
        <f t="shared" ca="1" si="244"/>
        <v>-617.53353053242074</v>
      </c>
      <c r="N323" s="4">
        <f t="shared" ca="1" si="244"/>
        <v>-598.03697360705803</v>
      </c>
      <c r="O323" s="4">
        <f t="shared" ca="1" si="244"/>
        <v>-569.60279600726392</v>
      </c>
      <c r="P323" s="4">
        <f t="shared" ca="1" si="244"/>
        <v>-529.55199436319708</v>
      </c>
      <c r="Q323" s="4">
        <f t="shared" ca="1" si="244"/>
        <v>-475.3781936563463</v>
      </c>
      <c r="R323" s="5">
        <f t="shared" ca="1" si="244"/>
        <v>-405.69996622047609</v>
      </c>
      <c r="S323" s="5">
        <f t="shared" ca="1" si="244"/>
        <v>-321.53004539493907</v>
      </c>
      <c r="T323" s="5">
        <f t="shared" ca="1" si="244"/>
        <v>-226.93985389144788</v>
      </c>
      <c r="U323" s="5">
        <f t="shared" ca="1" si="244"/>
        <v>-128.34208126984785</v>
      </c>
      <c r="V323" s="5">
        <f t="shared" ca="1" si="244"/>
        <v>-32.912934115644276</v>
      </c>
      <c r="W323" s="5">
        <f t="shared" ca="1" si="244"/>
        <v>53.126800958718356</v>
      </c>
      <c r="X323" s="4">
        <f t="shared" ca="1" si="244"/>
        <v>126.10465093059442</v>
      </c>
      <c r="Y323" s="4">
        <f t="shared" ca="1" si="244"/>
        <v>185.64368560730094</v>
      </c>
      <c r="Z323" s="4">
        <f t="shared" ca="1" si="244"/>
        <v>234.04001300357569</v>
      </c>
      <c r="AA323" s="4">
        <f t="shared" ca="1" si="244"/>
        <v>275.03942207049403</v>
      </c>
      <c r="AB323" s="10">
        <f t="shared" ca="1" si="229"/>
        <v>294.21215380394005</v>
      </c>
    </row>
    <row r="324" spans="4:28" x14ac:dyDescent="0.25">
      <c r="D324" s="15"/>
      <c r="E324" s="2">
        <f t="shared" si="226"/>
        <v>2.4000000000000008</v>
      </c>
      <c r="H324" s="10">
        <f t="shared" ca="1" si="227"/>
        <v>-709.24994675932305</v>
      </c>
      <c r="I324" s="4">
        <f t="shared" ref="I324:AA324" ca="1" si="245">-D*(J274-H274)/(2*delta)</f>
        <v>-708.99306542317845</v>
      </c>
      <c r="J324" s="4">
        <f t="shared" ca="1" si="245"/>
        <v>-708.02943271071888</v>
      </c>
      <c r="K324" s="4">
        <f t="shared" ca="1" si="245"/>
        <v>-705.76121622751941</v>
      </c>
      <c r="L324" s="4">
        <f t="shared" ca="1" si="245"/>
        <v>-701.1194640815969</v>
      </c>
      <c r="M324" s="4">
        <f t="shared" ca="1" si="245"/>
        <v>-692.44709744841578</v>
      </c>
      <c r="N324" s="4">
        <f t="shared" ca="1" si="245"/>
        <v>-677.34318667559</v>
      </c>
      <c r="O324" s="4">
        <f t="shared" ca="1" si="245"/>
        <v>-652.50742276841788</v>
      </c>
      <c r="P324" s="4">
        <f t="shared" ca="1" si="245"/>
        <v>-613.7179261550923</v>
      </c>
      <c r="Q324" s="4">
        <f t="shared" ca="1" si="245"/>
        <v>-556.27402918833559</v>
      </c>
      <c r="R324" s="5">
        <f t="shared" ca="1" si="245"/>
        <v>-476.49735679159687</v>
      </c>
      <c r="S324" s="5">
        <f t="shared" ca="1" si="245"/>
        <v>-374.61264121915639</v>
      </c>
      <c r="T324" s="5">
        <f t="shared" ca="1" si="245"/>
        <v>-256.63042182936516</v>
      </c>
      <c r="U324" s="5">
        <f t="shared" ca="1" si="245"/>
        <v>-132.79820990177518</v>
      </c>
      <c r="V324" s="5">
        <f t="shared" ca="1" si="245"/>
        <v>-14.60513109388765</v>
      </c>
      <c r="W324" s="5">
        <f t="shared" ca="1" si="245"/>
        <v>87.902136837786628</v>
      </c>
      <c r="X324" s="4">
        <f t="shared" ca="1" si="245"/>
        <v>169.13862365995234</v>
      </c>
      <c r="Y324" s="4">
        <f t="shared" ca="1" si="245"/>
        <v>229.5803061687935</v>
      </c>
      <c r="Z324" s="4">
        <f t="shared" ca="1" si="245"/>
        <v>273.96281837203782</v>
      </c>
      <c r="AA324" s="4">
        <f t="shared" ca="1" si="245"/>
        <v>308.51664793066715</v>
      </c>
      <c r="AB324" s="10">
        <f t="shared" ca="1" si="229"/>
        <v>324.14371889193632</v>
      </c>
    </row>
    <row r="325" spans="4:28" x14ac:dyDescent="0.25">
      <c r="D325" s="15"/>
      <c r="E325" s="2">
        <f t="shared" si="226"/>
        <v>2.3000000000000007</v>
      </c>
      <c r="H325" s="10">
        <f t="shared" ca="1" si="227"/>
        <v>-771.94356290029043</v>
      </c>
      <c r="I325" s="4">
        <f t="shared" ref="I325:AA325" ca="1" si="246">-D*(J275-H275)/(2*delta)</f>
        <v>-772.4316603918146</v>
      </c>
      <c r="J325" s="4">
        <f t="shared" ca="1" si="246"/>
        <v>-773.71084487812891</v>
      </c>
      <c r="K325" s="4">
        <f t="shared" ca="1" si="246"/>
        <v>-775.19821790986919</v>
      </c>
      <c r="L325" s="4">
        <f t="shared" ca="1" si="246"/>
        <v>-775.81522741769857</v>
      </c>
      <c r="M325" s="4">
        <f t="shared" ca="1" si="246"/>
        <v>-773.79770845460951</v>
      </c>
      <c r="N325" s="4">
        <f t="shared" ca="1" si="246"/>
        <v>-766.38669932012613</v>
      </c>
      <c r="O325" s="4">
        <f t="shared" ca="1" si="246"/>
        <v>-749.37117092889287</v>
      </c>
      <c r="P325" s="4">
        <f t="shared" ca="1" si="246"/>
        <v>-716.54358694794234</v>
      </c>
      <c r="Q325" s="4">
        <f t="shared" ca="1" si="246"/>
        <v>-659.50790869106811</v>
      </c>
      <c r="R325" s="5">
        <f t="shared" ca="1" si="246"/>
        <v>-569.40800144914476</v>
      </c>
      <c r="S325" s="5">
        <f t="shared" ca="1" si="246"/>
        <v>-443.79789950378296</v>
      </c>
      <c r="T325" s="5">
        <f t="shared" ca="1" si="246"/>
        <v>-292.17609730613543</v>
      </c>
      <c r="U325" s="5">
        <f t="shared" ca="1" si="246"/>
        <v>-131.6202890503364</v>
      </c>
      <c r="V325" s="5">
        <f t="shared" ca="1" si="246"/>
        <v>19.383414133123917</v>
      </c>
      <c r="W325" s="5">
        <f t="shared" ca="1" si="246"/>
        <v>143.94317908726111</v>
      </c>
      <c r="X325" s="4">
        <f t="shared" ca="1" si="246"/>
        <v>232.96229368401904</v>
      </c>
      <c r="Y325" s="4">
        <f t="shared" ca="1" si="246"/>
        <v>289.57092573502467</v>
      </c>
      <c r="Z325" s="4">
        <f t="shared" ca="1" si="246"/>
        <v>323.70903226123306</v>
      </c>
      <c r="AA325" s="4">
        <f t="shared" ca="1" si="246"/>
        <v>345.44875270757672</v>
      </c>
      <c r="AB325" s="10">
        <f t="shared" ca="1" si="229"/>
        <v>354.39100258086813</v>
      </c>
    </row>
    <row r="326" spans="4:28" x14ac:dyDescent="0.25">
      <c r="D326" s="15"/>
      <c r="E326" s="2">
        <f t="shared" si="226"/>
        <v>2.2000000000000006</v>
      </c>
      <c r="H326" s="10">
        <f t="shared" ca="1" si="227"/>
        <v>-833.67019912485148</v>
      </c>
      <c r="I326" s="4">
        <f t="shared" ref="I326:AA326" ca="1" si="247">-D*(J276-H276)/(2*delta)</f>
        <v>-835.08665095228287</v>
      </c>
      <c r="J326" s="4">
        <f t="shared" ca="1" si="247"/>
        <v>-839.18980473851332</v>
      </c>
      <c r="K326" s="4">
        <f t="shared" ca="1" si="247"/>
        <v>-845.51128698895434</v>
      </c>
      <c r="L326" s="4">
        <f t="shared" ca="1" si="247"/>
        <v>-853.15118201781274</v>
      </c>
      <c r="M326" s="4">
        <f t="shared" ca="1" si="247"/>
        <v>-860.54742385192594</v>
      </c>
      <c r="N326" s="4">
        <f t="shared" ca="1" si="247"/>
        <v>-865.04029083123407</v>
      </c>
      <c r="O326" s="4">
        <f t="shared" ca="1" si="247"/>
        <v>-862.05247535261515</v>
      </c>
      <c r="P326" s="4">
        <f t="shared" ca="1" si="247"/>
        <v>-843.58278141470862</v>
      </c>
      <c r="Q326" s="4">
        <f t="shared" ca="1" si="247"/>
        <v>-795.81139523680179</v>
      </c>
      <c r="R326" s="5">
        <f t="shared" ca="1" si="247"/>
        <v>-697.8341600678375</v>
      </c>
      <c r="S326" s="5">
        <f t="shared" ca="1" si="247"/>
        <v>-539.00012396581951</v>
      </c>
      <c r="T326" s="5">
        <f t="shared" ca="1" si="247"/>
        <v>-336.66100023466225</v>
      </c>
      <c r="U326" s="5">
        <f t="shared" ca="1" si="247"/>
        <v>-120.89545252916288</v>
      </c>
      <c r="V326" s="5">
        <f t="shared" ca="1" si="247"/>
        <v>79.810723441527088</v>
      </c>
      <c r="W326" s="5">
        <f t="shared" ca="1" si="247"/>
        <v>235.51969133860467</v>
      </c>
      <c r="X326" s="4">
        <f t="shared" ca="1" si="247"/>
        <v>329.19123295109176</v>
      </c>
      <c r="Y326" s="4">
        <f t="shared" ca="1" si="247"/>
        <v>372.02679190197028</v>
      </c>
      <c r="Z326" s="4">
        <f t="shared" ca="1" si="247"/>
        <v>385.84824836273754</v>
      </c>
      <c r="AA326" s="4">
        <f t="shared" ca="1" si="247"/>
        <v>385.99349542810592</v>
      </c>
      <c r="AB326" s="10">
        <f t="shared" ca="1" si="229"/>
        <v>384.15856780591241</v>
      </c>
    </row>
    <row r="327" spans="4:28" x14ac:dyDescent="0.25">
      <c r="D327" s="15"/>
      <c r="E327" s="2">
        <f t="shared" si="226"/>
        <v>2.1000000000000005</v>
      </c>
      <c r="H327" s="10">
        <f t="shared" ca="1" si="227"/>
        <v>-892.57328189000259</v>
      </c>
      <c r="I327" s="4">
        <f t="shared" ref="I327:AA327" ca="1" si="248">-D*(J277-H277)/(2*delta)</f>
        <v>-895.06253045877293</v>
      </c>
      <c r="J327" s="4">
        <f t="shared" ca="1" si="248"/>
        <v>-902.45625368431661</v>
      </c>
      <c r="K327" s="4">
        <f t="shared" ca="1" si="248"/>
        <v>-914.51172801245752</v>
      </c>
      <c r="L327" s="4">
        <f t="shared" ca="1" si="248"/>
        <v>-930.73653287959996</v>
      </c>
      <c r="M327" s="4">
        <f t="shared" ca="1" si="248"/>
        <v>-950.20620791607496</v>
      </c>
      <c r="N327" s="4">
        <f t="shared" ca="1" si="248"/>
        <v>-971.18020323693145</v>
      </c>
      <c r="O327" s="4">
        <f t="shared" ca="1" si="248"/>
        <v>-990.22123691541492</v>
      </c>
      <c r="P327" s="4">
        <f t="shared" ca="1" si="248"/>
        <v>-999.92918467165941</v>
      </c>
      <c r="Q327" s="4">
        <f t="shared" ca="1" si="248"/>
        <v>-982.32618513670343</v>
      </c>
      <c r="R327" s="5">
        <f t="shared" ca="1" si="248"/>
        <v>-887.12251436173881</v>
      </c>
      <c r="S327" s="5">
        <f t="shared" ca="1" si="248"/>
        <v>-677.71277674020416</v>
      </c>
      <c r="T327" s="5">
        <f t="shared" ca="1" si="248"/>
        <v>-394.57762268092159</v>
      </c>
      <c r="U327" s="5">
        <f t="shared" ca="1" si="248"/>
        <v>-95.116507391627849</v>
      </c>
      <c r="V327" s="5">
        <f t="shared" ca="1" si="248"/>
        <v>185.22999315106631</v>
      </c>
      <c r="W327" s="5">
        <f t="shared" ca="1" si="248"/>
        <v>389.12837589753093</v>
      </c>
      <c r="X327" s="4">
        <f t="shared" ca="1" si="248"/>
        <v>476.25086748171168</v>
      </c>
      <c r="Y327" s="4">
        <f t="shared" ca="1" si="248"/>
        <v>483.49140661336605</v>
      </c>
      <c r="Z327" s="4">
        <f t="shared" ca="1" si="248"/>
        <v>461.65821351725964</v>
      </c>
      <c r="AA327" s="4">
        <f t="shared" ca="1" si="248"/>
        <v>429.65895939690967</v>
      </c>
      <c r="AB327" s="10">
        <f t="shared" ca="1" si="229"/>
        <v>412.54289529336432</v>
      </c>
    </row>
    <row r="328" spans="4:28" x14ac:dyDescent="0.25">
      <c r="D328" s="15"/>
      <c r="E328" s="2">
        <f t="shared" si="226"/>
        <v>2.0000000000000004</v>
      </c>
      <c r="H328" s="10">
        <f t="shared" ca="1" si="227"/>
        <v>-946.5072951217129</v>
      </c>
      <c r="I328" s="4">
        <f t="shared" ref="I328:AA328" ca="1" si="249">-D*(J278-H278)/(2*delta)</f>
        <v>-950.14158767247329</v>
      </c>
      <c r="J328" s="4">
        <f t="shared" ca="1" si="249"/>
        <v>-961.06681447719052</v>
      </c>
      <c r="K328" s="4">
        <f t="shared" ca="1" si="249"/>
        <v>-979.34866836648814</v>
      </c>
      <c r="L328" s="4">
        <f t="shared" ca="1" si="249"/>
        <v>-1005.082801460577</v>
      </c>
      <c r="M328" s="4">
        <f t="shared" ca="1" si="249"/>
        <v>-1038.3664099519497</v>
      </c>
      <c r="N328" s="4">
        <f t="shared" ca="1" si="249"/>
        <v>-1079.2587597473087</v>
      </c>
      <c r="O328" s="4">
        <f t="shared" ca="1" si="249"/>
        <v>-1127.7287066518795</v>
      </c>
      <c r="P328" s="4">
        <f t="shared" ca="1" si="249"/>
        <v>-1183.5920948722442</v>
      </c>
      <c r="Q328" s="4">
        <f t="shared" ca="1" si="249"/>
        <v>-1246.4471432759733</v>
      </c>
      <c r="R328" s="5">
        <f t="shared" ca="1" si="249"/>
        <v>-1190.6223724396389</v>
      </c>
      <c r="S328" s="5">
        <f t="shared" ca="1" si="249"/>
        <v>-890.15622842450523</v>
      </c>
      <c r="T328" s="5">
        <f t="shared" ca="1" si="249"/>
        <v>-468.82554336662366</v>
      </c>
      <c r="U328" s="5">
        <f t="shared" ca="1" si="249"/>
        <v>-50.228251860808179</v>
      </c>
      <c r="V328" s="5">
        <f t="shared" ca="1" si="249"/>
        <v>367.09209185765121</v>
      </c>
      <c r="W328" s="5">
        <f t="shared" ca="1" si="249"/>
        <v>659.50765644465639</v>
      </c>
      <c r="X328" s="4">
        <f t="shared" ca="1" si="249"/>
        <v>703.18712560753318</v>
      </c>
      <c r="Y328" s="4">
        <f t="shared" ca="1" si="249"/>
        <v>624.02435764146298</v>
      </c>
      <c r="Z328" s="4">
        <f t="shared" ca="1" si="249"/>
        <v>547.6287365771758</v>
      </c>
      <c r="AA328" s="4">
        <f t="shared" ca="1" si="249"/>
        <v>474.37338703166671</v>
      </c>
      <c r="AB328" s="10">
        <f t="shared" ca="1" si="229"/>
        <v>438.56496959157528</v>
      </c>
    </row>
    <row r="329" spans="4:28" x14ac:dyDescent="0.25">
      <c r="D329" s="15"/>
      <c r="E329" s="2">
        <f t="shared" si="226"/>
        <v>1.9000000000000006</v>
      </c>
      <c r="H329" s="10">
        <f t="shared" ca="1" si="227"/>
        <v>-993.18217010699254</v>
      </c>
      <c r="I329" s="4">
        <f t="shared" ref="I329:AA329" ca="1" si="250">-D*(J279-H279)/(2*delta)</f>
        <v>-997.93737725109747</v>
      </c>
      <c r="J329" s="4">
        <f t="shared" ca="1" si="250"/>
        <v>-1012.3266203694803</v>
      </c>
      <c r="K329" s="4">
        <f t="shared" ca="1" si="250"/>
        <v>-1036.7391685657251</v>
      </c>
      <c r="L329" s="4">
        <f t="shared" ca="1" si="250"/>
        <v>-1071.8853916532526</v>
      </c>
      <c r="M329" s="4">
        <f t="shared" ca="1" si="250"/>
        <v>-1118.9236179926422</v>
      </c>
      <c r="N329" s="4">
        <f t="shared" ca="1" si="250"/>
        <v>-1179.7654105791664</v>
      </c>
      <c r="O329" s="4">
        <f t="shared" ca="1" si="250"/>
        <v>-1257.8483662146946</v>
      </c>
      <c r="P329" s="4">
        <f t="shared" ca="1" si="250"/>
        <v>-1360.2689133539059</v>
      </c>
      <c r="Q329" s="4">
        <f t="shared" ca="1" si="250"/>
        <v>-1504.2534263800071</v>
      </c>
      <c r="R329" s="4">
        <f t="shared" ca="1" si="250"/>
        <v>-1488.7690492893742</v>
      </c>
      <c r="S329" s="4">
        <f t="shared" ca="1" si="250"/>
        <v>-1098.4696122229145</v>
      </c>
      <c r="T329" s="4">
        <f t="shared" ca="1" si="250"/>
        <v>-540.34541605169318</v>
      </c>
      <c r="U329" s="4">
        <f t="shared" ca="1" si="250"/>
        <v>-4.0683614090194657</v>
      </c>
      <c r="V329" s="4">
        <f t="shared" ca="1" si="250"/>
        <v>548.85367238667902</v>
      </c>
      <c r="W329" s="4">
        <f t="shared" ca="1" si="250"/>
        <v>928.61772871335029</v>
      </c>
      <c r="X329" s="4">
        <f t="shared" ca="1" si="250"/>
        <v>927.96028341539488</v>
      </c>
      <c r="Y329" s="4">
        <f t="shared" ca="1" si="250"/>
        <v>761.78475716954733</v>
      </c>
      <c r="Z329" s="4">
        <f t="shared" ca="1" si="250"/>
        <v>630.45347616686877</v>
      </c>
      <c r="AA329" s="4">
        <f t="shared" ca="1" si="250"/>
        <v>515.71508353871275</v>
      </c>
      <c r="AB329" s="10">
        <f t="shared" ca="1" si="229"/>
        <v>461.12418753387243</v>
      </c>
    </row>
    <row r="330" spans="4:28" x14ac:dyDescent="0.25">
      <c r="D330" s="15"/>
      <c r="E330" s="2">
        <f t="shared" si="226"/>
        <v>1.8000000000000005</v>
      </c>
      <c r="H330" s="10">
        <f t="shared" ca="1" si="227"/>
        <v>-1030.3560386743472</v>
      </c>
      <c r="I330" s="4">
        <f t="shared" ref="I330:AA330" ca="1" si="251">-D*(J280-H280)/(2*delta)</f>
        <v>-1036.1067644669727</v>
      </c>
      <c r="J330" s="4">
        <f t="shared" ca="1" si="251"/>
        <v>-1053.5689664032141</v>
      </c>
      <c r="K330" s="4">
        <f t="shared" ca="1" si="251"/>
        <v>-1083.4018061128354</v>
      </c>
      <c r="L330" s="4">
        <f t="shared" ca="1" si="251"/>
        <v>-1126.8017489903173</v>
      </c>
      <c r="M330" s="4">
        <f t="shared" ca="1" si="251"/>
        <v>-1185.6829807142281</v>
      </c>
      <c r="N330" s="4">
        <f t="shared" ca="1" si="251"/>
        <v>-1263.0365636818133</v>
      </c>
      <c r="O330" s="4">
        <f t="shared" ca="1" si="251"/>
        <v>-1363.6360395931936</v>
      </c>
      <c r="P330" s="4">
        <f t="shared" ca="1" si="251"/>
        <v>-1495.3873088942341</v>
      </c>
      <c r="Q330" s="4">
        <f t="shared" ca="1" si="251"/>
        <v>-1671.5340801184129</v>
      </c>
      <c r="R330" s="4">
        <f t="shared" ca="1" si="251"/>
        <v>-1661.7362067931849</v>
      </c>
      <c r="S330" s="4">
        <f t="shared" ca="1" si="251"/>
        <v>-1224.6131215551609</v>
      </c>
      <c r="T330" s="4">
        <f t="shared" ca="1" si="251"/>
        <v>-590.02346835102628</v>
      </c>
      <c r="U330" s="4">
        <f t="shared" ca="1" si="251"/>
        <v>25.441261261009906</v>
      </c>
      <c r="V330" s="4">
        <f t="shared" ca="1" si="251"/>
        <v>653.76795722227257</v>
      </c>
      <c r="W330" s="4">
        <f t="shared" ca="1" si="251"/>
        <v>1078.144023067458</v>
      </c>
      <c r="X330" s="4">
        <f t="shared" ca="1" si="251"/>
        <v>1068.2462090329025</v>
      </c>
      <c r="Y330" s="4">
        <f t="shared" ca="1" si="251"/>
        <v>864.69553148377952</v>
      </c>
      <c r="Z330" s="4">
        <f t="shared" ca="1" si="251"/>
        <v>696.67984058564468</v>
      </c>
      <c r="AA330" s="4">
        <f t="shared" ca="1" si="251"/>
        <v>549.22750812614515</v>
      </c>
      <c r="AB330" s="10">
        <f t="shared" ca="1" si="229"/>
        <v>479.14361397546543</v>
      </c>
    </row>
    <row r="331" spans="4:28" x14ac:dyDescent="0.25">
      <c r="D331" s="15"/>
      <c r="E331" s="2">
        <f t="shared" si="226"/>
        <v>1.7000000000000004</v>
      </c>
      <c r="H331" s="10">
        <f t="shared" ca="1" si="227"/>
        <v>-1056.0377665840263</v>
      </c>
      <c r="I331" s="4">
        <f t="shared" ref="I331:AA331" ca="1" si="252">-D*(J281-H281)/(2*delta)</f>
        <v>-1062.5722291174777</v>
      </c>
      <c r="J331" s="4">
        <f t="shared" ca="1" si="252"/>
        <v>-1082.446456911332</v>
      </c>
      <c r="K331" s="4">
        <f t="shared" ca="1" si="252"/>
        <v>-1116.5030901157002</v>
      </c>
      <c r="L331" s="4">
        <f t="shared" ca="1" si="252"/>
        <v>-1166.2425257159964</v>
      </c>
      <c r="M331" s="4">
        <f t="shared" ca="1" si="252"/>
        <v>-1233.9756514983899</v>
      </c>
      <c r="N331" s="4">
        <f t="shared" ca="1" si="252"/>
        <v>-1323.0674281486756</v>
      </c>
      <c r="O331" s="4">
        <f t="shared" ca="1" si="252"/>
        <v>-1438.2774645482166</v>
      </c>
      <c r="P331" s="4">
        <f t="shared" ca="1" si="252"/>
        <v>-1586.1156857898943</v>
      </c>
      <c r="Q331" s="4">
        <f t="shared" ca="1" si="252"/>
        <v>-1774.7647999529072</v>
      </c>
      <c r="R331" s="4">
        <f t="shared" ca="1" si="252"/>
        <v>-1762.0339385819423</v>
      </c>
      <c r="S331" s="4">
        <f t="shared" ca="1" si="252"/>
        <v>-1298.2285075782777</v>
      </c>
      <c r="T331" s="4">
        <f t="shared" ca="1" si="252"/>
        <v>-620.58186101409831</v>
      </c>
      <c r="U331" s="4">
        <f t="shared" ca="1" si="252"/>
        <v>42.083685770484429</v>
      </c>
      <c r="V331" s="4">
        <f t="shared" ca="1" si="252"/>
        <v>712.62765564175947</v>
      </c>
      <c r="W331" s="4">
        <f t="shared" ca="1" si="252"/>
        <v>1161.9389744486659</v>
      </c>
      <c r="X331" s="4">
        <f t="shared" ca="1" si="252"/>
        <v>1152.179742074009</v>
      </c>
      <c r="Y331" s="4">
        <f t="shared" ca="1" si="252"/>
        <v>932.06599695024306</v>
      </c>
      <c r="Z331" s="4">
        <f t="shared" ca="1" si="252"/>
        <v>742.33741871975792</v>
      </c>
      <c r="AA331" s="4">
        <f t="shared" ca="1" si="252"/>
        <v>572.73279793126721</v>
      </c>
      <c r="AB331" s="10">
        <f t="shared" ca="1" si="229"/>
        <v>491.72335061623392</v>
      </c>
    </row>
    <row r="332" spans="4:28" x14ac:dyDescent="0.25">
      <c r="D332" s="15"/>
      <c r="E332" s="2">
        <f t="shared" si="226"/>
        <v>1.6000000000000003</v>
      </c>
      <c r="H332" s="10">
        <f t="shared" ca="1" si="227"/>
        <v>-1068.6597260920535</v>
      </c>
      <c r="I332" s="4">
        <f t="shared" ref="I332:AA332" ca="1" si="253">-D*(J282-H282)/(2*delta)</f>
        <v>-1075.7053555530374</v>
      </c>
      <c r="J332" s="4">
        <f t="shared" ca="1" si="253"/>
        <v>-1097.147225688984</v>
      </c>
      <c r="K332" s="4">
        <f t="shared" ca="1" si="253"/>
        <v>-1133.9272233369807</v>
      </c>
      <c r="L332" s="4">
        <f t="shared" ca="1" si="253"/>
        <v>-1187.6952231924286</v>
      </c>
      <c r="M332" s="4">
        <f t="shared" ca="1" si="253"/>
        <v>-1260.9152342598866</v>
      </c>
      <c r="N332" s="4">
        <f t="shared" ca="1" si="253"/>
        <v>-1356.9855416614234</v>
      </c>
      <c r="O332" s="4">
        <f t="shared" ca="1" si="253"/>
        <v>-1480.2961551381559</v>
      </c>
      <c r="P332" s="4">
        <f t="shared" ca="1" si="253"/>
        <v>-1636.0385596232954</v>
      </c>
      <c r="Q332" s="4">
        <f t="shared" ca="1" si="253"/>
        <v>-1829.3808245141047</v>
      </c>
      <c r="R332" s="4">
        <f t="shared" ca="1" si="253"/>
        <v>-1813.4115110591431</v>
      </c>
      <c r="S332" s="4">
        <f t="shared" ca="1" si="253"/>
        <v>-1335.6903275033017</v>
      </c>
      <c r="T332" s="4">
        <f t="shared" ca="1" si="253"/>
        <v>-636.16432824983599</v>
      </c>
      <c r="U332" s="4">
        <f t="shared" ca="1" si="253"/>
        <v>50.842544407968099</v>
      </c>
      <c r="V332" s="4">
        <f t="shared" ca="1" si="253"/>
        <v>742.71487734893105</v>
      </c>
      <c r="W332" s="4">
        <f t="shared" ca="1" si="253"/>
        <v>1204.7993430055158</v>
      </c>
      <c r="X332" s="4">
        <f t="shared" ca="1" si="253"/>
        <v>1196.4626211808422</v>
      </c>
      <c r="Y332" s="4">
        <f t="shared" ca="1" si="253"/>
        <v>969.04606386378111</v>
      </c>
      <c r="Z332" s="4">
        <f t="shared" ca="1" si="253"/>
        <v>767.86570392788587</v>
      </c>
      <c r="AA332" s="4">
        <f t="shared" ca="1" si="253"/>
        <v>585.55678866127084</v>
      </c>
      <c r="AB332" s="10">
        <f t="shared" ca="1" si="229"/>
        <v>498.11733939309477</v>
      </c>
    </row>
    <row r="333" spans="4:28" x14ac:dyDescent="0.25">
      <c r="D333" s="15"/>
      <c r="E333" s="2">
        <f t="shared" si="226"/>
        <v>1.5000000000000002</v>
      </c>
      <c r="H333" s="10">
        <f t="shared" ca="1" si="227"/>
        <v>-1067.1993727496349</v>
      </c>
      <c r="I333" s="4">
        <f t="shared" ref="I333:AA333" ca="1" si="254">-D*(J283-H283)/(2*delta)</f>
        <v>-1074.4494961351168</v>
      </c>
      <c r="J333" s="4">
        <f t="shared" ca="1" si="254"/>
        <v>-1096.5154171049958</v>
      </c>
      <c r="K333" s="4">
        <f t="shared" ca="1" si="254"/>
        <v>-1134.3688731857026</v>
      </c>
      <c r="L333" s="4">
        <f t="shared" ca="1" si="254"/>
        <v>-1189.7013885703295</v>
      </c>
      <c r="M333" s="4">
        <f t="shared" ca="1" si="254"/>
        <v>-1265.0099528508542</v>
      </c>
      <c r="N333" s="4">
        <f t="shared" ca="1" si="254"/>
        <v>-1363.6687284921122</v>
      </c>
      <c r="O333" s="4">
        <f t="shared" ca="1" si="254"/>
        <v>-1489.8883771753997</v>
      </c>
      <c r="P333" s="4">
        <f t="shared" ca="1" si="254"/>
        <v>-1648.3668363253303</v>
      </c>
      <c r="Q333" s="4">
        <f t="shared" ca="1" si="254"/>
        <v>-1843.3136314788846</v>
      </c>
      <c r="R333" s="4">
        <f t="shared" ca="1" si="254"/>
        <v>-1826.5461009307678</v>
      </c>
      <c r="S333" s="4">
        <f t="shared" ca="1" si="254"/>
        <v>-1344.9620589775163</v>
      </c>
      <c r="T333" s="4">
        <f t="shared" ca="1" si="254"/>
        <v>-639.23272181361563</v>
      </c>
      <c r="U333" s="4">
        <f t="shared" ca="1" si="254"/>
        <v>54.730920654950992</v>
      </c>
      <c r="V333" s="4">
        <f t="shared" ca="1" si="254"/>
        <v>752.58495885759214</v>
      </c>
      <c r="W333" s="4">
        <f t="shared" ca="1" si="254"/>
        <v>1218.0758854670225</v>
      </c>
      <c r="X333" s="4">
        <f t="shared" ca="1" si="254"/>
        <v>1209.8202902901539</v>
      </c>
      <c r="Y333" s="4">
        <f t="shared" ca="1" si="254"/>
        <v>979.78482446298278</v>
      </c>
      <c r="Z333" s="4">
        <f t="shared" ca="1" si="254"/>
        <v>774.51733417316939</v>
      </c>
      <c r="AA333" s="4">
        <f t="shared" ca="1" si="254"/>
        <v>587.59165184237929</v>
      </c>
      <c r="AB333" s="10">
        <f t="shared" ca="1" si="229"/>
        <v>497.7983778298285</v>
      </c>
    </row>
    <row r="334" spans="4:28" x14ac:dyDescent="0.25">
      <c r="D334" s="15"/>
      <c r="E334" s="2">
        <f t="shared" si="226"/>
        <v>1.4000000000000001</v>
      </c>
      <c r="H334" s="10">
        <f t="shared" ca="1" si="227"/>
        <v>-1051.2474531172379</v>
      </c>
      <c r="I334" s="4">
        <f t="shared" ref="I334:AA334" ca="1" si="255">-D*(J284-H284)/(2*delta)</f>
        <v>-1058.3848771320907</v>
      </c>
      <c r="J334" s="4">
        <f t="shared" ca="1" si="255"/>
        <v>-1080.1014559096877</v>
      </c>
      <c r="K334" s="4">
        <f t="shared" ca="1" si="255"/>
        <v>-1117.3368158625374</v>
      </c>
      <c r="L334" s="4">
        <f t="shared" ca="1" si="255"/>
        <v>-1171.7368186647598</v>
      </c>
      <c r="M334" s="4">
        <f t="shared" ca="1" si="255"/>
        <v>-1245.7597281638018</v>
      </c>
      <c r="N334" s="4">
        <f t="shared" ca="1" si="255"/>
        <v>-1342.7962591973505</v>
      </c>
      <c r="O334" s="4">
        <f t="shared" ca="1" si="255"/>
        <v>-1467.226950458836</v>
      </c>
      <c r="P334" s="4">
        <f t="shared" ca="1" si="255"/>
        <v>-1624.2318813586965</v>
      </c>
      <c r="Q334" s="4">
        <f t="shared" ca="1" si="255"/>
        <v>-1818.965811064201</v>
      </c>
      <c r="R334" s="4">
        <f t="shared" ca="1" si="255"/>
        <v>-1804.5021941098801</v>
      </c>
      <c r="S334" s="4">
        <f t="shared" ca="1" si="255"/>
        <v>-1328.3840276862488</v>
      </c>
      <c r="T334" s="4">
        <f t="shared" ca="1" si="255"/>
        <v>-630.54032109422485</v>
      </c>
      <c r="U334" s="4">
        <f t="shared" ca="1" si="255"/>
        <v>54.724030610609958</v>
      </c>
      <c r="V334" s="4">
        <f t="shared" ca="1" si="255"/>
        <v>744.81329557213633</v>
      </c>
      <c r="W334" s="4">
        <f t="shared" ca="1" si="255"/>
        <v>1205.0940873969403</v>
      </c>
      <c r="X334" s="4">
        <f t="shared" ca="1" si="255"/>
        <v>1194.9529367802807</v>
      </c>
      <c r="Y334" s="4">
        <f t="shared" ca="1" si="255"/>
        <v>965.75065473497204</v>
      </c>
      <c r="Z334" s="4">
        <f t="shared" ca="1" si="255"/>
        <v>762.82210338195705</v>
      </c>
      <c r="AA334" s="4">
        <f t="shared" ca="1" si="255"/>
        <v>578.82055850932147</v>
      </c>
      <c r="AB334" s="10">
        <f t="shared" ca="1" si="229"/>
        <v>490.55088408594497</v>
      </c>
    </row>
    <row r="335" spans="4:28" x14ac:dyDescent="0.25">
      <c r="D335" s="15"/>
      <c r="E335" s="2">
        <f t="shared" si="226"/>
        <v>1.3</v>
      </c>
      <c r="H335" s="10">
        <f t="shared" ca="1" si="227"/>
        <v>-1021.0290470200232</v>
      </c>
      <c r="I335" s="4">
        <f t="shared" ref="I335:AA335" ca="1" si="256">-D*(J285-H285)/(2*delta)</f>
        <v>-1027.7478813079763</v>
      </c>
      <c r="J335" s="4">
        <f t="shared" ca="1" si="256"/>
        <v>-1048.1738953248687</v>
      </c>
      <c r="K335" s="4">
        <f t="shared" ca="1" si="256"/>
        <v>-1083.1452682396653</v>
      </c>
      <c r="L335" s="4">
        <f t="shared" ca="1" si="256"/>
        <v>-1134.1544575285764</v>
      </c>
      <c r="M335" s="4">
        <f t="shared" ca="1" si="256"/>
        <v>-1203.5009535856354</v>
      </c>
      <c r="N335" s="4">
        <f t="shared" ca="1" si="256"/>
        <v>-1294.5346520637304</v>
      </c>
      <c r="O335" s="4">
        <f t="shared" ca="1" si="256"/>
        <v>-1411.9962533602911</v>
      </c>
      <c r="P335" s="4">
        <f t="shared" ca="1" si="256"/>
        <v>-1562.3728416209572</v>
      </c>
      <c r="Q335" s="4">
        <f t="shared" ca="1" si="256"/>
        <v>-1753.820396083426</v>
      </c>
      <c r="R335" s="4">
        <f t="shared" ca="1" si="256"/>
        <v>-1744.1176425855003</v>
      </c>
      <c r="S335" s="4">
        <f t="shared" ca="1" si="256"/>
        <v>-1283.5362943940636</v>
      </c>
      <c r="T335" s="4">
        <f t="shared" ca="1" si="256"/>
        <v>-609.27328328080819</v>
      </c>
      <c r="U335" s="4">
        <f t="shared" ca="1" si="256"/>
        <v>49.887538233958409</v>
      </c>
      <c r="V335" s="4">
        <f t="shared" ca="1" si="256"/>
        <v>716.84542996752589</v>
      </c>
      <c r="W335" s="4">
        <f t="shared" ca="1" si="256"/>
        <v>1162.5295505935112</v>
      </c>
      <c r="X335" s="4">
        <f t="shared" ca="1" si="256"/>
        <v>1149.1420037136652</v>
      </c>
      <c r="Y335" s="4">
        <f t="shared" ca="1" si="256"/>
        <v>925.4379840998082</v>
      </c>
      <c r="Z335" s="4">
        <f t="shared" ca="1" si="256"/>
        <v>732.19500130095128</v>
      </c>
      <c r="AA335" s="4">
        <f t="shared" ca="1" si="256"/>
        <v>559.18801584639277</v>
      </c>
      <c r="AB335" s="10">
        <f t="shared" ca="1" si="229"/>
        <v>476.50980546984675</v>
      </c>
    </row>
    <row r="336" spans="4:28" x14ac:dyDescent="0.25">
      <c r="D336" s="15"/>
      <c r="E336" s="2">
        <f t="shared" si="226"/>
        <v>1.2</v>
      </c>
      <c r="H336" s="10">
        <f t="shared" ca="1" si="227"/>
        <v>-977.38096366617947</v>
      </c>
      <c r="I336" s="4">
        <f t="shared" ref="I336:AA336" ca="1" si="257">-D*(J286-H286)/(2*delta)</f>
        <v>-983.41018203248063</v>
      </c>
      <c r="J336" s="4">
        <f t="shared" ca="1" si="257"/>
        <v>-1001.7059251070006</v>
      </c>
      <c r="K336" s="4">
        <f t="shared" ca="1" si="257"/>
        <v>-1032.9208255799113</v>
      </c>
      <c r="L336" s="4">
        <f t="shared" ca="1" si="257"/>
        <v>-1078.2396755456948</v>
      </c>
      <c r="M336" s="4">
        <f t="shared" ca="1" si="257"/>
        <v>-1139.5598206530533</v>
      </c>
      <c r="N336" s="4">
        <f t="shared" ca="1" si="257"/>
        <v>-1219.8499391410905</v>
      </c>
      <c r="O336" s="4">
        <f t="shared" ca="1" si="257"/>
        <v>-1323.8553155891627</v>
      </c>
      <c r="P336" s="4">
        <f t="shared" ca="1" si="257"/>
        <v>-1459.4475292405764</v>
      </c>
      <c r="Q336" s="4">
        <f t="shared" ca="1" si="257"/>
        <v>-1639.8299298606269</v>
      </c>
      <c r="R336" s="4">
        <f t="shared" ca="1" si="257"/>
        <v>-1634.6162759963067</v>
      </c>
      <c r="S336" s="4">
        <f t="shared" ca="1" si="257"/>
        <v>-1202.3747684484756</v>
      </c>
      <c r="T336" s="4">
        <f t="shared" ca="1" si="257"/>
        <v>-572.90856207688466</v>
      </c>
      <c r="U336" s="4">
        <f t="shared" ca="1" si="257"/>
        <v>37.249496843637822</v>
      </c>
      <c r="V336" s="4">
        <f t="shared" ca="1" si="257"/>
        <v>660.14686966439649</v>
      </c>
      <c r="W336" s="4">
        <f t="shared" ca="1" si="257"/>
        <v>1079.0322100070064</v>
      </c>
      <c r="X336" s="4">
        <f t="shared" ca="1" si="257"/>
        <v>1063.6430436045082</v>
      </c>
      <c r="Y336" s="4">
        <f t="shared" ca="1" si="257"/>
        <v>854.65972030513035</v>
      </c>
      <c r="Z336" s="4">
        <f t="shared" ca="1" si="257"/>
        <v>681.32725519780615</v>
      </c>
      <c r="AA336" s="4">
        <f t="shared" ca="1" si="257"/>
        <v>528.72853995986588</v>
      </c>
      <c r="AB336" s="10">
        <f t="shared" ca="1" si="229"/>
        <v>456.12069085172493</v>
      </c>
    </row>
    <row r="337" spans="4:28" x14ac:dyDescent="0.25">
      <c r="D337" s="15"/>
      <c r="E337" s="2">
        <f t="shared" si="226"/>
        <v>1.0999999999999999</v>
      </c>
      <c r="H337" s="10">
        <f t="shared" ca="1" si="227"/>
        <v>-921.68201563555408</v>
      </c>
      <c r="I337" s="4">
        <f t="shared" ref="I337:AA337" ca="1" si="258">-D*(J287-H287)/(2*delta)</f>
        <v>-926.81209293849179</v>
      </c>
      <c r="J337" s="4">
        <f t="shared" ca="1" si="258"/>
        <v>-942.32348387523928</v>
      </c>
      <c r="K337" s="4">
        <f t="shared" ca="1" si="258"/>
        <v>-968.59709336633784</v>
      </c>
      <c r="L337" s="4">
        <f t="shared" ca="1" si="258"/>
        <v>-1006.3282248250857</v>
      </c>
      <c r="M337" s="4">
        <f t="shared" ca="1" si="258"/>
        <v>-1056.6533011138995</v>
      </c>
      <c r="N337" s="4">
        <f t="shared" ca="1" si="258"/>
        <v>-1121.4545105026973</v>
      </c>
      <c r="O337" s="4">
        <f t="shared" ca="1" si="258"/>
        <v>-1204.132034823605</v>
      </c>
      <c r="P337" s="4">
        <f t="shared" ca="1" si="258"/>
        <v>-1311.7364741814326</v>
      </c>
      <c r="Q337" s="4">
        <f t="shared" ca="1" si="258"/>
        <v>-1461.4399124683773</v>
      </c>
      <c r="R337" s="4">
        <f t="shared" ca="1" si="258"/>
        <v>-1452.147109584884</v>
      </c>
      <c r="S337" s="4">
        <f t="shared" ca="1" si="258"/>
        <v>-1068.4422444551956</v>
      </c>
      <c r="T337" s="4">
        <f t="shared" ca="1" si="258"/>
        <v>-517.2399603832032</v>
      </c>
      <c r="U337" s="4">
        <f t="shared" ca="1" si="258"/>
        <v>11.867900517754876</v>
      </c>
      <c r="V337" s="4">
        <f t="shared" ca="1" si="258"/>
        <v>557.45611308604055</v>
      </c>
      <c r="W337" s="4">
        <f t="shared" ca="1" si="258"/>
        <v>929.80514220126065</v>
      </c>
      <c r="X337" s="4">
        <f t="shared" ca="1" si="258"/>
        <v>921.7339794367474</v>
      </c>
      <c r="Y337" s="4">
        <f t="shared" ca="1" si="258"/>
        <v>748.22628379788182</v>
      </c>
      <c r="Z337" s="4">
        <f t="shared" ca="1" si="258"/>
        <v>609.72135917632409</v>
      </c>
      <c r="AA337" s="4">
        <f t="shared" ca="1" si="258"/>
        <v>488.04098274417328</v>
      </c>
      <c r="AB337" s="10">
        <f t="shared" ca="1" si="229"/>
        <v>430.04589913274185</v>
      </c>
    </row>
    <row r="338" spans="4:28" x14ac:dyDescent="0.25">
      <c r="D338" s="15"/>
      <c r="E338" s="2">
        <f t="shared" si="226"/>
        <v>0.99999999999999989</v>
      </c>
      <c r="H338" s="10">
        <f t="shared" ca="1" si="227"/>
        <v>-855.730019381229</v>
      </c>
      <c r="I338" s="4">
        <f t="shared" ref="I338:AA338" ca="1" si="259">-D*(J288-H288)/(2*delta)</f>
        <v>-859.83844611091126</v>
      </c>
      <c r="J338" s="4">
        <f t="shared" ca="1" si="259"/>
        <v>-872.183218872319</v>
      </c>
      <c r="K338" s="4">
        <f t="shared" ca="1" si="259"/>
        <v>-892.82020916338729</v>
      </c>
      <c r="L338" s="4">
        <f t="shared" ca="1" si="259"/>
        <v>-921.82716780492206</v>
      </c>
      <c r="M338" s="4">
        <f t="shared" ca="1" si="259"/>
        <v>-959.27494984391922</v>
      </c>
      <c r="N338" s="4">
        <f t="shared" ca="1" si="259"/>
        <v>-1005.1870265447782</v>
      </c>
      <c r="O338" s="4">
        <f t="shared" ca="1" si="259"/>
        <v>-1059.4860535957953</v>
      </c>
      <c r="P338" s="4">
        <f t="shared" ca="1" si="259"/>
        <v>-1121.9305879658805</v>
      </c>
      <c r="Q338" s="4">
        <f t="shared" ca="1" si="259"/>
        <v>-1192.0502571996997</v>
      </c>
      <c r="R338" s="4">
        <f t="shared" ca="1" si="259"/>
        <v>-1144.0940815118138</v>
      </c>
      <c r="S338" s="4">
        <f t="shared" ca="1" si="259"/>
        <v>-852.01117485471718</v>
      </c>
      <c r="T338" s="4">
        <f t="shared" ca="1" si="259"/>
        <v>-439.48093707414313</v>
      </c>
      <c r="U338" s="4">
        <f t="shared" ca="1" si="259"/>
        <v>-29.998024734818198</v>
      </c>
      <c r="V338" s="4">
        <f t="shared" ca="1" si="259"/>
        <v>378.00057418504207</v>
      </c>
      <c r="W338" s="4">
        <f t="shared" ca="1" si="259"/>
        <v>660.99429559506257</v>
      </c>
      <c r="X338" s="4">
        <f t="shared" ca="1" si="259"/>
        <v>695.25745214705807</v>
      </c>
      <c r="Y338" s="4">
        <f t="shared" ca="1" si="259"/>
        <v>606.78603003238288</v>
      </c>
      <c r="Z338" s="4">
        <f t="shared" ca="1" si="259"/>
        <v>521.28678851803136</v>
      </c>
      <c r="AA338" s="4">
        <f t="shared" ca="1" si="259"/>
        <v>439.22484854341587</v>
      </c>
      <c r="AB338" s="10">
        <f t="shared" ca="1" si="229"/>
        <v>399.09854656390706</v>
      </c>
    </row>
    <row r="339" spans="4:28" x14ac:dyDescent="0.25">
      <c r="D339" s="15"/>
      <c r="E339" s="2">
        <f t="shared" si="226"/>
        <v>0.89999999999999991</v>
      </c>
      <c r="H339" s="10">
        <f t="shared" ca="1" si="227"/>
        <v>-781.56776685556565</v>
      </c>
      <c r="I339" s="4">
        <f t="shared" ref="I339:AA339" ca="1" si="260">-D*(J289-H289)/(2*delta)</f>
        <v>-784.63379491282785</v>
      </c>
      <c r="J339" s="4">
        <f t="shared" ca="1" si="260"/>
        <v>-793.7548126084165</v>
      </c>
      <c r="K339" s="4">
        <f t="shared" ca="1" si="260"/>
        <v>-808.67740986753972</v>
      </c>
      <c r="L339" s="4">
        <f t="shared" ca="1" si="260"/>
        <v>-828.88931147135634</v>
      </c>
      <c r="M339" s="4">
        <f t="shared" ca="1" si="260"/>
        <v>-853.43629352939024</v>
      </c>
      <c r="N339" s="4">
        <f t="shared" ca="1" si="260"/>
        <v>-880.53654313131642</v>
      </c>
      <c r="O339" s="4">
        <f t="shared" ca="1" si="260"/>
        <v>-906.69847417438257</v>
      </c>
      <c r="P339" s="4">
        <f t="shared" ca="1" si="260"/>
        <v>-924.45343261256846</v>
      </c>
      <c r="Q339" s="4">
        <f t="shared" ca="1" si="260"/>
        <v>-915.74026916016714</v>
      </c>
      <c r="R339" s="4">
        <f t="shared" ca="1" si="260"/>
        <v>-830.17156512880285</v>
      </c>
      <c r="S339" s="4">
        <f t="shared" ca="1" si="260"/>
        <v>-631.03117942372671</v>
      </c>
      <c r="T339" s="4">
        <f t="shared" ca="1" si="260"/>
        <v>-358.67829994792999</v>
      </c>
      <c r="U339" s="4">
        <f t="shared" ca="1" si="260"/>
        <v>-70.383325683099912</v>
      </c>
      <c r="V339" s="4">
        <f t="shared" ca="1" si="260"/>
        <v>198.5462343086993</v>
      </c>
      <c r="W339" s="4">
        <f t="shared" ca="1" si="260"/>
        <v>390.91033078784398</v>
      </c>
      <c r="X339" s="4">
        <f t="shared" ca="1" si="260"/>
        <v>466.51179695280831</v>
      </c>
      <c r="Y339" s="4">
        <f t="shared" ca="1" si="260"/>
        <v>462.36984248442252</v>
      </c>
      <c r="Z339" s="4">
        <f t="shared" ca="1" si="260"/>
        <v>429.41108875325284</v>
      </c>
      <c r="AA339" s="4">
        <f t="shared" ca="1" si="260"/>
        <v>386.65417545627417</v>
      </c>
      <c r="AB339" s="10">
        <f t="shared" ca="1" si="229"/>
        <v>364.26466058163817</v>
      </c>
    </row>
    <row r="340" spans="4:28" x14ac:dyDescent="0.25">
      <c r="D340" s="15"/>
      <c r="E340" s="2">
        <f t="shared" si="226"/>
        <v>0.79999999999999993</v>
      </c>
      <c r="H340" s="10">
        <f t="shared" ca="1" si="227"/>
        <v>-701.2795058411948</v>
      </c>
      <c r="I340" s="4">
        <f t="shared" ref="I340:AA340" ca="1" si="261">-D*(J290-H290)/(2*delta)</f>
        <v>-703.3790488153918</v>
      </c>
      <c r="J340" s="4">
        <f t="shared" ca="1" si="261"/>
        <v>-709.528559592448</v>
      </c>
      <c r="K340" s="4">
        <f t="shared" ca="1" si="261"/>
        <v>-719.24901796029724</v>
      </c>
      <c r="L340" s="4">
        <f t="shared" ca="1" si="261"/>
        <v>-731.62005970073631</v>
      </c>
      <c r="M340" s="4">
        <f t="shared" ca="1" si="261"/>
        <v>-745.04802312338347</v>
      </c>
      <c r="N340" s="4">
        <f t="shared" ca="1" si="261"/>
        <v>-756.82799626887697</v>
      </c>
      <c r="O340" s="4">
        <f t="shared" ca="1" si="261"/>
        <v>-762.32144710843056</v>
      </c>
      <c r="P340" s="4">
        <f t="shared" ca="1" si="261"/>
        <v>-753.44793916506455</v>
      </c>
      <c r="Q340" s="4">
        <f t="shared" ca="1" si="261"/>
        <v>-716.28932197151221</v>
      </c>
      <c r="R340" s="4">
        <f t="shared" ca="1" si="261"/>
        <v>-629.82419262262908</v>
      </c>
      <c r="S340" s="4">
        <f t="shared" ca="1" si="261"/>
        <v>-483.26710547852826</v>
      </c>
      <c r="T340" s="4">
        <f t="shared" ca="1" si="261"/>
        <v>-293.82115658013009</v>
      </c>
      <c r="U340" s="4">
        <f t="shared" ca="1" si="261"/>
        <v>-91.406590744830297</v>
      </c>
      <c r="V340" s="4">
        <f t="shared" ca="1" si="261"/>
        <v>95.653989271002303</v>
      </c>
      <c r="W340" s="4">
        <f t="shared" ca="1" si="261"/>
        <v>237.58562340491852</v>
      </c>
      <c r="X340" s="4">
        <f t="shared" ca="1" si="261"/>
        <v>317.50616795428431</v>
      </c>
      <c r="Y340" s="4">
        <f t="shared" ca="1" si="261"/>
        <v>346.76701705317822</v>
      </c>
      <c r="Z340" s="4">
        <f t="shared" ca="1" si="261"/>
        <v>347.33004327966188</v>
      </c>
      <c r="AA340" s="4">
        <f t="shared" ca="1" si="261"/>
        <v>334.66285034635166</v>
      </c>
      <c r="AB340" s="10">
        <f t="shared" ca="1" si="229"/>
        <v>326.54878389521696</v>
      </c>
    </row>
    <row r="341" spans="4:28" x14ac:dyDescent="0.25">
      <c r="D341" s="15"/>
      <c r="E341" s="2">
        <f t="shared" si="226"/>
        <v>0.7</v>
      </c>
      <c r="H341" s="10">
        <f t="shared" ca="1" si="227"/>
        <v>-616.79761997076957</v>
      </c>
      <c r="I341" s="4">
        <f t="shared" ref="I341:AA341" ca="1" si="262">-D*(J291-H291)/(2*delta)</f>
        <v>-618.07875280803933</v>
      </c>
      <c r="J341" s="4">
        <f t="shared" ca="1" si="262"/>
        <v>-621.73472552184899</v>
      </c>
      <c r="K341" s="4">
        <f t="shared" ca="1" si="262"/>
        <v>-627.17339019917461</v>
      </c>
      <c r="L341" s="4">
        <f t="shared" ca="1" si="262"/>
        <v>-633.29720966703178</v>
      </c>
      <c r="M341" s="4">
        <f t="shared" ca="1" si="262"/>
        <v>-638.3110379442893</v>
      </c>
      <c r="N341" s="4">
        <f t="shared" ca="1" si="262"/>
        <v>-639.40923468227857</v>
      </c>
      <c r="O341" s="4">
        <f t="shared" ca="1" si="262"/>
        <v>-632.31460730711456</v>
      </c>
      <c r="P341" s="4">
        <f t="shared" ca="1" si="262"/>
        <v>-610.73074762452961</v>
      </c>
      <c r="Q341" s="4">
        <f t="shared" ca="1" si="262"/>
        <v>-566.14804376378345</v>
      </c>
      <c r="R341" s="4">
        <f t="shared" ca="1" si="262"/>
        <v>-489.57190041497256</v>
      </c>
      <c r="S341" s="4">
        <f t="shared" ca="1" si="262"/>
        <v>-378.39498471133271</v>
      </c>
      <c r="T341" s="4">
        <f t="shared" ca="1" si="262"/>
        <v>-241.93569566910639</v>
      </c>
      <c r="U341" s="4">
        <f t="shared" ca="1" si="262"/>
        <v>-97.078916962680154</v>
      </c>
      <c r="V341" s="4">
        <f t="shared" ca="1" si="262"/>
        <v>37.887651861468129</v>
      </c>
      <c r="W341" s="4">
        <f t="shared" ca="1" si="262"/>
        <v>146.26896352107346</v>
      </c>
      <c r="X341" s="4">
        <f t="shared" ca="1" si="262"/>
        <v>219.15717285542394</v>
      </c>
      <c r="Y341" s="4">
        <f t="shared" ca="1" si="262"/>
        <v>259.85891440536113</v>
      </c>
      <c r="Z341" s="4">
        <f t="shared" ca="1" si="262"/>
        <v>278.47605542008068</v>
      </c>
      <c r="AA341" s="4">
        <f t="shared" ca="1" si="262"/>
        <v>285.22828965960844</v>
      </c>
      <c r="AB341" s="10">
        <f t="shared" ca="1" si="229"/>
        <v>286.82775463561785</v>
      </c>
    </row>
    <row r="342" spans="4:28" x14ac:dyDescent="0.25">
      <c r="D342" s="15"/>
      <c r="E342" s="2">
        <f t="shared" si="226"/>
        <v>0.6</v>
      </c>
      <c r="H342" s="10">
        <f t="shared" ca="1" si="227"/>
        <v>-529.75830963000669</v>
      </c>
      <c r="I342" s="4">
        <f t="shared" ref="I342:AA342" ca="1" si="263">-D*(J292-H292)/(2*delta)</f>
        <v>-530.40753098824257</v>
      </c>
      <c r="J342" s="4">
        <f t="shared" ca="1" si="263"/>
        <v>-532.1611791870489</v>
      </c>
      <c r="K342" s="4">
        <f t="shared" ca="1" si="263"/>
        <v>-534.41557050669189</v>
      </c>
      <c r="L342" s="4">
        <f t="shared" ca="1" si="263"/>
        <v>-536.0872923453453</v>
      </c>
      <c r="M342" s="4">
        <f t="shared" ca="1" si="263"/>
        <v>-535.49260062300277</v>
      </c>
      <c r="N342" s="4">
        <f t="shared" ca="1" si="263"/>
        <v>-530.18618522252825</v>
      </c>
      <c r="O342" s="4">
        <f t="shared" ca="1" si="263"/>
        <v>-516.79985730805731</v>
      </c>
      <c r="P342" s="4">
        <f t="shared" ca="1" si="263"/>
        <v>-491.01522605085739</v>
      </c>
      <c r="Q342" s="4">
        <f t="shared" ca="1" si="263"/>
        <v>-448.00299912629106</v>
      </c>
      <c r="R342" s="4">
        <f t="shared" ca="1" si="263"/>
        <v>-383.92314428522224</v>
      </c>
      <c r="S342" s="4">
        <f t="shared" ca="1" si="263"/>
        <v>-298.80797351567321</v>
      </c>
      <c r="T342" s="4">
        <f t="shared" ca="1" si="263"/>
        <v>-198.45043775159121</v>
      </c>
      <c r="U342" s="4">
        <f t="shared" ca="1" si="263"/>
        <v>-92.86373024620427</v>
      </c>
      <c r="V342" s="4">
        <f t="shared" ca="1" si="263"/>
        <v>6.7038823621901393</v>
      </c>
      <c r="W342" s="4">
        <f t="shared" ca="1" si="263"/>
        <v>90.442713279928384</v>
      </c>
      <c r="X342" s="4">
        <f t="shared" ca="1" si="263"/>
        <v>152.99193559302361</v>
      </c>
      <c r="Y342" s="4">
        <f t="shared" ca="1" si="263"/>
        <v>195.03266820156193</v>
      </c>
      <c r="Z342" s="4">
        <f t="shared" ca="1" si="263"/>
        <v>221.4841758193667</v>
      </c>
      <c r="AA342" s="4">
        <f t="shared" ca="1" si="263"/>
        <v>238.74024772149809</v>
      </c>
      <c r="AB342" s="10">
        <f t="shared" ca="1" si="229"/>
        <v>245.89598554368342</v>
      </c>
    </row>
    <row r="343" spans="4:28" x14ac:dyDescent="0.25">
      <c r="D343" s="15"/>
      <c r="E343" s="2">
        <f t="shared" si="226"/>
        <v>0.5</v>
      </c>
      <c r="H343" s="10">
        <f t="shared" ca="1" si="227"/>
        <v>-441.42474834931261</v>
      </c>
      <c r="I343" s="4">
        <f t="shared" ref="I343:AA343" ca="1" si="264">-D*(J293-H293)/(2*delta)</f>
        <v>-441.63526868166866</v>
      </c>
      <c r="J343" s="4">
        <f t="shared" ca="1" si="264"/>
        <v>-442.08946441367317</v>
      </c>
      <c r="K343" s="4">
        <f t="shared" ca="1" si="264"/>
        <v>-442.24298041548462</v>
      </c>
      <c r="L343" s="4">
        <f t="shared" ca="1" si="264"/>
        <v>-441.14633025886025</v>
      </c>
      <c r="M343" s="4">
        <f t="shared" ca="1" si="264"/>
        <v>-437.38840687243822</v>
      </c>
      <c r="N343" s="4">
        <f t="shared" ca="1" si="264"/>
        <v>-429.04554370933312</v>
      </c>
      <c r="O343" s="4">
        <f t="shared" ca="1" si="264"/>
        <v>-413.68587971367617</v>
      </c>
      <c r="P343" s="4">
        <f t="shared" ca="1" si="264"/>
        <v>-388.52974181579845</v>
      </c>
      <c r="Q343" s="4">
        <f t="shared" ca="1" si="264"/>
        <v>-350.92799669106216</v>
      </c>
      <c r="R343" s="4">
        <f t="shared" ca="1" si="264"/>
        <v>-299.31209215052525</v>
      </c>
      <c r="S343" s="4">
        <f t="shared" ca="1" si="264"/>
        <v>-234.46569164673377</v>
      </c>
      <c r="T343" s="4">
        <f t="shared" ca="1" si="264"/>
        <v>-160.19669614185932</v>
      </c>
      <c r="U343" s="4">
        <f t="shared" ca="1" si="264"/>
        <v>-82.631779074092691</v>
      </c>
      <c r="V343" s="4">
        <f t="shared" ca="1" si="264"/>
        <v>-8.6534292818437244</v>
      </c>
      <c r="W343" s="4">
        <f t="shared" ca="1" si="264"/>
        <v>55.803744810299506</v>
      </c>
      <c r="X343" s="4">
        <f t="shared" ca="1" si="264"/>
        <v>107.33284624188786</v>
      </c>
      <c r="Y343" s="4">
        <f t="shared" ca="1" si="264"/>
        <v>145.79327564391838</v>
      </c>
      <c r="Z343" s="4">
        <f t="shared" ca="1" si="264"/>
        <v>173.6853135197361</v>
      </c>
      <c r="AA343" s="4">
        <f t="shared" ca="1" si="264"/>
        <v>194.92965591438085</v>
      </c>
      <c r="AB343" s="10">
        <f t="shared" ca="1" si="229"/>
        <v>204.43237091673601</v>
      </c>
    </row>
    <row r="344" spans="4:28" x14ac:dyDescent="0.25">
      <c r="D344" s="15"/>
      <c r="E344" s="2">
        <f t="shared" si="226"/>
        <v>0.4</v>
      </c>
      <c r="H344" s="10">
        <f t="shared" ca="1" si="227"/>
        <v>-352.67366320295662</v>
      </c>
      <c r="I344" s="4">
        <f t="shared" ref="I344:AA344" ca="1" si="265">-D*(J294-H294)/(2*delta)</f>
        <v>-352.62216897864676</v>
      </c>
      <c r="J344" s="4">
        <f t="shared" ca="1" si="265"/>
        <v>-352.32058334375193</v>
      </c>
      <c r="K344" s="4">
        <f t="shared" ca="1" si="265"/>
        <v>-351.32269825995849</v>
      </c>
      <c r="L344" s="4">
        <f t="shared" ca="1" si="265"/>
        <v>-348.868767736476</v>
      </c>
      <c r="M344" s="4">
        <f t="shared" ca="1" si="265"/>
        <v>-343.87126100327811</v>
      </c>
      <c r="N344" s="4">
        <f t="shared" ca="1" si="265"/>
        <v>-334.92379066472984</v>
      </c>
      <c r="O344" s="4">
        <f t="shared" ca="1" si="265"/>
        <v>-320.37044159540909</v>
      </c>
      <c r="P344" s="4">
        <f t="shared" ca="1" si="265"/>
        <v>-298.49190747263839</v>
      </c>
      <c r="Q344" s="4">
        <f t="shared" ca="1" si="265"/>
        <v>-267.86917343303361</v>
      </c>
      <c r="R344" s="4">
        <f t="shared" ca="1" si="265"/>
        <v>-227.93353382265784</v>
      </c>
      <c r="S344" s="4">
        <f t="shared" ca="1" si="265"/>
        <v>-179.54798278624418</v>
      </c>
      <c r="T344" s="4">
        <f t="shared" ca="1" si="265"/>
        <v>-125.24083759540837</v>
      </c>
      <c r="U344" s="4">
        <f t="shared" ca="1" si="265"/>
        <v>-68.815210344363393</v>
      </c>
      <c r="V344" s="4">
        <f t="shared" ca="1" si="265"/>
        <v>-14.491509451119171</v>
      </c>
      <c r="W344" s="4">
        <f t="shared" ca="1" si="265"/>
        <v>34.090902211713953</v>
      </c>
      <c r="X344" s="4">
        <f t="shared" ca="1" si="265"/>
        <v>74.740469561220408</v>
      </c>
      <c r="Y344" s="4">
        <f t="shared" ca="1" si="265"/>
        <v>107.1202904770328</v>
      </c>
      <c r="Z344" s="4">
        <f t="shared" ca="1" si="265"/>
        <v>132.53212312523311</v>
      </c>
      <c r="AA344" s="4">
        <f t="shared" ca="1" si="265"/>
        <v>153.34171325819497</v>
      </c>
      <c r="AB344" s="10">
        <f t="shared" ca="1" si="229"/>
        <v>162.93827709562856</v>
      </c>
    </row>
    <row r="345" spans="4:28" x14ac:dyDescent="0.25">
      <c r="D345" s="15"/>
      <c r="E345" s="2">
        <f t="shared" si="226"/>
        <v>0.30000000000000004</v>
      </c>
      <c r="H345" s="10">
        <f t="shared" ca="1" si="227"/>
        <v>-264.02838691413348</v>
      </c>
      <c r="I345" s="4">
        <f t="shared" ref="I345:AA345" ca="1" si="266">-D*(J295-H295)/(2*delta)</f>
        <v>-263.86143306043851</v>
      </c>
      <c r="J345" s="4">
        <f t="shared" ca="1" si="266"/>
        <v>-263.24972187328427</v>
      </c>
      <c r="K345" s="4">
        <f t="shared" ca="1" si="266"/>
        <v>-261.86017193794436</v>
      </c>
      <c r="L345" s="4">
        <f t="shared" ca="1" si="266"/>
        <v>-259.13647947082166</v>
      </c>
      <c r="M345" s="4">
        <f t="shared" ca="1" si="266"/>
        <v>-254.30576221868878</v>
      </c>
      <c r="N345" s="4">
        <f t="shared" ca="1" si="266"/>
        <v>-246.40958347860436</v>
      </c>
      <c r="O345" s="4">
        <f t="shared" ca="1" si="266"/>
        <v>-234.3818380363642</v>
      </c>
      <c r="P345" s="4">
        <f t="shared" ca="1" si="266"/>
        <v>-217.19990426118983</v>
      </c>
      <c r="Q345" s="4">
        <f t="shared" ca="1" si="266"/>
        <v>-194.12486868109559</v>
      </c>
      <c r="R345" s="4">
        <f t="shared" ca="1" si="266"/>
        <v>-165.00648236446131</v>
      </c>
      <c r="S345" s="4">
        <f t="shared" ca="1" si="266"/>
        <v>-130.55344770742414</v>
      </c>
      <c r="T345" s="4">
        <f t="shared" ca="1" si="266"/>
        <v>-92.405027583621361</v>
      </c>
      <c r="U345" s="4">
        <f t="shared" ca="1" si="266"/>
        <v>-52.89827236271281</v>
      </c>
      <c r="V345" s="4">
        <f t="shared" ca="1" si="266"/>
        <v>-14.589853161921154</v>
      </c>
      <c r="W345" s="4">
        <f t="shared" ca="1" si="266"/>
        <v>20.309349053615108</v>
      </c>
      <c r="X345" s="4">
        <f t="shared" ca="1" si="266"/>
        <v>50.416274332394629</v>
      </c>
      <c r="Y345" s="4">
        <f t="shared" ca="1" si="266"/>
        <v>75.413708732462965</v>
      </c>
      <c r="Z345" s="4">
        <f t="shared" ca="1" si="266"/>
        <v>95.979558825108327</v>
      </c>
      <c r="AA345" s="4">
        <f t="shared" ca="1" si="266"/>
        <v>113.50251617544835</v>
      </c>
      <c r="AB345" s="10">
        <f t="shared" ca="1" si="229"/>
        <v>121.71038490065145</v>
      </c>
    </row>
    <row r="346" spans="4:28" x14ac:dyDescent="0.25">
      <c r="D346" s="15"/>
      <c r="E346" s="2">
        <f t="shared" si="226"/>
        <v>0.2</v>
      </c>
      <c r="H346" s="10">
        <f t="shared" ca="1" si="227"/>
        <v>-175.71912519991429</v>
      </c>
      <c r="I346" s="4">
        <f t="shared" ref="I346:AA346" ca="1" si="267">-D*(J296-H296)/(2*delta)</f>
        <v>-175.54714740235931</v>
      </c>
      <c r="J346" s="4">
        <f t="shared" ca="1" si="267"/>
        <v>-174.95797501837103</v>
      </c>
      <c r="K346" s="4">
        <f t="shared" ca="1" si="267"/>
        <v>-173.73305675721656</v>
      </c>
      <c r="L346" s="4">
        <f t="shared" ca="1" si="267"/>
        <v>-171.51247542418051</v>
      </c>
      <c r="M346" s="4">
        <f t="shared" ca="1" si="267"/>
        <v>-167.80697353631604</v>
      </c>
      <c r="N346" s="4">
        <f t="shared" ca="1" si="267"/>
        <v>-162.02817947134059</v>
      </c>
      <c r="O346" s="4">
        <f t="shared" ca="1" si="267"/>
        <v>-153.54864621450434</v>
      </c>
      <c r="P346" s="4">
        <f t="shared" ca="1" si="267"/>
        <v>-141.80221269322337</v>
      </c>
      <c r="Q346" s="4">
        <f t="shared" ca="1" si="267"/>
        <v>-126.42511095521856</v>
      </c>
      <c r="R346" s="4">
        <f t="shared" ca="1" si="267"/>
        <v>-107.4152625829053</v>
      </c>
      <c r="S346" s="4">
        <f t="shared" ca="1" si="267"/>
        <v>-85.255469726719795</v>
      </c>
      <c r="T346" s="4">
        <f t="shared" ca="1" si="267"/>
        <v>-60.928714582345641</v>
      </c>
      <c r="U346" s="4">
        <f t="shared" ca="1" si="267"/>
        <v>-35.784153372856899</v>
      </c>
      <c r="V346" s="4">
        <f t="shared" ca="1" si="267"/>
        <v>-11.280131743986097</v>
      </c>
      <c r="W346" s="4">
        <f t="shared" ca="1" si="267"/>
        <v>11.318919341567453</v>
      </c>
      <c r="X346" s="4">
        <f t="shared" ca="1" si="267"/>
        <v>31.200408905026151</v>
      </c>
      <c r="Y346" s="4">
        <f t="shared" ca="1" si="267"/>
        <v>48.137535384560493</v>
      </c>
      <c r="Z346" s="4">
        <f t="shared" ca="1" si="267"/>
        <v>62.468687818595917</v>
      </c>
      <c r="AA346" s="4">
        <f t="shared" ca="1" si="267"/>
        <v>74.956607860265919</v>
      </c>
      <c r="AB346" s="10">
        <f t="shared" ca="1" si="229"/>
        <v>80.855844027779796</v>
      </c>
    </row>
    <row r="347" spans="4:28" x14ac:dyDescent="0.25">
      <c r="D347" s="15"/>
      <c r="E347" s="2">
        <f t="shared" si="226"/>
        <v>0.1</v>
      </c>
      <c r="H347" s="10">
        <f t="shared" ca="1" si="227"/>
        <v>-87.755199609775758</v>
      </c>
      <c r="I347" s="4">
        <f t="shared" ref="I347:AA347" ca="1" si="268">-D*(J297-H297)/(2*delta)</f>
        <v>-87.651159528030533</v>
      </c>
      <c r="J347" s="4">
        <f t="shared" ca="1" si="268"/>
        <v>-87.302797876623004</v>
      </c>
      <c r="K347" s="4">
        <f t="shared" ca="1" si="268"/>
        <v>-86.602423768544085</v>
      </c>
      <c r="L347" s="4">
        <f t="shared" ca="1" si="268"/>
        <v>-85.374205103332358</v>
      </c>
      <c r="M347" s="4">
        <f t="shared" ca="1" si="268"/>
        <v>-83.382283196144044</v>
      </c>
      <c r="N347" s="4">
        <f t="shared" ca="1" si="268"/>
        <v>-80.348312970709742</v>
      </c>
      <c r="O347" s="4">
        <f t="shared" ca="1" si="268"/>
        <v>-75.983144524939661</v>
      </c>
      <c r="P347" s="4">
        <f t="shared" ca="1" si="268"/>
        <v>-70.035970453367327</v>
      </c>
      <c r="Q347" s="4">
        <f t="shared" ca="1" si="268"/>
        <v>-62.358872238819991</v>
      </c>
      <c r="R347" s="4">
        <f t="shared" ca="1" si="268"/>
        <v>-52.97475131855041</v>
      </c>
      <c r="S347" s="4">
        <f t="shared" ca="1" si="268"/>
        <v>-42.125210544837856</v>
      </c>
      <c r="T347" s="4">
        <f t="shared" ca="1" si="268"/>
        <v>-30.270957930702746</v>
      </c>
      <c r="U347" s="4">
        <f t="shared" ca="1" si="268"/>
        <v>-18.030240695198341</v>
      </c>
      <c r="V347" s="4">
        <f t="shared" ca="1" si="268"/>
        <v>-6.0661837203689899</v>
      </c>
      <c r="W347" s="4">
        <f t="shared" ca="1" si="268"/>
        <v>5.0453060597993122</v>
      </c>
      <c r="X347" s="4">
        <f t="shared" ca="1" si="268"/>
        <v>14.928156450607814</v>
      </c>
      <c r="Y347" s="4">
        <f t="shared" ca="1" si="268"/>
        <v>23.466576247081601</v>
      </c>
      <c r="Z347" s="4">
        <f t="shared" ca="1" si="268"/>
        <v>30.800274006736885</v>
      </c>
      <c r="AA347" s="4">
        <f t="shared" ca="1" si="268"/>
        <v>37.265485707558234</v>
      </c>
      <c r="AB347" s="10">
        <f t="shared" ca="1" si="229"/>
        <v>40.332764478244769</v>
      </c>
    </row>
    <row r="348" spans="4:28" x14ac:dyDescent="0.25">
      <c r="D348" s="15"/>
      <c r="E348" s="2">
        <v>0</v>
      </c>
      <c r="H348" s="10">
        <f t="shared" ca="1" si="227"/>
        <v>0</v>
      </c>
      <c r="I348" s="3">
        <f t="shared" ref="I348:AA348" ca="1" si="269">-D*(J298-H298)/(2*delta)</f>
        <v>0</v>
      </c>
      <c r="J348" s="3">
        <f t="shared" ca="1" si="269"/>
        <v>0</v>
      </c>
      <c r="K348" s="3">
        <f t="shared" ca="1" si="269"/>
        <v>0</v>
      </c>
      <c r="L348" s="3">
        <f t="shared" ca="1" si="269"/>
        <v>0</v>
      </c>
      <c r="M348" s="3">
        <f t="shared" ca="1" si="269"/>
        <v>0</v>
      </c>
      <c r="N348" s="3">
        <f t="shared" ca="1" si="269"/>
        <v>0</v>
      </c>
      <c r="O348" s="3">
        <f t="shared" ca="1" si="269"/>
        <v>0</v>
      </c>
      <c r="P348" s="3">
        <f t="shared" ca="1" si="269"/>
        <v>0</v>
      </c>
      <c r="Q348" s="3">
        <f t="shared" ca="1" si="269"/>
        <v>0</v>
      </c>
      <c r="R348" s="3">
        <f t="shared" ca="1" si="269"/>
        <v>0</v>
      </c>
      <c r="S348" s="3">
        <f t="shared" ca="1" si="269"/>
        <v>0</v>
      </c>
      <c r="T348" s="3">
        <f t="shared" ca="1" si="269"/>
        <v>0</v>
      </c>
      <c r="U348" s="3">
        <f t="shared" ca="1" si="269"/>
        <v>0</v>
      </c>
      <c r="V348" s="3">
        <f t="shared" ca="1" si="269"/>
        <v>0</v>
      </c>
      <c r="W348" s="3">
        <f t="shared" ca="1" si="269"/>
        <v>0</v>
      </c>
      <c r="X348" s="3">
        <f t="shared" ca="1" si="269"/>
        <v>0</v>
      </c>
      <c r="Y348" s="3">
        <f t="shared" ca="1" si="269"/>
        <v>0</v>
      </c>
      <c r="Z348" s="3">
        <f t="shared" ca="1" si="269"/>
        <v>0</v>
      </c>
      <c r="AA348" s="3">
        <f t="shared" ca="1" si="269"/>
        <v>0</v>
      </c>
      <c r="AB348" s="10">
        <f t="shared" ca="1" si="229"/>
        <v>0</v>
      </c>
    </row>
    <row r="353" spans="5:28" ht="18.75" x14ac:dyDescent="0.3">
      <c r="E353" s="1" t="s">
        <v>30</v>
      </c>
    </row>
    <row r="354" spans="5:28" x14ac:dyDescent="0.25">
      <c r="H354" s="16" t="s">
        <v>17</v>
      </c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</row>
    <row r="355" spans="5:28" x14ac:dyDescent="0.25">
      <c r="H355" s="2">
        <v>0</v>
      </c>
      <c r="I355" s="2">
        <f t="shared" ref="I355:AB355" si="270">+H355+delta</f>
        <v>0.1</v>
      </c>
      <c r="J355" s="2">
        <f t="shared" si="270"/>
        <v>0.2</v>
      </c>
      <c r="K355" s="2">
        <f t="shared" si="270"/>
        <v>0.30000000000000004</v>
      </c>
      <c r="L355" s="2">
        <f t="shared" si="270"/>
        <v>0.4</v>
      </c>
      <c r="M355" s="2">
        <f t="shared" si="270"/>
        <v>0.5</v>
      </c>
      <c r="N355" s="2">
        <f t="shared" si="270"/>
        <v>0.6</v>
      </c>
      <c r="O355" s="2">
        <f t="shared" si="270"/>
        <v>0.7</v>
      </c>
      <c r="P355" s="2">
        <f t="shared" si="270"/>
        <v>0.79999999999999993</v>
      </c>
      <c r="Q355" s="2">
        <f t="shared" si="270"/>
        <v>0.89999999999999991</v>
      </c>
      <c r="R355" s="2">
        <f t="shared" si="270"/>
        <v>0.99999999999999989</v>
      </c>
      <c r="S355" s="2">
        <f t="shared" si="270"/>
        <v>1.0999999999999999</v>
      </c>
      <c r="T355" s="2">
        <f t="shared" si="270"/>
        <v>1.2</v>
      </c>
      <c r="U355" s="2">
        <f t="shared" si="270"/>
        <v>1.3</v>
      </c>
      <c r="V355" s="2">
        <f t="shared" si="270"/>
        <v>1.4000000000000001</v>
      </c>
      <c r="W355" s="2">
        <f t="shared" si="270"/>
        <v>1.5000000000000002</v>
      </c>
      <c r="X355" s="2">
        <f t="shared" si="270"/>
        <v>1.6000000000000003</v>
      </c>
      <c r="Y355" s="2">
        <f t="shared" si="270"/>
        <v>1.7000000000000004</v>
      </c>
      <c r="Z355" s="2">
        <f t="shared" si="270"/>
        <v>1.8000000000000005</v>
      </c>
      <c r="AA355" s="2">
        <f t="shared" si="270"/>
        <v>1.9000000000000006</v>
      </c>
      <c r="AB355" s="2">
        <f t="shared" si="270"/>
        <v>2.0000000000000004</v>
      </c>
    </row>
    <row r="358" spans="5:28" x14ac:dyDescent="0.25">
      <c r="E358" s="2">
        <f t="shared" ref="E358:E397" si="271">E359+delta</f>
        <v>4.0000000000000018</v>
      </c>
      <c r="H358" s="10">
        <f t="shared" ref="H358:AB358" ca="1" si="272">-D*(H258-H259)/delta</f>
        <v>-4.65376475375817E-5</v>
      </c>
      <c r="I358" s="10">
        <f t="shared" ca="1" si="272"/>
        <v>31.843334647617709</v>
      </c>
      <c r="J358" s="10">
        <f t="shared" ca="1" si="272"/>
        <v>63.364490631366564</v>
      </c>
      <c r="K358" s="10">
        <f t="shared" ca="1" si="272"/>
        <v>94.241657705233635</v>
      </c>
      <c r="L358" s="10">
        <f t="shared" ca="1" si="272"/>
        <v>124.15492023542289</v>
      </c>
      <c r="M358" s="10">
        <f t="shared" ca="1" si="272"/>
        <v>152.78800794719402</v>
      </c>
      <c r="N358" s="10">
        <f t="shared" ca="1" si="272"/>
        <v>179.83101296184211</v>
      </c>
      <c r="O358" s="10">
        <f t="shared" ca="1" si="272"/>
        <v>204.98412550514595</v>
      </c>
      <c r="P358" s="10">
        <f t="shared" ca="1" si="272"/>
        <v>227.96232684142552</v>
      </c>
      <c r="Q358" s="10">
        <f t="shared" ca="1" si="272"/>
        <v>248.50080585831913</v>
      </c>
      <c r="R358" s="10">
        <f t="shared" ca="1" si="272"/>
        <v>266.36070669269145</v>
      </c>
      <c r="S358" s="10">
        <f t="shared" ca="1" si="272"/>
        <v>281.33469871867652</v>
      </c>
      <c r="T358" s="10">
        <f t="shared" ca="1" si="272"/>
        <v>293.25181614334838</v>
      </c>
      <c r="U358" s="10">
        <f t="shared" ca="1" si="272"/>
        <v>301.98106250182889</v>
      </c>
      <c r="V358" s="10">
        <f t="shared" ca="1" si="272"/>
        <v>307.43341848413974</v>
      </c>
      <c r="W358" s="10">
        <f t="shared" ca="1" si="272"/>
        <v>309.56211075773155</v>
      </c>
      <c r="X358" s="10">
        <f t="shared" ca="1" si="272"/>
        <v>308.36125518259985</v>
      </c>
      <c r="Y358" s="10">
        <f t="shared" ca="1" si="272"/>
        <v>303.86322787545191</v>
      </c>
      <c r="Z358" s="10">
        <f t="shared" ca="1" si="272"/>
        <v>296.13529012149269</v>
      </c>
      <c r="AA358" s="10">
        <f t="shared" ca="1" si="272"/>
        <v>285.27606039521532</v>
      </c>
      <c r="AB358" s="10">
        <f t="shared" ca="1" si="272"/>
        <v>271.41237700924989</v>
      </c>
    </row>
    <row r="359" spans="5:28" x14ac:dyDescent="0.25">
      <c r="E359" s="2">
        <f t="shared" si="271"/>
        <v>3.9000000000000021</v>
      </c>
      <c r="H359" s="3">
        <f t="shared" ref="H359:AB359" ca="1" si="273">-D*(H258-H260)/(2*delta)</f>
        <v>-4.6391489559168706E-5</v>
      </c>
      <c r="I359" s="4">
        <f t="shared" ca="1" si="273"/>
        <v>32.004866037756159</v>
      </c>
      <c r="J359" s="4">
        <f t="shared" ca="1" si="273"/>
        <v>63.687182202600155</v>
      </c>
      <c r="K359" s="4">
        <f t="shared" ca="1" si="273"/>
        <v>94.724584120587139</v>
      </c>
      <c r="L359" s="4">
        <f t="shared" ca="1" si="273"/>
        <v>124.79625706169053</v>
      </c>
      <c r="M359" s="4">
        <f t="shared" ca="1" si="273"/>
        <v>153.58457183054108</v>
      </c>
      <c r="N359" s="4">
        <f t="shared" ca="1" si="273"/>
        <v>180.77775235587725</v>
      </c>
      <c r="O359" s="4">
        <f t="shared" ca="1" si="273"/>
        <v>206.07364213254732</v>
      </c>
      <c r="P359" s="4">
        <f t="shared" ca="1" si="273"/>
        <v>229.18451395814034</v>
      </c>
      <c r="Q359" s="4">
        <f t="shared" ca="1" si="273"/>
        <v>249.84268283304846</v>
      </c>
      <c r="R359" s="4">
        <f t="shared" ca="1" si="273"/>
        <v>267.80650794304438</v>
      </c>
      <c r="S359" s="4">
        <f t="shared" ca="1" si="273"/>
        <v>282.86623903999907</v>
      </c>
      <c r="T359" s="4">
        <f t="shared" ca="1" si="273"/>
        <v>294.84910840768742</v>
      </c>
      <c r="U359" s="4">
        <f t="shared" ca="1" si="273"/>
        <v>303.62311616300582</v>
      </c>
      <c r="V359" s="4">
        <f t="shared" ca="1" si="273"/>
        <v>309.09910926881696</v>
      </c>
      <c r="W359" s="4">
        <f t="shared" ca="1" si="273"/>
        <v>311.23099368521412</v>
      </c>
      <c r="X359" s="4">
        <f t="shared" ca="1" si="273"/>
        <v>310.0142008796941</v>
      </c>
      <c r="Y359" s="4">
        <f t="shared" ca="1" si="273"/>
        <v>305.48279592720945</v>
      </c>
      <c r="Z359" s="4">
        <f t="shared" ca="1" si="273"/>
        <v>297.70580581754245</v>
      </c>
      <c r="AA359" s="4">
        <f t="shared" ca="1" si="273"/>
        <v>286.78341976571448</v>
      </c>
      <c r="AB359" s="3">
        <f t="shared" ca="1" si="273"/>
        <v>272.84365044829849</v>
      </c>
    </row>
    <row r="360" spans="5:28" x14ac:dyDescent="0.25">
      <c r="E360" s="2">
        <f t="shared" si="271"/>
        <v>3.800000000000002</v>
      </c>
      <c r="H360" s="3">
        <f t="shared" ref="H360:AB360" ca="1" si="274">-D*(H259-H261)/(2*delta)</f>
        <v>-4.5954559015694182E-5</v>
      </c>
      <c r="I360" s="4">
        <f t="shared" ca="1" si="274"/>
        <v>32.489781912376237</v>
      </c>
      <c r="J360" s="4">
        <f t="shared" ca="1" si="274"/>
        <v>64.656084510770526</v>
      </c>
      <c r="K360" s="4">
        <f t="shared" ca="1" si="274"/>
        <v>96.175041860509239</v>
      </c>
      <c r="L360" s="4">
        <f t="shared" ca="1" si="274"/>
        <v>126.72325702778284</v>
      </c>
      <c r="M360" s="4">
        <f t="shared" ca="1" si="274"/>
        <v>155.97907357781315</v>
      </c>
      <c r="N360" s="4">
        <f t="shared" ca="1" si="274"/>
        <v>183.62508019306907</v>
      </c>
      <c r="O360" s="4">
        <f t="shared" ca="1" si="274"/>
        <v>209.35196342649482</v>
      </c>
      <c r="P360" s="4">
        <f t="shared" ca="1" si="274"/>
        <v>232.86367439784016</v>
      </c>
      <c r="Q360" s="4">
        <f t="shared" ca="1" si="274"/>
        <v>253.88365211206192</v>
      </c>
      <c r="R360" s="4">
        <f t="shared" ca="1" si="274"/>
        <v>272.16162451264029</v>
      </c>
      <c r="S360" s="4">
        <f t="shared" ca="1" si="274"/>
        <v>287.48033009565012</v>
      </c>
      <c r="T360" s="4">
        <f t="shared" ca="1" si="274"/>
        <v>299.6614145273428</v>
      </c>
      <c r="U360" s="4">
        <f t="shared" ca="1" si="274"/>
        <v>308.56979641155681</v>
      </c>
      <c r="V360" s="4">
        <f t="shared" ca="1" si="274"/>
        <v>314.11597810351321</v>
      </c>
      <c r="W360" s="4">
        <f t="shared" ca="1" si="274"/>
        <v>316.25608000559311</v>
      </c>
      <c r="X360" s="4">
        <f t="shared" ca="1" si="274"/>
        <v>314.98974320100734</v>
      </c>
      <c r="Y360" s="4">
        <f t="shared" ca="1" si="274"/>
        <v>310.35639601583227</v>
      </c>
      <c r="Z360" s="4">
        <f t="shared" ca="1" si="274"/>
        <v>302.43063400136793</v>
      </c>
      <c r="AA360" s="4">
        <f t="shared" ca="1" si="274"/>
        <v>291.3175596720717</v>
      </c>
      <c r="AB360" s="3">
        <f t="shared" ca="1" si="274"/>
        <v>277.14884252877408</v>
      </c>
    </row>
    <row r="361" spans="5:28" x14ac:dyDescent="0.25">
      <c r="E361" s="2">
        <f t="shared" si="271"/>
        <v>3.700000000000002</v>
      </c>
      <c r="H361" s="3">
        <f t="shared" ref="H361:AB361" ca="1" si="275">-D*(H260-H262)/(2*delta)</f>
        <v>-4.5230592218355734E-5</v>
      </c>
      <c r="I361" s="4">
        <f t="shared" ca="1" si="275"/>
        <v>33.298956977441584</v>
      </c>
      <c r="J361" s="4">
        <f t="shared" ca="1" si="275"/>
        <v>66.273522690685127</v>
      </c>
      <c r="K361" s="4">
        <f t="shared" ca="1" si="275"/>
        <v>98.597886897144249</v>
      </c>
      <c r="L361" s="4">
        <f t="shared" ca="1" si="275"/>
        <v>129.94475226870642</v>
      </c>
      <c r="M361" s="4">
        <f t="shared" ca="1" si="275"/>
        <v>159.98592986423887</v>
      </c>
      <c r="N361" s="4">
        <f t="shared" ca="1" si="275"/>
        <v>188.39451982225185</v>
      </c>
      <c r="O361" s="4">
        <f t="shared" ca="1" si="275"/>
        <v>214.84888464058287</v>
      </c>
      <c r="P361" s="4">
        <f t="shared" ca="1" si="275"/>
        <v>239.03843017160293</v>
      </c>
      <c r="Q361" s="4">
        <f t="shared" ca="1" si="275"/>
        <v>260.67091826905022</v>
      </c>
      <c r="R361" s="4">
        <f t="shared" ca="1" si="275"/>
        <v>279.48072411323125</v>
      </c>
      <c r="S361" s="4">
        <f t="shared" ca="1" si="275"/>
        <v>295.23717863698749</v>
      </c>
      <c r="T361" s="4">
        <f t="shared" ca="1" si="275"/>
        <v>307.7519756857028</v>
      </c>
      <c r="U361" s="4">
        <f t="shared" ca="1" si="275"/>
        <v>316.88464237510033</v>
      </c>
      <c r="V361" s="4">
        <f t="shared" ca="1" si="275"/>
        <v>322.54530332094333</v>
      </c>
      <c r="W361" s="4">
        <f t="shared" ca="1" si="275"/>
        <v>324.69439224370126</v>
      </c>
      <c r="X361" s="4">
        <f t="shared" ca="1" si="275"/>
        <v>323.33949520302781</v>
      </c>
      <c r="Y361" s="4">
        <f t="shared" ca="1" si="275"/>
        <v>318.53002615347657</v>
      </c>
      <c r="Z361" s="4">
        <f t="shared" ca="1" si="275"/>
        <v>310.35081234476979</v>
      </c>
      <c r="AA361" s="4">
        <f t="shared" ca="1" si="275"/>
        <v>298.91581300726335</v>
      </c>
      <c r="AB361" s="3">
        <f t="shared" ca="1" si="275"/>
        <v>284.36307711708207</v>
      </c>
    </row>
    <row r="362" spans="5:28" x14ac:dyDescent="0.25">
      <c r="E362" s="2">
        <f t="shared" si="271"/>
        <v>3.6000000000000019</v>
      </c>
      <c r="H362" s="3">
        <f t="shared" ref="H362:AB362" ca="1" si="276">-D*(H261-H263)/(2*delta)</f>
        <v>-4.4224775207818418E-5</v>
      </c>
      <c r="I362" s="4">
        <f t="shared" ca="1" si="276"/>
        <v>34.4332903067628</v>
      </c>
      <c r="J362" s="4">
        <f t="shared" ca="1" si="276"/>
        <v>68.542333064511809</v>
      </c>
      <c r="K362" s="4">
        <f t="shared" ca="1" si="276"/>
        <v>101.99984820061682</v>
      </c>
      <c r="L362" s="4">
        <f t="shared" ca="1" si="276"/>
        <v>134.47399656517771</v>
      </c>
      <c r="M362" s="4">
        <f t="shared" ca="1" si="276"/>
        <v>165.62787538015488</v>
      </c>
      <c r="N362" s="4">
        <f t="shared" ca="1" si="276"/>
        <v>195.12112242528633</v>
      </c>
      <c r="O362" s="4">
        <f t="shared" ca="1" si="276"/>
        <v>222.61399473933798</v>
      </c>
      <c r="P362" s="4">
        <f t="shared" ca="1" si="276"/>
        <v>247.77403999336002</v>
      </c>
      <c r="Q362" s="4">
        <f t="shared" ca="1" si="276"/>
        <v>270.28508546472051</v>
      </c>
      <c r="R362" s="4">
        <f t="shared" ca="1" si="276"/>
        <v>289.85781123702691</v>
      </c>
      <c r="S362" s="4">
        <f t="shared" ca="1" si="276"/>
        <v>306.24073382357307</v>
      </c>
      <c r="T362" s="4">
        <f t="shared" ca="1" si="276"/>
        <v>319.23012544590205</v>
      </c>
      <c r="U362" s="4">
        <f t="shared" ca="1" si="276"/>
        <v>328.67735832986205</v>
      </c>
      <c r="V362" s="4">
        <f t="shared" ca="1" si="276"/>
        <v>334.4924688838118</v>
      </c>
      <c r="W362" s="4">
        <f t="shared" ca="1" si="276"/>
        <v>336.64336240765761</v>
      </c>
      <c r="X362" s="4">
        <f t="shared" ca="1" si="276"/>
        <v>335.15089625476645</v>
      </c>
      <c r="Y362" s="4">
        <f t="shared" ca="1" si="276"/>
        <v>330.08088693971604</v>
      </c>
      <c r="Z362" s="4">
        <f t="shared" ca="1" si="276"/>
        <v>321.53467753873696</v>
      </c>
      <c r="AA362" s="4">
        <f t="shared" ca="1" si="276"/>
        <v>309.64012960853722</v>
      </c>
      <c r="AB362" s="3">
        <f t="shared" ca="1" si="276"/>
        <v>294.54472361857495</v>
      </c>
    </row>
    <row r="363" spans="5:28" x14ac:dyDescent="0.25">
      <c r="E363" s="2">
        <f t="shared" si="271"/>
        <v>3.5000000000000018</v>
      </c>
      <c r="H363" s="3">
        <f t="shared" ref="H363:AB363" ca="1" si="277">-D*(H262-H264)/(2*delta)</f>
        <v>-4.2944006415873835E-5</v>
      </c>
      <c r="I363" s="4">
        <f t="shared" ca="1" si="277"/>
        <v>35.892620530716684</v>
      </c>
      <c r="J363" s="4">
        <f t="shared" ca="1" si="277"/>
        <v>71.463814519293152</v>
      </c>
      <c r="K363" s="4">
        <f t="shared" ca="1" si="277"/>
        <v>106.38675595140633</v>
      </c>
      <c r="L363" s="4">
        <f t="shared" ca="1" si="277"/>
        <v>140.32552347488257</v>
      </c>
      <c r="M363" s="4">
        <f t="shared" ca="1" si="277"/>
        <v>172.9328956653606</v>
      </c>
      <c r="N363" s="4">
        <f t="shared" ca="1" si="277"/>
        <v>203.8509687219242</v>
      </c>
      <c r="O363" s="4">
        <f t="shared" ca="1" si="277"/>
        <v>232.71522245103208</v>
      </c>
      <c r="P363" s="4">
        <f t="shared" ca="1" si="277"/>
        <v>259.16235710669571</v>
      </c>
      <c r="Q363" s="4">
        <f t="shared" ca="1" si="277"/>
        <v>282.84169209743783</v>
      </c>
      <c r="R363" s="4">
        <f t="shared" ca="1" si="277"/>
        <v>303.42922886982541</v>
      </c>
      <c r="S363" s="4">
        <f t="shared" ca="1" si="277"/>
        <v>320.64275054436581</v>
      </c>
      <c r="T363" s="4">
        <f t="shared" ca="1" si="277"/>
        <v>334.25576395571608</v>
      </c>
      <c r="U363" s="4">
        <f t="shared" ca="1" si="277"/>
        <v>344.10792307834799</v>
      </c>
      <c r="V363" s="4">
        <f t="shared" ca="1" si="277"/>
        <v>350.10997251001186</v>
      </c>
      <c r="W363" s="4">
        <f t="shared" ca="1" si="277"/>
        <v>352.24220742614222</v>
      </c>
      <c r="X363" s="4">
        <f t="shared" ca="1" si="277"/>
        <v>350.54675119872269</v>
      </c>
      <c r="Y363" s="4">
        <f t="shared" ca="1" si="277"/>
        <v>345.1152577716361</v>
      </c>
      <c r="Z363" s="4">
        <f t="shared" ca="1" si="277"/>
        <v>336.07459687500722</v>
      </c>
      <c r="AA363" s="4">
        <f t="shared" ca="1" si="277"/>
        <v>323.57343524989102</v>
      </c>
      <c r="AB363" s="3">
        <f t="shared" ca="1" si="277"/>
        <v>307.77233082886983</v>
      </c>
    </row>
    <row r="364" spans="5:28" x14ac:dyDescent="0.25">
      <c r="E364" s="2">
        <f t="shared" si="271"/>
        <v>3.4000000000000017</v>
      </c>
      <c r="H364" s="3">
        <f t="shared" ref="H364:AB364" ca="1" si="278">-D*(H263-H265)/(2*delta)</f>
        <v>-4.1396839653607061E-5</v>
      </c>
      <c r="I364" s="4">
        <f t="shared" ca="1" si="278"/>
        <v>37.674104330722585</v>
      </c>
      <c r="J364" s="4">
        <f t="shared" ca="1" si="278"/>
        <v>75.034657655742578</v>
      </c>
      <c r="K364" s="4">
        <f t="shared" ca="1" si="278"/>
        <v>111.75936971334195</v>
      </c>
      <c r="L364" s="4">
        <f t="shared" ca="1" si="278"/>
        <v>147.51039805542368</v>
      </c>
      <c r="M364" s="4">
        <f t="shared" ca="1" si="278"/>
        <v>181.92958431001034</v>
      </c>
      <c r="N364" s="4">
        <f t="shared" ca="1" si="278"/>
        <v>214.63741660957155</v>
      </c>
      <c r="O364" s="4">
        <f t="shared" ca="1" si="278"/>
        <v>245.23676029701343</v>
      </c>
      <c r="P364" s="4">
        <f t="shared" ca="1" si="278"/>
        <v>273.32206925384276</v>
      </c>
      <c r="Q364" s="4">
        <f t="shared" ca="1" si="278"/>
        <v>298.49409203967525</v>
      </c>
      <c r="R364" s="4">
        <f t="shared" ca="1" si="278"/>
        <v>320.3790519162323</v>
      </c>
      <c r="S364" s="4">
        <f t="shared" ca="1" si="278"/>
        <v>338.65005686475115</v>
      </c>
      <c r="T364" s="4">
        <f t="shared" ca="1" si="278"/>
        <v>353.04742542461355</v>
      </c>
      <c r="U364" s="4">
        <f t="shared" ca="1" si="278"/>
        <v>363.39415062482118</v>
      </c>
      <c r="V364" s="4">
        <f t="shared" ca="1" si="278"/>
        <v>369.60322637397115</v>
      </c>
      <c r="W364" s="4">
        <f t="shared" ca="1" si="278"/>
        <v>371.67506150945616</v>
      </c>
      <c r="X364" s="4">
        <f t="shared" ca="1" si="278"/>
        <v>369.68534483597995</v>
      </c>
      <c r="Y364" s="4">
        <f t="shared" ca="1" si="278"/>
        <v>363.7658846970167</v>
      </c>
      <c r="Z364" s="4">
        <f t="shared" ca="1" si="278"/>
        <v>354.08249891926772</v>
      </c>
      <c r="AA364" s="4">
        <f t="shared" ca="1" si="278"/>
        <v>340.81456842443413</v>
      </c>
      <c r="AB364" s="3">
        <f t="shared" ca="1" si="278"/>
        <v>324.14034492097443</v>
      </c>
    </row>
    <row r="365" spans="5:28" x14ac:dyDescent="0.25">
      <c r="E365" s="2">
        <f t="shared" si="271"/>
        <v>3.3000000000000016</v>
      </c>
      <c r="H365" s="3">
        <f t="shared" ref="H365:AB365" ca="1" si="279">-D*(H264-H266)/(2*delta)</f>
        <v>-3.9593353798635718E-5</v>
      </c>
      <c r="I365" s="4">
        <f t="shared" ca="1" si="279"/>
        <v>39.769839349313351</v>
      </c>
      <c r="J365" s="4">
        <f t="shared" ca="1" si="279"/>
        <v>79.242409972022074</v>
      </c>
      <c r="K365" s="4">
        <f t="shared" ca="1" si="279"/>
        <v>118.1071422181723</v>
      </c>
      <c r="L365" s="4">
        <f t="shared" ca="1" si="279"/>
        <v>156.0289942278666</v>
      </c>
      <c r="M365" s="4">
        <f t="shared" ca="1" si="279"/>
        <v>192.63990766982332</v>
      </c>
      <c r="N365" s="4">
        <f t="shared" ca="1" si="279"/>
        <v>227.53503142002447</v>
      </c>
      <c r="O365" s="4">
        <f t="shared" ca="1" si="279"/>
        <v>260.27540465611781</v>
      </c>
      <c r="P365" s="4">
        <f t="shared" ca="1" si="279"/>
        <v>290.39852850658332</v>
      </c>
      <c r="Q365" s="4">
        <f t="shared" ca="1" si="279"/>
        <v>317.437400565546</v>
      </c>
      <c r="R365" s="4">
        <f t="shared" ca="1" si="279"/>
        <v>340.94705598121482</v>
      </c>
      <c r="S365" s="4">
        <f t="shared" ca="1" si="279"/>
        <v>360.53560203143149</v>
      </c>
      <c r="T365" s="4">
        <f t="shared" ca="1" si="279"/>
        <v>375.89470553795951</v>
      </c>
      <c r="U365" s="4">
        <f t="shared" ca="1" si="279"/>
        <v>386.82337294300146</v>
      </c>
      <c r="V365" s="4">
        <f t="shared" ca="1" si="279"/>
        <v>393.23943445969468</v>
      </c>
      <c r="W365" s="4">
        <f t="shared" ca="1" si="279"/>
        <v>395.17554890490834</v>
      </c>
      <c r="X365" s="4">
        <f t="shared" ca="1" si="279"/>
        <v>392.76013264948932</v>
      </c>
      <c r="Y365" s="4">
        <f t="shared" ca="1" si="279"/>
        <v>386.18726060532799</v>
      </c>
      <c r="Z365" s="4">
        <f t="shared" ca="1" si="279"/>
        <v>375.68214764548804</v>
      </c>
      <c r="AA365" s="4">
        <f t="shared" ca="1" si="279"/>
        <v>361.46958422531651</v>
      </c>
      <c r="AB365" s="3">
        <f t="shared" ca="1" si="279"/>
        <v>343.75169853764658</v>
      </c>
    </row>
    <row r="366" spans="5:28" x14ac:dyDescent="0.25">
      <c r="E366" s="2">
        <f t="shared" si="271"/>
        <v>3.2000000000000015</v>
      </c>
      <c r="H366" s="3">
        <f t="shared" ref="H366:AB366" ca="1" si="280">-D*(H265-H267)/(2*delta)</f>
        <v>-3.7545224059901059E-5</v>
      </c>
      <c r="I366" s="4">
        <f t="shared" ca="1" si="280"/>
        <v>42.163512152460427</v>
      </c>
      <c r="J366" s="4">
        <f t="shared" ca="1" si="280"/>
        <v>84.059020753903297</v>
      </c>
      <c r="K366" s="4">
        <f t="shared" ca="1" si="280"/>
        <v>125.39920378430421</v>
      </c>
      <c r="L366" s="4">
        <f t="shared" ca="1" si="280"/>
        <v>165.86032400583963</v>
      </c>
      <c r="M366" s="4">
        <f t="shared" ca="1" si="280"/>
        <v>205.06819890147449</v>
      </c>
      <c r="N366" s="4">
        <f t="shared" ca="1" si="280"/>
        <v>242.58995452815185</v>
      </c>
      <c r="O366" s="4">
        <f t="shared" ca="1" si="280"/>
        <v>277.93423189519751</v>
      </c>
      <c r="P366" s="4">
        <f t="shared" ca="1" si="280"/>
        <v>310.56254463214265</v>
      </c>
      <c r="Q366" s="4">
        <f t="shared" ca="1" si="280"/>
        <v>339.91359819630395</v>
      </c>
      <c r="R366" s="4">
        <f t="shared" ca="1" si="280"/>
        <v>365.44020512280082</v>
      </c>
      <c r="S366" s="4">
        <f t="shared" ca="1" si="280"/>
        <v>386.65498484108269</v>
      </c>
      <c r="T366" s="4">
        <f t="shared" ca="1" si="280"/>
        <v>403.17717286327945</v>
      </c>
      <c r="U366" s="4">
        <f t="shared" ca="1" si="280"/>
        <v>414.77030561258294</v>
      </c>
      <c r="V366" s="4">
        <f t="shared" ca="1" si="280"/>
        <v>421.36104576125337</v>
      </c>
      <c r="W366" s="4">
        <f t="shared" ca="1" si="280"/>
        <v>423.03337445356703</v>
      </c>
      <c r="X366" s="4">
        <f t="shared" ca="1" si="280"/>
        <v>419.9985362652294</v>
      </c>
      <c r="Y366" s="4">
        <f t="shared" ca="1" si="280"/>
        <v>412.54739327496202</v>
      </c>
      <c r="Z366" s="4">
        <f t="shared" ca="1" si="280"/>
        <v>400.99612421467191</v>
      </c>
      <c r="AA366" s="4">
        <f t="shared" ca="1" si="280"/>
        <v>385.63716983389764</v>
      </c>
      <c r="AB366" s="3">
        <f t="shared" ca="1" si="280"/>
        <v>366.70524404652554</v>
      </c>
    </row>
    <row r="367" spans="5:28" x14ac:dyDescent="0.25">
      <c r="E367" s="2">
        <f t="shared" si="271"/>
        <v>3.1000000000000014</v>
      </c>
      <c r="H367" s="3">
        <f t="shared" ref="H367:AB367" ca="1" si="281">-D*(H266-H268)/(2*delta)</f>
        <v>-3.5265544833758298E-5</v>
      </c>
      <c r="I367" s="4">
        <f t="shared" ca="1" si="281"/>
        <v>44.825822275848481</v>
      </c>
      <c r="J367" s="4">
        <f t="shared" ca="1" si="281"/>
        <v>89.43192307210974</v>
      </c>
      <c r="K367" s="4">
        <f t="shared" ca="1" si="281"/>
        <v>133.57166207685344</v>
      </c>
      <c r="L367" s="4">
        <f t="shared" ca="1" si="281"/>
        <v>176.94659859538078</v>
      </c>
      <c r="M367" s="4">
        <f t="shared" ca="1" si="281"/>
        <v>219.18467154692701</v>
      </c>
      <c r="N367" s="4">
        <f t="shared" ca="1" si="281"/>
        <v>259.82477735219572</v>
      </c>
      <c r="O367" s="4">
        <f t="shared" ca="1" si="281"/>
        <v>298.31180085011704</v>
      </c>
      <c r="P367" s="4">
        <f t="shared" ca="1" si="281"/>
        <v>334.00694874457122</v>
      </c>
      <c r="Q367" s="4">
        <f t="shared" ca="1" si="281"/>
        <v>366.21771902792818</v>
      </c>
      <c r="R367" s="4">
        <f t="shared" ca="1" si="281"/>
        <v>394.24900187762159</v>
      </c>
      <c r="S367" s="4">
        <f t="shared" ca="1" si="281"/>
        <v>417.47111994516007</v>
      </c>
      <c r="T367" s="4">
        <f t="shared" ca="1" si="281"/>
        <v>435.39319305580113</v>
      </c>
      <c r="U367" s="4">
        <f t="shared" ca="1" si="281"/>
        <v>447.72446296064334</v>
      </c>
      <c r="V367" s="4">
        <f t="shared" ca="1" si="281"/>
        <v>454.40623350090107</v>
      </c>
      <c r="W367" s="4">
        <f t="shared" ca="1" si="281"/>
        <v>455.6038644133929</v>
      </c>
      <c r="X367" s="4">
        <f t="shared" ca="1" si="281"/>
        <v>451.65907595169386</v>
      </c>
      <c r="Y367" s="4">
        <f t="shared" ca="1" si="281"/>
        <v>443.01382011505649</v>
      </c>
      <c r="Z367" s="4">
        <f t="shared" ca="1" si="281"/>
        <v>430.12429642980533</v>
      </c>
      <c r="AA367" s="4">
        <f t="shared" ca="1" si="281"/>
        <v>413.38458755193585</v>
      </c>
      <c r="AB367" s="3">
        <f t="shared" ca="1" si="281"/>
        <v>393.07474476815844</v>
      </c>
    </row>
    <row r="368" spans="5:28" x14ac:dyDescent="0.25">
      <c r="E368" s="2">
        <f t="shared" si="271"/>
        <v>3.0000000000000013</v>
      </c>
      <c r="H368" s="3">
        <f t="shared" ref="H368:AB368" ca="1" si="282">-D*(H267-H269)/(2*delta)</f>
        <v>-3.27687930535127E-5</v>
      </c>
      <c r="I368" s="4">
        <f t="shared" ca="1" si="282"/>
        <v>47.708448451369506</v>
      </c>
      <c r="J368" s="4">
        <f t="shared" ca="1" si="282"/>
        <v>95.272093067851969</v>
      </c>
      <c r="K368" s="4">
        <f t="shared" ca="1" si="282"/>
        <v>142.51017364249063</v>
      </c>
      <c r="L368" s="4">
        <f t="shared" ca="1" si="282"/>
        <v>189.17133020722423</v>
      </c>
      <c r="M368" s="4">
        <f t="shared" ca="1" si="282"/>
        <v>234.90104473455776</v>
      </c>
      <c r="N368" s="4">
        <f t="shared" ca="1" si="282"/>
        <v>279.21495268513343</v>
      </c>
      <c r="O368" s="4">
        <f t="shared" ca="1" si="282"/>
        <v>321.48384896664243</v>
      </c>
      <c r="P368" s="4">
        <f t="shared" ca="1" si="282"/>
        <v>360.93866372885924</v>
      </c>
      <c r="Q368" s="4">
        <f t="shared" ca="1" si="282"/>
        <v>396.70458652574655</v>
      </c>
      <c r="R368" s="5">
        <f t="shared" ca="1" si="282"/>
        <v>427.87054496323253</v>
      </c>
      <c r="S368" s="5">
        <f t="shared" ca="1" si="282"/>
        <v>453.59120045420389</v>
      </c>
      <c r="T368" s="5">
        <f t="shared" ca="1" si="282"/>
        <v>473.20423280417106</v>
      </c>
      <c r="U368" s="5">
        <f t="shared" ca="1" si="282"/>
        <v>486.33264957239078</v>
      </c>
      <c r="V368" s="5">
        <f t="shared" ca="1" si="282"/>
        <v>492.94040284276275</v>
      </c>
      <c r="W368" s="5">
        <f t="shared" ca="1" si="282"/>
        <v>493.32192746673064</v>
      </c>
      <c r="X368" s="4">
        <f t="shared" ca="1" si="282"/>
        <v>488.02554959094323</v>
      </c>
      <c r="Y368" s="4">
        <f t="shared" ca="1" si="282"/>
        <v>477.73029713568673</v>
      </c>
      <c r="Z368" s="4">
        <f t="shared" ca="1" si="282"/>
        <v>463.10875697265232</v>
      </c>
      <c r="AA368" s="4">
        <f t="shared" ca="1" si="282"/>
        <v>444.70857074370213</v>
      </c>
      <c r="AB368" s="3">
        <f t="shared" ca="1" si="282"/>
        <v>422.87417973737411</v>
      </c>
    </row>
    <row r="369" spans="5:28" x14ac:dyDescent="0.25">
      <c r="E369" s="2">
        <f t="shared" si="271"/>
        <v>2.9000000000000012</v>
      </c>
      <c r="H369" s="3">
        <f t="shared" ref="H369:AB369" ca="1" si="283">-D*(H268-H270)/(2*delta)</f>
        <v>-3.0070752852354444E-5</v>
      </c>
      <c r="I369" s="4">
        <f t="shared" ca="1" si="283"/>
        <v>50.736430179261419</v>
      </c>
      <c r="J369" s="4">
        <f t="shared" ca="1" si="283"/>
        <v>101.43866733729706</v>
      </c>
      <c r="K369" s="4">
        <f t="shared" ca="1" si="283"/>
        <v>152.02676917938592</v>
      </c>
      <c r="L369" s="4">
        <f t="shared" ca="1" si="283"/>
        <v>202.32898147423421</v>
      </c>
      <c r="M369" s="4">
        <f t="shared" ca="1" si="283"/>
        <v>252.03501725082512</v>
      </c>
      <c r="N369" s="4">
        <f t="shared" ca="1" si="283"/>
        <v>300.65224466682815</v>
      </c>
      <c r="O369" s="4">
        <f t="shared" ca="1" si="283"/>
        <v>347.47239261208779</v>
      </c>
      <c r="P369" s="4">
        <f t="shared" ca="1" si="283"/>
        <v>391.56199033603417</v>
      </c>
      <c r="Q369" s="4">
        <f t="shared" ca="1" si="283"/>
        <v>431.79444023164592</v>
      </c>
      <c r="R369" s="5">
        <f t="shared" ca="1" si="283"/>
        <v>466.94071164976589</v>
      </c>
      <c r="S369" s="5">
        <f t="shared" ca="1" si="283"/>
        <v>495.82252039674484</v>
      </c>
      <c r="T369" s="5">
        <f t="shared" ca="1" si="283"/>
        <v>517.50379729506892</v>
      </c>
      <c r="U369" s="5">
        <f t="shared" ca="1" si="283"/>
        <v>531.46569953326696</v>
      </c>
      <c r="V369" s="5">
        <f t="shared" ca="1" si="283"/>
        <v>537.70529000609008</v>
      </c>
      <c r="W369" s="5">
        <f t="shared" ca="1" si="283"/>
        <v>536.7226712119093</v>
      </c>
      <c r="X369" s="4">
        <f t="shared" ca="1" si="283"/>
        <v>529.39596605606107</v>
      </c>
      <c r="Y369" s="4">
        <f t="shared" ca="1" si="283"/>
        <v>516.77842284247458</v>
      </c>
      <c r="Z369" s="4">
        <f t="shared" ca="1" si="283"/>
        <v>499.87752196922122</v>
      </c>
      <c r="AA369" s="4">
        <f t="shared" ca="1" si="283"/>
        <v>479.47272157824318</v>
      </c>
      <c r="AB369" s="3">
        <f t="shared" ca="1" si="283"/>
        <v>456.00116410755902</v>
      </c>
    </row>
    <row r="370" spans="5:28" x14ac:dyDescent="0.25">
      <c r="E370" s="2">
        <f t="shared" si="271"/>
        <v>2.8000000000000012</v>
      </c>
      <c r="H370" s="3">
        <f t="shared" ref="H370:AB370" ca="1" si="284">-D*(H269-H271)/(2*delta)</f>
        <v>-2.7188405611966467E-5</v>
      </c>
      <c r="I370" s="4">
        <f t="shared" ca="1" si="284"/>
        <v>53.799110402424986</v>
      </c>
      <c r="J370" s="4">
        <f t="shared" ca="1" si="284"/>
        <v>107.72014634182797</v>
      </c>
      <c r="K370" s="4">
        <f t="shared" ca="1" si="284"/>
        <v>161.83031627486471</v>
      </c>
      <c r="L370" s="4">
        <f t="shared" ca="1" si="284"/>
        <v>216.08416196909849</v>
      </c>
      <c r="M370" s="4">
        <f t="shared" ca="1" si="284"/>
        <v>270.25943922573748</v>
      </c>
      <c r="N370" s="4">
        <f t="shared" ca="1" si="284"/>
        <v>323.88854295046656</v>
      </c>
      <c r="O370" s="4">
        <f t="shared" ca="1" si="284"/>
        <v>376.19369611923167</v>
      </c>
      <c r="P370" s="4">
        <f t="shared" ca="1" si="284"/>
        <v>426.0449541239696</v>
      </c>
      <c r="Q370" s="4">
        <f t="shared" ca="1" si="284"/>
        <v>471.973238325154</v>
      </c>
      <c r="R370" s="5">
        <f t="shared" ca="1" si="284"/>
        <v>512.27838037693175</v>
      </c>
      <c r="S370" s="5">
        <f t="shared" ca="1" si="284"/>
        <v>545.25768212086609</v>
      </c>
      <c r="T370" s="5">
        <f t="shared" ca="1" si="284"/>
        <v>569.52631441255994</v>
      </c>
      <c r="U370" s="5">
        <f t="shared" ca="1" si="284"/>
        <v>584.32490526939102</v>
      </c>
      <c r="V370" s="5">
        <f t="shared" ca="1" si="284"/>
        <v>589.6964952413033</v>
      </c>
      <c r="W370" s="5">
        <f t="shared" ca="1" si="284"/>
        <v>586.47187463951707</v>
      </c>
      <c r="X370" s="4">
        <f t="shared" ca="1" si="284"/>
        <v>576.06185936241047</v>
      </c>
      <c r="Y370" s="4">
        <f t="shared" ca="1" si="284"/>
        <v>560.11481290894392</v>
      </c>
      <c r="Z370" s="4">
        <f t="shared" ca="1" si="284"/>
        <v>540.15536537769742</v>
      </c>
      <c r="AA370" s="4">
        <f t="shared" ca="1" si="284"/>
        <v>517.30908703392925</v>
      </c>
      <c r="AB370" s="3">
        <f t="shared" ca="1" si="284"/>
        <v>492.14608274881942</v>
      </c>
    </row>
    <row r="371" spans="5:28" x14ac:dyDescent="0.25">
      <c r="E371" s="2">
        <f t="shared" si="271"/>
        <v>2.7000000000000011</v>
      </c>
      <c r="H371" s="3">
        <f t="shared" ref="H371:AB371" ca="1" si="285">-D*(H270-H272)/(2*delta)</f>
        <v>-2.4139828155679833E-5</v>
      </c>
      <c r="I371" s="4">
        <f t="shared" ca="1" si="285"/>
        <v>56.740321222417172</v>
      </c>
      <c r="J371" s="4">
        <f t="shared" ca="1" si="285"/>
        <v>113.81318524361404</v>
      </c>
      <c r="K371" s="4">
        <f t="shared" ca="1" si="285"/>
        <v>171.49114516471215</v>
      </c>
      <c r="L371" s="4">
        <f t="shared" ca="1" si="285"/>
        <v>229.91913041620055</v>
      </c>
      <c r="M371" s="4">
        <f t="shared" ca="1" si="285"/>
        <v>289.03151412316674</v>
      </c>
      <c r="N371" s="4">
        <f t="shared" ca="1" si="285"/>
        <v>348.45052866696352</v>
      </c>
      <c r="O371" s="4">
        <f t="shared" ca="1" si="285"/>
        <v>407.37088652048482</v>
      </c>
      <c r="P371" s="4">
        <f t="shared" ca="1" si="285"/>
        <v>464.45313551290303</v>
      </c>
      <c r="Q371" s="4">
        <f t="shared" ca="1" si="285"/>
        <v>517.77767158984159</v>
      </c>
      <c r="R371" s="5">
        <f t="shared" ca="1" si="285"/>
        <v>564.94462887104316</v>
      </c>
      <c r="S371" s="5">
        <f t="shared" ca="1" si="285"/>
        <v>603.40649659001008</v>
      </c>
      <c r="T371" s="5">
        <f t="shared" ca="1" si="285"/>
        <v>631.02209781403212</v>
      </c>
      <c r="U371" s="5">
        <f t="shared" ca="1" si="285"/>
        <v>646.61457650226146</v>
      </c>
      <c r="V371" s="5">
        <f t="shared" ca="1" si="285"/>
        <v>650.28761430015322</v>
      </c>
      <c r="W371" s="5">
        <f t="shared" ca="1" si="285"/>
        <v>643.41041439462811</v>
      </c>
      <c r="X371" s="4">
        <f t="shared" ca="1" si="285"/>
        <v>628.26896474241005</v>
      </c>
      <c r="Y371" s="4">
        <f t="shared" ca="1" si="285"/>
        <v>607.46802640465319</v>
      </c>
      <c r="Z371" s="4">
        <f t="shared" ca="1" si="285"/>
        <v>583.32470725402436</v>
      </c>
      <c r="AA371" s="4">
        <f t="shared" ca="1" si="285"/>
        <v>557.46709719558714</v>
      </c>
      <c r="AB371" s="3">
        <f t="shared" ca="1" si="285"/>
        <v>530.6492134356904</v>
      </c>
    </row>
    <row r="372" spans="5:28" x14ac:dyDescent="0.25">
      <c r="E372" s="2">
        <f t="shared" si="271"/>
        <v>2.600000000000001</v>
      </c>
      <c r="H372" s="3">
        <f t="shared" ref="H372:AB372" ca="1" si="286">-D*(H271-H273)/(2*delta)</f>
        <v>-2.0944054291165054E-5</v>
      </c>
      <c r="I372" s="4">
        <f t="shared" ca="1" si="286"/>
        <v>59.349393248894771</v>
      </c>
      <c r="J372" s="4">
        <f t="shared" ca="1" si="286"/>
        <v>119.30174236829795</v>
      </c>
      <c r="K372" s="4">
        <f t="shared" ca="1" si="286"/>
        <v>180.40279597095966</v>
      </c>
      <c r="L372" s="4">
        <f t="shared" ca="1" si="286"/>
        <v>243.07077927232109</v>
      </c>
      <c r="M372" s="4">
        <f t="shared" ca="1" si="286"/>
        <v>307.49826682673432</v>
      </c>
      <c r="N372" s="4">
        <f t="shared" ca="1" si="286"/>
        <v>373.51270738078642</v>
      </c>
      <c r="O372" s="4">
        <f t="shared" ca="1" si="286"/>
        <v>440.3879474293243</v>
      </c>
      <c r="P372" s="4">
        <f t="shared" ca="1" si="286"/>
        <v>506.62101434370925</v>
      </c>
      <c r="Q372" s="4">
        <f t="shared" ca="1" si="286"/>
        <v>569.74188854661406</v>
      </c>
      <c r="R372" s="5">
        <f t="shared" ca="1" si="286"/>
        <v>626.31838973117397</v>
      </c>
      <c r="S372" s="5">
        <f t="shared" ca="1" si="286"/>
        <v>672.40421596920794</v>
      </c>
      <c r="T372" s="5">
        <f t="shared" ca="1" si="286"/>
        <v>704.54385576387676</v>
      </c>
      <c r="U372" s="5">
        <f t="shared" ca="1" si="286"/>
        <v>720.82675265925786</v>
      </c>
      <c r="V372" s="5">
        <f t="shared" ca="1" si="286"/>
        <v>721.43224612729944</v>
      </c>
      <c r="W372" s="5">
        <f t="shared" ca="1" si="286"/>
        <v>708.61668977530212</v>
      </c>
      <c r="X372" s="4">
        <f t="shared" ca="1" si="286"/>
        <v>686.13925625479908</v>
      </c>
      <c r="Y372" s="4">
        <f t="shared" ca="1" si="286"/>
        <v>658.16753167597994</v>
      </c>
      <c r="Z372" s="4">
        <f t="shared" ca="1" si="286"/>
        <v>628.21246792161287</v>
      </c>
      <c r="AA372" s="4">
        <f t="shared" ca="1" si="286"/>
        <v>598.5897309919751</v>
      </c>
      <c r="AB372" s="3">
        <f t="shared" ca="1" si="286"/>
        <v>570.28318576705431</v>
      </c>
    </row>
    <row r="373" spans="5:28" x14ac:dyDescent="0.25">
      <c r="E373" s="2">
        <f t="shared" si="271"/>
        <v>2.5000000000000009</v>
      </c>
      <c r="H373" s="3">
        <f t="shared" ref="H373:AB373" ca="1" si="287">-D*(H272-H274)/(2*delta)</f>
        <v>-1.7621046304515597E-5</v>
      </c>
      <c r="I373" s="4">
        <f t="shared" ca="1" si="287"/>
        <v>61.355858819116314</v>
      </c>
      <c r="J373" s="4">
        <f t="shared" ca="1" si="287"/>
        <v>123.64212562165488</v>
      </c>
      <c r="K373" s="4">
        <f t="shared" ca="1" si="287"/>
        <v>187.7482488546388</v>
      </c>
      <c r="L373" s="4">
        <f t="shared" ca="1" si="287"/>
        <v>254.46385551370227</v>
      </c>
      <c r="M373" s="4">
        <f t="shared" ca="1" si="287"/>
        <v>324.37919644994003</v>
      </c>
      <c r="N373" s="4">
        <f t="shared" ca="1" si="287"/>
        <v>397.71541297540097</v>
      </c>
      <c r="O373" s="4">
        <f t="shared" ca="1" si="287"/>
        <v>474.04870230212066</v>
      </c>
      <c r="P373" s="4">
        <f t="shared" ca="1" si="287"/>
        <v>551.90279904713952</v>
      </c>
      <c r="Q373" s="4">
        <f t="shared" ca="1" si="287"/>
        <v>628.25238185610817</v>
      </c>
      <c r="R373" s="5">
        <f t="shared" ca="1" si="287"/>
        <v>698.18491692186092</v>
      </c>
      <c r="S373" s="5">
        <f t="shared" ca="1" si="287"/>
        <v>755.35039924626574</v>
      </c>
      <c r="T373" s="5">
        <f t="shared" ca="1" si="287"/>
        <v>793.9248184068922</v>
      </c>
      <c r="U373" s="5">
        <f t="shared" ca="1" si="287"/>
        <v>810.71897701535795</v>
      </c>
      <c r="V373" s="5">
        <f t="shared" ca="1" si="287"/>
        <v>806.00075468674174</v>
      </c>
      <c r="W373" s="5">
        <f t="shared" ca="1" si="287"/>
        <v>783.48785117524528</v>
      </c>
      <c r="X373" s="4">
        <f t="shared" ca="1" si="287"/>
        <v>749.50703027363636</v>
      </c>
      <c r="Y373" s="4">
        <f t="shared" ca="1" si="287"/>
        <v>710.85375185512328</v>
      </c>
      <c r="Z373" s="4">
        <f t="shared" ca="1" si="287"/>
        <v>672.77146470770185</v>
      </c>
      <c r="AA373" s="4">
        <f t="shared" ca="1" si="287"/>
        <v>638.399927652835</v>
      </c>
      <c r="AB373" s="3">
        <f t="shared" ca="1" si="287"/>
        <v>608.93886980605055</v>
      </c>
    </row>
    <row r="374" spans="5:28" x14ac:dyDescent="0.25">
      <c r="E374" s="2">
        <f t="shared" si="271"/>
        <v>2.4000000000000008</v>
      </c>
      <c r="H374" s="3">
        <f t="shared" ref="H374:AB374" ca="1" si="288">-D*(H273-H275)/(2*delta)</f>
        <v>-1.4191466912915922E-5</v>
      </c>
      <c r="I374" s="4">
        <f t="shared" ca="1" si="288"/>
        <v>62.432209107207278</v>
      </c>
      <c r="J374" s="4">
        <f t="shared" ca="1" si="288"/>
        <v>126.16309632299568</v>
      </c>
      <c r="K374" s="4">
        <f t="shared" ca="1" si="288"/>
        <v>192.48483017476249</v>
      </c>
      <c r="L374" s="4">
        <f t="shared" ca="1" si="288"/>
        <v>262.65797623674354</v>
      </c>
      <c r="M374" s="4">
        <f t="shared" ca="1" si="288"/>
        <v>337.84019481841113</v>
      </c>
      <c r="N374" s="4">
        <f t="shared" ca="1" si="288"/>
        <v>418.92215415893236</v>
      </c>
      <c r="O374" s="4">
        <f t="shared" ca="1" si="288"/>
        <v>506.18992053147917</v>
      </c>
      <c r="P374" s="4">
        <f t="shared" ca="1" si="288"/>
        <v>598.69052908056142</v>
      </c>
      <c r="Q374" s="4">
        <f t="shared" ca="1" si="288"/>
        <v>693.18151311622444</v>
      </c>
      <c r="R374" s="5">
        <f t="shared" ca="1" si="288"/>
        <v>782.82024411528323</v>
      </c>
      <c r="S374" s="5">
        <f t="shared" ca="1" si="288"/>
        <v>856.889548344893</v>
      </c>
      <c r="T374" s="5">
        <f t="shared" ca="1" si="288"/>
        <v>905.08809822412707</v>
      </c>
      <c r="U374" s="5">
        <f t="shared" ca="1" si="288"/>
        <v>922.12579175958069</v>
      </c>
      <c r="V374" s="5">
        <f t="shared" ca="1" si="288"/>
        <v>908.36630600461558</v>
      </c>
      <c r="W374" s="5">
        <f t="shared" ca="1" si="288"/>
        <v>869.82944351081255</v>
      </c>
      <c r="X374" s="4">
        <f t="shared" ca="1" si="288"/>
        <v>817.54992787607284</v>
      </c>
      <c r="Y374" s="4">
        <f t="shared" ca="1" si="288"/>
        <v>762.97180075738788</v>
      </c>
      <c r="Z374" s="4">
        <f t="shared" ca="1" si="288"/>
        <v>713.62268774834911</v>
      </c>
      <c r="AA374" s="4">
        <f t="shared" ca="1" si="288"/>
        <v>673.30278149973049</v>
      </c>
      <c r="AB374" s="3">
        <f t="shared" ca="1" si="288"/>
        <v>643.21335711126642</v>
      </c>
    </row>
    <row r="375" spans="5:28" x14ac:dyDescent="0.25">
      <c r="E375" s="2">
        <f t="shared" si="271"/>
        <v>2.3000000000000007</v>
      </c>
      <c r="H375" s="3">
        <f t="shared" ref="H375:AB375" ca="1" si="289">-D*(H274-H276)/(2*delta)</f>
        <v>-1.0676614108260935E-5</v>
      </c>
      <c r="I375" s="4">
        <f t="shared" ca="1" si="289"/>
        <v>62.210115506150089</v>
      </c>
      <c r="J375" s="4">
        <f t="shared" ca="1" si="289"/>
        <v>126.09357485249042</v>
      </c>
      <c r="K375" s="4">
        <f t="shared" ca="1" si="289"/>
        <v>193.37048753394444</v>
      </c>
      <c r="L375" s="4">
        <f t="shared" ca="1" si="289"/>
        <v>265.84364561392539</v>
      </c>
      <c r="M375" s="4">
        <f t="shared" ca="1" si="289"/>
        <v>345.4022054701602</v>
      </c>
      <c r="N375" s="4">
        <f t="shared" ca="1" si="289"/>
        <v>433.9439720174355</v>
      </c>
      <c r="O375" s="4">
        <f t="shared" ca="1" si="289"/>
        <v>533.09930962580415</v>
      </c>
      <c r="P375" s="4">
        <f t="shared" ca="1" si="289"/>
        <v>643.48902460163288</v>
      </c>
      <c r="Q375" s="4">
        <f t="shared" ca="1" si="289"/>
        <v>762.96416488542047</v>
      </c>
      <c r="R375" s="5">
        <f t="shared" ca="1" si="289"/>
        <v>883.02639065009907</v>
      </c>
      <c r="S375" s="5">
        <f t="shared" ca="1" si="289"/>
        <v>984.3009681616611</v>
      </c>
      <c r="T375" s="5">
        <f t="shared" ca="1" si="289"/>
        <v>1047.4138733967623</v>
      </c>
      <c r="U375" s="5">
        <f t="shared" ca="1" si="289"/>
        <v>1064.3315465669582</v>
      </c>
      <c r="V375" s="5">
        <f t="shared" ca="1" si="289"/>
        <v>1035.5111160241499</v>
      </c>
      <c r="W375" s="5">
        <f t="shared" ca="1" si="289"/>
        <v>969.91569203154347</v>
      </c>
      <c r="X375" s="4">
        <f t="shared" ca="1" si="289"/>
        <v>887.89356152333175</v>
      </c>
      <c r="Y375" s="4">
        <f t="shared" ca="1" si="289"/>
        <v>809.86308274040391</v>
      </c>
      <c r="Z375" s="4">
        <f t="shared" ca="1" si="289"/>
        <v>745.44707579015505</v>
      </c>
      <c r="AA375" s="4">
        <f t="shared" ca="1" si="289"/>
        <v>697.97765274970425</v>
      </c>
      <c r="AB375" s="3">
        <f t="shared" ca="1" si="289"/>
        <v>667.97022829271623</v>
      </c>
    </row>
    <row r="376" spans="5:28" x14ac:dyDescent="0.25">
      <c r="E376" s="2">
        <f t="shared" si="271"/>
        <v>2.2000000000000006</v>
      </c>
      <c r="H376" s="3">
        <f t="shared" ref="H376:AB376" ca="1" si="290">-D*(H275-H277)/(2*delta)</f>
        <v>-7.0982908443948644E-6</v>
      </c>
      <c r="I376" s="4">
        <f t="shared" ca="1" si="290"/>
        <v>60.314852396565172</v>
      </c>
      <c r="J376" s="4">
        <f t="shared" ca="1" si="290"/>
        <v>122.63086296866746</v>
      </c>
      <c r="K376" s="4">
        <f t="shared" ca="1" si="290"/>
        <v>189.06026120275294</v>
      </c>
      <c r="L376" s="4">
        <f t="shared" ca="1" si="290"/>
        <v>261.94437307125571</v>
      </c>
      <c r="M376" s="4">
        <f t="shared" ca="1" si="290"/>
        <v>343.98156666465439</v>
      </c>
      <c r="N376" s="4">
        <f t="shared" ca="1" si="290"/>
        <v>438.35287253272128</v>
      </c>
      <c r="O376" s="4">
        <f t="shared" ca="1" si="290"/>
        <v>548.77507058145943</v>
      </c>
      <c r="P376" s="4">
        <f t="shared" ca="1" si="290"/>
        <v>679.20293851924328</v>
      </c>
      <c r="Q376" s="4">
        <f t="shared" ca="1" si="290"/>
        <v>832.16066830517661</v>
      </c>
      <c r="R376" s="5">
        <f t="shared" ca="1" si="290"/>
        <v>1002.0212149648786</v>
      </c>
      <c r="S376" s="5">
        <f t="shared" ca="1" si="290"/>
        <v>1149.8751812177707</v>
      </c>
      <c r="T376" s="5">
        <f t="shared" ca="1" si="290"/>
        <v>1235.9360922012997</v>
      </c>
      <c r="U376" s="5">
        <f t="shared" ca="1" si="290"/>
        <v>1252.2767065925568</v>
      </c>
      <c r="V376" s="5">
        <f t="shared" ca="1" si="290"/>
        <v>1199.4323105425913</v>
      </c>
      <c r="W376" s="5">
        <f t="shared" ca="1" si="290"/>
        <v>1086.4301275746145</v>
      </c>
      <c r="X376" s="4">
        <f t="shared" ca="1" si="290"/>
        <v>954.24711373232151</v>
      </c>
      <c r="Y376" s="4">
        <f t="shared" ca="1" si="290"/>
        <v>843.1415537769218</v>
      </c>
      <c r="Z376" s="4">
        <f t="shared" ca="1" si="290"/>
        <v>760.32663285398007</v>
      </c>
      <c r="AA376" s="4">
        <f t="shared" ca="1" si="290"/>
        <v>705.19237252089522</v>
      </c>
      <c r="AB376" s="3">
        <f t="shared" ca="1" si="290"/>
        <v>676.11642616464712</v>
      </c>
    </row>
    <row r="377" spans="5:28" x14ac:dyDescent="0.25">
      <c r="E377" s="2">
        <f t="shared" si="271"/>
        <v>2.1000000000000005</v>
      </c>
      <c r="H377" s="3">
        <f t="shared" ref="H377:AB377" ca="1" si="291">-D*(H276-H278)/(2*delta)</f>
        <v>-3.4785932788744476E-6</v>
      </c>
      <c r="I377" s="4">
        <f t="shared" ca="1" si="291"/>
        <v>56.418544519837454</v>
      </c>
      <c r="J377" s="4">
        <f t="shared" ca="1" si="291"/>
        <v>115.0549332415972</v>
      </c>
      <c r="K377" s="4">
        <f t="shared" ca="1" si="291"/>
        <v>178.29555425851476</v>
      </c>
      <c r="L377" s="4">
        <f t="shared" ca="1" si="291"/>
        <v>248.89231461913104</v>
      </c>
      <c r="M377" s="4">
        <f t="shared" ca="1" si="291"/>
        <v>330.22717370127907</v>
      </c>
      <c r="N377" s="4">
        <f t="shared" ca="1" si="291"/>
        <v>426.71130071915485</v>
      </c>
      <c r="O377" s="4">
        <f t="shared" ca="1" si="291"/>
        <v>544.44564261735366</v>
      </c>
      <c r="P377" s="4">
        <f t="shared" ca="1" si="291"/>
        <v>692.38753201841917</v>
      </c>
      <c r="Q377" s="4">
        <f t="shared" ca="1" si="291"/>
        <v>884.4549560748892</v>
      </c>
      <c r="R377" s="5">
        <f t="shared" ca="1" si="291"/>
        <v>1143.0232800575907</v>
      </c>
      <c r="S377" s="5">
        <f t="shared" ca="1" si="291"/>
        <v>1377.2431684466906</v>
      </c>
      <c r="T377" s="5">
        <f t="shared" ca="1" si="291"/>
        <v>1494.1793845162765</v>
      </c>
      <c r="U377" s="5">
        <f t="shared" ca="1" si="291"/>
        <v>1509.407711578652</v>
      </c>
      <c r="V377" s="5">
        <f t="shared" ca="1" si="291"/>
        <v>1423.5121838479217</v>
      </c>
      <c r="W377" s="5">
        <f t="shared" ca="1" si="291"/>
        <v>1222.1263431625277</v>
      </c>
      <c r="X377" s="4">
        <f t="shared" ca="1" si="291"/>
        <v>999.52421874187007</v>
      </c>
      <c r="Y377" s="4">
        <f t="shared" ca="1" si="291"/>
        <v>848.13045050608628</v>
      </c>
      <c r="Z377" s="4">
        <f t="shared" ca="1" si="291"/>
        <v>747.52665300237732</v>
      </c>
      <c r="AA377" s="4">
        <f t="shared" ca="1" si="291"/>
        <v>686.34996229164813</v>
      </c>
      <c r="AB377" s="3">
        <f t="shared" ca="1" si="291"/>
        <v>659.14676139881658</v>
      </c>
    </row>
    <row r="378" spans="5:28" x14ac:dyDescent="0.25">
      <c r="E378" s="2">
        <f t="shared" si="271"/>
        <v>2.0000000000000004</v>
      </c>
      <c r="H378" s="3">
        <f t="shared" ref="H378:AB378" ca="1" si="292">-D*(H277-H279)/(2*delta)</f>
        <v>1.6009737157863254E-7</v>
      </c>
      <c r="I378" s="4">
        <f t="shared" ca="1" si="292"/>
        <v>50.304444268592377</v>
      </c>
      <c r="J378" s="4">
        <f t="shared" ca="1" si="292"/>
        <v>102.87484695242189</v>
      </c>
      <c r="K378" s="4">
        <f t="shared" ca="1" si="292"/>
        <v>160.17481095375624</v>
      </c>
      <c r="L378" s="4">
        <f t="shared" ca="1" si="292"/>
        <v>225.10228750568936</v>
      </c>
      <c r="M378" s="4">
        <f t="shared" ca="1" si="292"/>
        <v>301.32366972740897</v>
      </c>
      <c r="N378" s="4">
        <f t="shared" ca="1" si="292"/>
        <v>393.81969758225654</v>
      </c>
      <c r="O378" s="4">
        <f t="shared" ca="1" si="292"/>
        <v>509.90887706964406</v>
      </c>
      <c r="P378" s="4">
        <f t="shared" ca="1" si="292"/>
        <v>661.44682688153603</v>
      </c>
      <c r="Q378" s="4">
        <f t="shared" ca="1" si="292"/>
        <v>870.2486057518903</v>
      </c>
      <c r="R378" s="5">
        <f t="shared" ca="1" si="292"/>
        <v>1183.3740681248398</v>
      </c>
      <c r="S378" s="5">
        <f t="shared" ca="1" si="292"/>
        <v>1471.8951406795259</v>
      </c>
      <c r="T378" s="5">
        <f t="shared" ca="1" si="292"/>
        <v>1604.1309036075506</v>
      </c>
      <c r="U378" s="5">
        <f t="shared" ca="1" si="292"/>
        <v>1617.6629340502975</v>
      </c>
      <c r="V378" s="5">
        <f t="shared" ca="1" si="292"/>
        <v>1513.0827576249421</v>
      </c>
      <c r="W378" s="5">
        <f t="shared" ca="1" si="292"/>
        <v>1254.0392548146847</v>
      </c>
      <c r="X378" s="4">
        <f t="shared" ca="1" si="292"/>
        <v>973.5934048091226</v>
      </c>
      <c r="Y378" s="4">
        <f t="shared" ca="1" si="292"/>
        <v>802.32983888100148</v>
      </c>
      <c r="Z378" s="4">
        <f t="shared" ca="1" si="292"/>
        <v>695.30005425294132</v>
      </c>
      <c r="AA378" s="4">
        <f t="shared" ca="1" si="292"/>
        <v>633.53457623139229</v>
      </c>
      <c r="AB378" s="3">
        <f t="shared" ca="1" si="292"/>
        <v>609.2439301111383</v>
      </c>
    </row>
    <row r="379" spans="5:28" x14ac:dyDescent="0.25">
      <c r="E379" s="2">
        <f t="shared" si="271"/>
        <v>1.9000000000000006</v>
      </c>
      <c r="H379" s="3">
        <f t="shared" ref="H379:AB379" ca="1" si="293">-D*(H278-H280)/(2*delta)</f>
        <v>3.7952940111242884E-6</v>
      </c>
      <c r="I379" s="4">
        <f t="shared" ca="1" si="293"/>
        <v>41.924375571611151</v>
      </c>
      <c r="J379" s="4">
        <f t="shared" ca="1" si="293"/>
        <v>85.965180589793505</v>
      </c>
      <c r="K379" s="4">
        <f t="shared" ca="1" si="293"/>
        <v>134.42652749763468</v>
      </c>
      <c r="L379" s="4">
        <f t="shared" ca="1" si="293"/>
        <v>190.01831833614091</v>
      </c>
      <c r="M379" s="4">
        <f t="shared" ca="1" si="293"/>
        <v>256.14547502737486</v>
      </c>
      <c r="N379" s="4">
        <f t="shared" ca="1" si="293"/>
        <v>337.33488909841913</v>
      </c>
      <c r="O379" s="4">
        <f t="shared" ca="1" si="293"/>
        <v>439.92327896187948</v>
      </c>
      <c r="P379" s="4">
        <f t="shared" ca="1" si="293"/>
        <v>573.24222203973306</v>
      </c>
      <c r="Q379" s="4">
        <f t="shared" ca="1" si="293"/>
        <v>751.7184929838694</v>
      </c>
      <c r="R379" s="4">
        <f t="shared" ca="1" si="293"/>
        <v>998.32915888217258</v>
      </c>
      <c r="S379" s="4">
        <f t="shared" ca="1" si="293"/>
        <v>1222.8323273374156</v>
      </c>
      <c r="T379" s="4">
        <f t="shared" ca="1" si="293"/>
        <v>1332.7860520128281</v>
      </c>
      <c r="U379" s="4">
        <f t="shared" ca="1" si="293"/>
        <v>1344.0302523218181</v>
      </c>
      <c r="V379" s="4">
        <f t="shared" ca="1" si="293"/>
        <v>1257.1165388910101</v>
      </c>
      <c r="W379" s="4">
        <f t="shared" ca="1" si="293"/>
        <v>1057.3543869571968</v>
      </c>
      <c r="X379" s="4">
        <f t="shared" ca="1" si="293"/>
        <v>838.48017226820866</v>
      </c>
      <c r="Y379" s="4">
        <f t="shared" ca="1" si="293"/>
        <v>692.29530353182747</v>
      </c>
      <c r="Z379" s="4">
        <f t="shared" ca="1" si="293"/>
        <v>597.80899842589201</v>
      </c>
      <c r="AA379" s="4">
        <f t="shared" ca="1" si="293"/>
        <v>543.24419952335859</v>
      </c>
      <c r="AB379" s="3">
        <f t="shared" ca="1" si="293"/>
        <v>522.95487733141363</v>
      </c>
    </row>
    <row r="380" spans="5:28" x14ac:dyDescent="0.25">
      <c r="E380" s="2">
        <f t="shared" si="271"/>
        <v>1.8000000000000005</v>
      </c>
      <c r="H380" s="3">
        <f t="shared" ref="H380:AB380" ca="1" si="294">-D*(H279-H281)/(2*delta)</f>
        <v>7.4046398566835488E-6</v>
      </c>
      <c r="I380" s="4">
        <f t="shared" ca="1" si="294"/>
        <v>31.427805643156688</v>
      </c>
      <c r="J380" s="4">
        <f t="shared" ca="1" si="294"/>
        <v>64.63485927102009</v>
      </c>
      <c r="K380" s="4">
        <f t="shared" ca="1" si="294"/>
        <v>101.54764218500837</v>
      </c>
      <c r="L380" s="4">
        <f t="shared" ca="1" si="294"/>
        <v>144.3987808209952</v>
      </c>
      <c r="M380" s="4">
        <f t="shared" ca="1" si="294"/>
        <v>195.90477624775207</v>
      </c>
      <c r="N380" s="4">
        <f t="shared" ca="1" si="294"/>
        <v>259.45081432674294</v>
      </c>
      <c r="O380" s="4">
        <f t="shared" ca="1" si="294"/>
        <v>339.20679381726109</v>
      </c>
      <c r="P380" s="4">
        <f t="shared" ca="1" si="294"/>
        <v>439.87991266026489</v>
      </c>
      <c r="Q380" s="4">
        <f t="shared" ca="1" si="294"/>
        <v>565.05356625324953</v>
      </c>
      <c r="R380" s="4">
        <f t="shared" ca="1" si="294"/>
        <v>710.39128623316492</v>
      </c>
      <c r="S380" s="4">
        <f t="shared" ca="1" si="294"/>
        <v>838.31845554581776</v>
      </c>
      <c r="T380" s="4">
        <f t="shared" ca="1" si="294"/>
        <v>910.15018158852797</v>
      </c>
      <c r="U380" s="4">
        <f t="shared" ca="1" si="294"/>
        <v>918.55490050822277</v>
      </c>
      <c r="V380" s="4">
        <f t="shared" ca="1" si="294"/>
        <v>863.99813440902403</v>
      </c>
      <c r="W380" s="4">
        <f t="shared" ca="1" si="294"/>
        <v>754.78091725314243</v>
      </c>
      <c r="X380" s="4">
        <f t="shared" ca="1" si="294"/>
        <v>630.67688867370839</v>
      </c>
      <c r="Y380" s="4">
        <f t="shared" ca="1" si="294"/>
        <v>530.56145859452818</v>
      </c>
      <c r="Z380" s="4">
        <f t="shared" ca="1" si="294"/>
        <v>460.39564889301278</v>
      </c>
      <c r="AA380" s="4">
        <f t="shared" ca="1" si="294"/>
        <v>418.67751604163897</v>
      </c>
      <c r="AB380" s="3">
        <f t="shared" ca="1" si="294"/>
        <v>403.37793450045825</v>
      </c>
    </row>
    <row r="381" spans="5:28" x14ac:dyDescent="0.25">
      <c r="E381" s="2">
        <f t="shared" si="271"/>
        <v>1.7000000000000004</v>
      </c>
      <c r="H381" s="3">
        <f t="shared" ref="H381:AB381" ca="1" si="295">-D*(H280-H282)/(2*delta)</f>
        <v>1.0965916582486128E-5</v>
      </c>
      <c r="I381" s="4">
        <f t="shared" ca="1" si="295"/>
        <v>19.151854674769773</v>
      </c>
      <c r="J381" s="4">
        <f t="shared" ca="1" si="295"/>
        <v>39.598602051981217</v>
      </c>
      <c r="K381" s="4">
        <f t="shared" ca="1" si="295"/>
        <v>62.730113960539775</v>
      </c>
      <c r="L381" s="4">
        <f t="shared" ca="1" si="295"/>
        <v>90.124019276126376</v>
      </c>
      <c r="M381" s="4">
        <f t="shared" ca="1" si="295"/>
        <v>123.62358816265122</v>
      </c>
      <c r="N381" s="4">
        <f t="shared" ca="1" si="295"/>
        <v>165.35627282178498</v>
      </c>
      <c r="O381" s="4">
        <f t="shared" ca="1" si="295"/>
        <v>217.57256614226137</v>
      </c>
      <c r="P381" s="4">
        <f t="shared" ca="1" si="295"/>
        <v>282.01638836674749</v>
      </c>
      <c r="Q381" s="4">
        <f t="shared" ca="1" si="295"/>
        <v>358.22381687132304</v>
      </c>
      <c r="R381" s="4">
        <f t="shared" ca="1" si="295"/>
        <v>439.86313276243948</v>
      </c>
      <c r="S381" s="4">
        <f t="shared" ca="1" si="295"/>
        <v>509.8991211372811</v>
      </c>
      <c r="T381" s="4">
        <f t="shared" ca="1" si="295"/>
        <v>550.94033871058002</v>
      </c>
      <c r="U381" s="4">
        <f t="shared" ca="1" si="295"/>
        <v>556.03998103609081</v>
      </c>
      <c r="V381" s="4">
        <f t="shared" ca="1" si="295"/>
        <v>525.5390555636219</v>
      </c>
      <c r="W381" s="4">
        <f t="shared" ca="1" si="295"/>
        <v>467.09306090943227</v>
      </c>
      <c r="X381" s="4">
        <f t="shared" ca="1" si="295"/>
        <v>398.8837356255641</v>
      </c>
      <c r="Y381" s="4">
        <f t="shared" ca="1" si="295"/>
        <v>338.87664876149256</v>
      </c>
      <c r="Z381" s="4">
        <f t="shared" ca="1" si="295"/>
        <v>294.53320324556245</v>
      </c>
      <c r="AA381" s="4">
        <f t="shared" ca="1" si="295"/>
        <v>267.69078541925143</v>
      </c>
      <c r="AB381" s="3">
        <f t="shared" ca="1" si="295"/>
        <v>258.20392271043676</v>
      </c>
    </row>
    <row r="382" spans="5:28" x14ac:dyDescent="0.25">
      <c r="E382" s="2">
        <f t="shared" si="271"/>
        <v>1.6000000000000003</v>
      </c>
      <c r="H382" s="3">
        <f t="shared" ref="H382:AB382" ca="1" si="296">-D*(H281-H283)/(2*delta)</f>
        <v>1.4457247933759668E-5</v>
      </c>
      <c r="I382" s="4">
        <f t="shared" ca="1" si="296"/>
        <v>5.5808175400522675</v>
      </c>
      <c r="J382" s="4">
        <f t="shared" ca="1" si="296"/>
        <v>11.877281474887102</v>
      </c>
      <c r="K382" s="4">
        <f t="shared" ca="1" si="296"/>
        <v>19.649777733715954</v>
      </c>
      <c r="L382" s="4">
        <f t="shared" ca="1" si="296"/>
        <v>29.743064544889659</v>
      </c>
      <c r="M382" s="4">
        <f t="shared" ca="1" si="296"/>
        <v>43.108640588049077</v>
      </c>
      <c r="N382" s="4">
        <f t="shared" ca="1" si="296"/>
        <v>60.777365897354031</v>
      </c>
      <c r="O382" s="4">
        <f t="shared" ca="1" si="296"/>
        <v>83.709940931485775</v>
      </c>
      <c r="P382" s="4">
        <f t="shared" ca="1" si="296"/>
        <v>112.38827852453711</v>
      </c>
      <c r="Q382" s="4">
        <f t="shared" ca="1" si="296"/>
        <v>145.96109146692172</v>
      </c>
      <c r="R382" s="4">
        <f t="shared" ca="1" si="296"/>
        <v>180.93711005051455</v>
      </c>
      <c r="S382" s="4">
        <f t="shared" ca="1" si="296"/>
        <v>210.47325381574717</v>
      </c>
      <c r="T382" s="4">
        <f t="shared" ca="1" si="296"/>
        <v>227.67066144975331</v>
      </c>
      <c r="U382" s="4">
        <f t="shared" ca="1" si="296"/>
        <v>229.12411461526446</v>
      </c>
      <c r="V382" s="4">
        <f t="shared" ca="1" si="296"/>
        <v>215.02342656528671</v>
      </c>
      <c r="W382" s="4">
        <f t="shared" ca="1" si="296"/>
        <v>189.16681139943179</v>
      </c>
      <c r="X382" s="4">
        <f t="shared" ca="1" si="296"/>
        <v>158.88651554693007</v>
      </c>
      <c r="Y382" s="4">
        <f t="shared" ca="1" si="296"/>
        <v>131.526263183287</v>
      </c>
      <c r="Z382" s="4">
        <f t="shared" ca="1" si="296"/>
        <v>111.16768803419032</v>
      </c>
      <c r="AA382" s="4">
        <f t="shared" ca="1" si="296"/>
        <v>99.346347729875518</v>
      </c>
      <c r="AB382" s="3">
        <f t="shared" ca="1" si="296"/>
        <v>96.308834123078242</v>
      </c>
    </row>
    <row r="383" spans="5:28" x14ac:dyDescent="0.25">
      <c r="E383" s="2">
        <f t="shared" si="271"/>
        <v>1.5000000000000002</v>
      </c>
      <c r="H383" s="3">
        <f t="shared" ref="H383:AB383" ca="1" si="297">-D*(H282-H284)/(2*delta)</f>
        <v>1.785725447313357E-5</v>
      </c>
      <c r="I383" s="4">
        <f t="shared" ca="1" si="297"/>
        <v>-8.7061186301533322</v>
      </c>
      <c r="J383" s="4">
        <f t="shared" ca="1" si="297"/>
        <v>-17.320460563692336</v>
      </c>
      <c r="K383" s="4">
        <f t="shared" ca="1" si="297"/>
        <v>-25.751888409449716</v>
      </c>
      <c r="L383" s="4">
        <f t="shared" ca="1" si="297"/>
        <v>-33.910868038135739</v>
      </c>
      <c r="M383" s="4">
        <f t="shared" ca="1" si="297"/>
        <v>-41.710292937118545</v>
      </c>
      <c r="N383" s="4">
        <f t="shared" ca="1" si="297"/>
        <v>-49.066374134220432</v>
      </c>
      <c r="O383" s="4">
        <f t="shared" ca="1" si="297"/>
        <v>-55.899575401191413</v>
      </c>
      <c r="P383" s="4">
        <f t="shared" ca="1" si="297"/>
        <v>-62.135578813540583</v>
      </c>
      <c r="Q383" s="4">
        <f t="shared" ca="1" si="297"/>
        <v>-67.706253665790712</v>
      </c>
      <c r="R383" s="4">
        <f t="shared" ca="1" si="297"/>
        <v>-72.55059226344423</v>
      </c>
      <c r="S383" s="4">
        <f t="shared" ca="1" si="297"/>
        <v>-76.615570615053599</v>
      </c>
      <c r="T383" s="4">
        <f t="shared" ca="1" si="297"/>
        <v>-79.856892080496905</v>
      </c>
      <c r="U383" s="4">
        <f t="shared" ca="1" si="297"/>
        <v>-82.239577770664695</v>
      </c>
      <c r="V383" s="4">
        <f t="shared" ca="1" si="297"/>
        <v>-83.738378283138772</v>
      </c>
      <c r="W383" s="4">
        <f t="shared" ca="1" si="297"/>
        <v>-84.337995993870024</v>
      </c>
      <c r="X383" s="4">
        <f t="shared" ca="1" si="297"/>
        <v>-84.033122674563288</v>
      </c>
      <c r="Y383" s="4">
        <f t="shared" ca="1" si="297"/>
        <v>-82.82831159330847</v>
      </c>
      <c r="Z383" s="4">
        <f t="shared" ca="1" si="297"/>
        <v>-80.737713545754175</v>
      </c>
      <c r="AA383" s="4">
        <f t="shared" ca="1" si="297"/>
        <v>-77.784711047379716</v>
      </c>
      <c r="AB383" s="3">
        <f t="shared" ca="1" si="297"/>
        <v>-74.001483393804818</v>
      </c>
    </row>
    <row r="384" spans="5:28" x14ac:dyDescent="0.25">
      <c r="E384" s="2">
        <f t="shared" si="271"/>
        <v>1.4000000000000001</v>
      </c>
      <c r="H384" s="3">
        <f t="shared" ref="H384:AB384" ca="1" si="298">-D*(H283-H285)/(2*delta)</f>
        <v>2.1145110592471973E-5</v>
      </c>
      <c r="I384" s="4">
        <f t="shared" ca="1" si="298"/>
        <v>-23.085141719695262</v>
      </c>
      <c r="J384" s="4">
        <f t="shared" ca="1" si="298"/>
        <v>-46.701593682030037</v>
      </c>
      <c r="K384" s="4">
        <f t="shared" ca="1" si="298"/>
        <v>-71.426663499822254</v>
      </c>
      <c r="L384" s="4">
        <f t="shared" ca="1" si="298"/>
        <v>-97.925198628067506</v>
      </c>
      <c r="M384" s="4">
        <f t="shared" ca="1" si="298"/>
        <v>-126.97359454157535</v>
      </c>
      <c r="N384" s="4">
        <f t="shared" ca="1" si="298"/>
        <v>-159.43419789328635</v>
      </c>
      <c r="O384" s="4">
        <f t="shared" ca="1" si="298"/>
        <v>-196.1076709699571</v>
      </c>
      <c r="P384" s="4">
        <f t="shared" ca="1" si="298"/>
        <v>-237.32632170839469</v>
      </c>
      <c r="Q384" s="4">
        <f t="shared" ca="1" si="298"/>
        <v>-282.10166567432998</v>
      </c>
      <c r="R384" s="4">
        <f t="shared" ca="1" si="298"/>
        <v>-326.8195571038533</v>
      </c>
      <c r="S384" s="4">
        <f t="shared" ca="1" si="298"/>
        <v>-364.53012401959745</v>
      </c>
      <c r="T384" s="4">
        <f t="shared" ca="1" si="298"/>
        <v>-388.24532168730605</v>
      </c>
      <c r="U384" s="4">
        <f t="shared" ca="1" si="298"/>
        <v>-394.48956255240489</v>
      </c>
      <c r="V384" s="4">
        <f t="shared" ca="1" si="298"/>
        <v>-383.40193926631343</v>
      </c>
      <c r="W384" s="4">
        <f t="shared" ca="1" si="298"/>
        <v>-358.75003366233869</v>
      </c>
      <c r="X384" s="4">
        <f t="shared" ca="1" si="298"/>
        <v>-327.85560439280209</v>
      </c>
      <c r="Y384" s="4">
        <f t="shared" ca="1" si="298"/>
        <v>-298.07174708584995</v>
      </c>
      <c r="Z384" s="4">
        <f t="shared" ca="1" si="298"/>
        <v>-273.50876402962751</v>
      </c>
      <c r="AA384" s="4">
        <f t="shared" ca="1" si="298"/>
        <v>-255.74941421363178</v>
      </c>
      <c r="AB384" s="3">
        <f t="shared" ca="1" si="298"/>
        <v>-245.10512803364085</v>
      </c>
    </row>
    <row r="385" spans="5:28" x14ac:dyDescent="0.25">
      <c r="E385" s="2">
        <f t="shared" si="271"/>
        <v>1.3</v>
      </c>
      <c r="H385" s="3">
        <f t="shared" ref="H385:AB385" ca="1" si="299">-D*(H284-H286)/(2*delta)</f>
        <v>2.430077256020572E-5</v>
      </c>
      <c r="I385" s="4">
        <f t="shared" ca="1" si="299"/>
        <v>-36.933220424756719</v>
      </c>
      <c r="J385" s="4">
        <f t="shared" ca="1" si="299"/>
        <v>-74.974670798837437</v>
      </c>
      <c r="K385" s="4">
        <f t="shared" ca="1" si="299"/>
        <v>-115.32875122744387</v>
      </c>
      <c r="L385" s="4">
        <f t="shared" ca="1" si="299"/>
        <v>-159.39066108146355</v>
      </c>
      <c r="M385" s="4">
        <f t="shared" ca="1" si="299"/>
        <v>-208.82589434650882</v>
      </c>
      <c r="N385" s="4">
        <f t="shared" ca="1" si="299"/>
        <v>-265.59056859221215</v>
      </c>
      <c r="O385" s="4">
        <f t="shared" ca="1" si="299"/>
        <v>-331.77221440276878</v>
      </c>
      <c r="P385" s="4">
        <f t="shared" ca="1" si="299"/>
        <v>-408.96220346188528</v>
      </c>
      <c r="Q385" s="4">
        <f t="shared" ca="1" si="299"/>
        <v>-496.55656652088896</v>
      </c>
      <c r="R385" s="4">
        <f t="shared" ca="1" si="299"/>
        <v>-588.0980846654594</v>
      </c>
      <c r="S385" s="4">
        <f t="shared" ca="1" si="299"/>
        <v>-666.44248463446252</v>
      </c>
      <c r="T385" s="4">
        <f t="shared" ca="1" si="299"/>
        <v>-714.10734390323262</v>
      </c>
      <c r="U385" s="4">
        <f t="shared" ca="1" si="299"/>
        <v>-724.0742436518027</v>
      </c>
      <c r="V385" s="4">
        <f t="shared" ca="1" si="299"/>
        <v>-696.63281013626056</v>
      </c>
      <c r="W385" s="4">
        <f t="shared" ca="1" si="299"/>
        <v>-639.40781774406287</v>
      </c>
      <c r="X385" s="4">
        <f t="shared" ca="1" si="299"/>
        <v>-570.57093274632666</v>
      </c>
      <c r="Y385" s="4">
        <f t="shared" ca="1" si="299"/>
        <v>-508.09792456829035</v>
      </c>
      <c r="Z385" s="4">
        <f t="shared" ca="1" si="299"/>
        <v>-459.47999831648502</v>
      </c>
      <c r="AA385" s="4">
        <f t="shared" ca="1" si="299"/>
        <v>-426.6030763841394</v>
      </c>
      <c r="AB385" s="3">
        <f t="shared" ca="1" si="299"/>
        <v>-409.38797976702932</v>
      </c>
    </row>
    <row r="386" spans="5:28" x14ac:dyDescent="0.25">
      <c r="E386" s="2">
        <f t="shared" si="271"/>
        <v>1.2</v>
      </c>
      <c r="H386" s="3">
        <f t="shared" ref="H386:AB386" ca="1" si="300">-D*(H285-H287)/(2*delta)</f>
        <v>2.7305002954975051E-5</v>
      </c>
      <c r="I386" s="4">
        <f t="shared" ca="1" si="300"/>
        <v>-49.673488387231586</v>
      </c>
      <c r="J386" s="4">
        <f t="shared" ca="1" si="300"/>
        <v>-100.93576106448148</v>
      </c>
      <c r="K386" s="4">
        <f t="shared" ca="1" si="300"/>
        <v>-155.52389983686123</v>
      </c>
      <c r="L386" s="4">
        <f t="shared" ca="1" si="300"/>
        <v>-215.48393593780892</v>
      </c>
      <c r="M386" s="4">
        <f t="shared" ca="1" si="300"/>
        <v>-283.35013254035192</v>
      </c>
      <c r="N386" s="4">
        <f t="shared" ca="1" si="300"/>
        <v>-362.33158840954485</v>
      </c>
      <c r="O386" s="4">
        <f t="shared" ca="1" si="300"/>
        <v>-456.4302741013849</v>
      </c>
      <c r="P386" s="4">
        <f t="shared" ca="1" si="300"/>
        <v>-570.19580694623107</v>
      </c>
      <c r="Q386" s="4">
        <f t="shared" ca="1" si="300"/>
        <v>-707.0666415409097</v>
      </c>
      <c r="R386" s="4">
        <f t="shared" ca="1" si="300"/>
        <v>-862.57629056127973</v>
      </c>
      <c r="S386" s="4">
        <f t="shared" ca="1" si="300"/>
        <v>-999.03717454152581</v>
      </c>
      <c r="T386" s="4">
        <f t="shared" ca="1" si="300"/>
        <v>-1077.6703405001479</v>
      </c>
      <c r="U386" s="4">
        <f t="shared" ca="1" si="300"/>
        <v>-1091.0704974391308</v>
      </c>
      <c r="V386" s="4">
        <f t="shared" ca="1" si="300"/>
        <v>-1039.6507027839443</v>
      </c>
      <c r="W386" s="4">
        <f t="shared" ca="1" si="300"/>
        <v>-931.68118055764546</v>
      </c>
      <c r="X386" s="4">
        <f t="shared" ca="1" si="300"/>
        <v>-806.92629439169389</v>
      </c>
      <c r="Y386" s="4">
        <f t="shared" ca="1" si="300"/>
        <v>-704.27315628072756</v>
      </c>
      <c r="Z386" s="4">
        <f t="shared" ca="1" si="300"/>
        <v>-629.71459408976762</v>
      </c>
      <c r="AA386" s="4">
        <f t="shared" ca="1" si="300"/>
        <v>-581.79951415610049</v>
      </c>
      <c r="AB386" s="3">
        <f t="shared" ca="1" si="300"/>
        <v>-558.56756098754806</v>
      </c>
    </row>
    <row r="387" spans="5:28" x14ac:dyDescent="0.25">
      <c r="E387" s="2">
        <f t="shared" si="271"/>
        <v>1.0999999999999999</v>
      </c>
      <c r="H387" s="3">
        <f t="shared" ref="H387:AB387" ca="1" si="301">-D*(H286-H288)/(2*delta)</f>
        <v>3.013949283384316E-5</v>
      </c>
      <c r="I387" s="4">
        <f t="shared" ca="1" si="301"/>
        <v>-60.825442002982371</v>
      </c>
      <c r="J387" s="4">
        <f t="shared" ca="1" si="301"/>
        <v>-123.57170578207662</v>
      </c>
      <c r="K387" s="4">
        <f t="shared" ca="1" si="301"/>
        <v>-190.34814823766382</v>
      </c>
      <c r="L387" s="4">
        <f t="shared" ca="1" si="301"/>
        <v>-263.67232219860057</v>
      </c>
      <c r="M387" s="4">
        <f t="shared" ca="1" si="301"/>
        <v>-346.76065597843649</v>
      </c>
      <c r="N387" s="4">
        <f t="shared" ca="1" si="301"/>
        <v>-443.95719300773453</v>
      </c>
      <c r="O387" s="4">
        <f t="shared" ca="1" si="301"/>
        <v>-561.42356857474886</v>
      </c>
      <c r="P387" s="4">
        <f t="shared" ca="1" si="301"/>
        <v>-708.32645500110186</v>
      </c>
      <c r="Q387" s="4">
        <f t="shared" ca="1" si="301"/>
        <v>-898.94050984944454</v>
      </c>
      <c r="R387" s="4">
        <f t="shared" ca="1" si="301"/>
        <v>-1156.1061276620294</v>
      </c>
      <c r="S387" s="4">
        <f t="shared" ca="1" si="301"/>
        <v>-1389.4627043339374</v>
      </c>
      <c r="T387" s="4">
        <f t="shared" ca="1" si="301"/>
        <v>-1506.4697212557876</v>
      </c>
      <c r="U387" s="4">
        <f t="shared" ca="1" si="301"/>
        <v>-1522.8903293366789</v>
      </c>
      <c r="V387" s="4">
        <f t="shared" ca="1" si="301"/>
        <v>-1439.2221996773317</v>
      </c>
      <c r="W387" s="4">
        <f t="shared" ca="1" si="301"/>
        <v>-1240.7440338573242</v>
      </c>
      <c r="X387" s="4">
        <f t="shared" ca="1" si="301"/>
        <v>-1021.1842852653879</v>
      </c>
      <c r="Y387" s="4">
        <f t="shared" ca="1" si="301"/>
        <v>-872.35844239987421</v>
      </c>
      <c r="Z387" s="4">
        <f t="shared" ca="1" si="301"/>
        <v>-773.31059499264052</v>
      </c>
      <c r="AA387" s="4">
        <f t="shared" ca="1" si="301"/>
        <v>-712.31797572009953</v>
      </c>
      <c r="AB387" s="3">
        <f t="shared" ca="1" si="301"/>
        <v>-683.80690357619051</v>
      </c>
    </row>
    <row r="388" spans="5:28" x14ac:dyDescent="0.25">
      <c r="E388" s="2">
        <f t="shared" si="271"/>
        <v>0.99999999999999989</v>
      </c>
      <c r="H388" s="3">
        <f t="shared" ref="H388:AB388" ca="1" si="302">-D*(H287-H289)/(2*delta)</f>
        <v>3.2787114213270856E-5</v>
      </c>
      <c r="I388" s="4">
        <f t="shared" ca="1" si="302"/>
        <v>-70.057091602880064</v>
      </c>
      <c r="J388" s="4">
        <f t="shared" ca="1" si="302"/>
        <v>-142.17826523854961</v>
      </c>
      <c r="K388" s="4">
        <f t="shared" ca="1" si="302"/>
        <v>-218.62576286970287</v>
      </c>
      <c r="L388" s="4">
        <f t="shared" ca="1" si="302"/>
        <v>-302.09794873734779</v>
      </c>
      <c r="M388" s="4">
        <f t="shared" ca="1" si="302"/>
        <v>-396.06467622343217</v>
      </c>
      <c r="N388" s="4">
        <f t="shared" ca="1" si="302"/>
        <v>-505.31495632185693</v>
      </c>
      <c r="O388" s="4">
        <f t="shared" ca="1" si="302"/>
        <v>-636.98264359481323</v>
      </c>
      <c r="P388" s="4">
        <f t="shared" ca="1" si="302"/>
        <v>-802.74851697107931</v>
      </c>
      <c r="Q388" s="4">
        <f t="shared" ca="1" si="302"/>
        <v>-1024.2656851636773</v>
      </c>
      <c r="R388" s="4">
        <f t="shared" ca="1" si="302"/>
        <v>-1348.4481602792896</v>
      </c>
      <c r="S388" s="4">
        <f t="shared" ca="1" si="302"/>
        <v>-1646.2412296197585</v>
      </c>
      <c r="T388" s="4">
        <f t="shared" ca="1" si="302"/>
        <v>-1785.8592253107583</v>
      </c>
      <c r="U388" s="4">
        <f t="shared" ca="1" si="302"/>
        <v>-1804.8028900550321</v>
      </c>
      <c r="V388" s="4">
        <f t="shared" ca="1" si="302"/>
        <v>-1703.6079991099036</v>
      </c>
      <c r="W388" s="4">
        <f t="shared" ca="1" si="302"/>
        <v>-1445.8930112776909</v>
      </c>
      <c r="X388" s="4">
        <f t="shared" ca="1" si="302"/>
        <v>-1164.713187696487</v>
      </c>
      <c r="Y388" s="4">
        <f t="shared" ca="1" si="302"/>
        <v>-990.67082879375175</v>
      </c>
      <c r="Z388" s="4">
        <f t="shared" ca="1" si="302"/>
        <v>-878.8567463830276</v>
      </c>
      <c r="AA388" s="4">
        <f t="shared" ca="1" si="302"/>
        <v>-810.36055837068034</v>
      </c>
      <c r="AB388" s="3">
        <f t="shared" ca="1" si="302"/>
        <v>-777.46993909512844</v>
      </c>
    </row>
    <row r="389" spans="5:28" x14ac:dyDescent="0.25">
      <c r="E389" s="2">
        <f t="shared" si="271"/>
        <v>0.89999999999999991</v>
      </c>
      <c r="H389" s="3">
        <f t="shared" ref="H389:AB389" ca="1" si="303">-D*(H288-H290)/(2*delta)</f>
        <v>3.5231920069116573E-5</v>
      </c>
      <c r="I389" s="4">
        <f t="shared" ca="1" si="303"/>
        <v>-77.225221538097017</v>
      </c>
      <c r="J389" s="4">
        <f t="shared" ca="1" si="303"/>
        <v>-156.45936206359929</v>
      </c>
      <c r="K389" s="4">
        <f t="shared" ca="1" si="303"/>
        <v>-239.87988081796817</v>
      </c>
      <c r="L389" s="4">
        <f t="shared" ca="1" si="303"/>
        <v>-330.03055326668931</v>
      </c>
      <c r="M389" s="4">
        <f t="shared" ca="1" si="303"/>
        <v>-430.08698892215392</v>
      </c>
      <c r="N389" s="4">
        <f t="shared" ca="1" si="303"/>
        <v>-544.257479987225</v>
      </c>
      <c r="O389" s="4">
        <f t="shared" ca="1" si="303"/>
        <v>-678.44601919805507</v>
      </c>
      <c r="P389" s="4">
        <f t="shared" ca="1" si="303"/>
        <v>-841.42208647458983</v>
      </c>
      <c r="Q389" s="4">
        <f t="shared" ca="1" si="303"/>
        <v>-1046.9286679988711</v>
      </c>
      <c r="R389" s="4">
        <f t="shared" ca="1" si="303"/>
        <v>-1317.1830217027771</v>
      </c>
      <c r="S389" s="4">
        <f t="shared" ca="1" si="303"/>
        <v>-1561.1985568880557</v>
      </c>
      <c r="T389" s="4">
        <f t="shared" ca="1" si="303"/>
        <v>-1685.927091078966</v>
      </c>
      <c r="U389" s="4">
        <f t="shared" ca="1" si="303"/>
        <v>-1706.8583373820688</v>
      </c>
      <c r="V389" s="4">
        <f t="shared" ca="1" si="303"/>
        <v>-1624.5185250689542</v>
      </c>
      <c r="W389" s="4">
        <f t="shared" ca="1" si="303"/>
        <v>-1424.5117524680293</v>
      </c>
      <c r="X389" s="4">
        <f t="shared" ca="1" si="303"/>
        <v>-1201.1098528788098</v>
      </c>
      <c r="Y389" s="4">
        <f t="shared" ca="1" si="303"/>
        <v>-1046.7604682752556</v>
      </c>
      <c r="Z389" s="4">
        <f t="shared" ca="1" si="303"/>
        <v>-941.09083989960538</v>
      </c>
      <c r="AA389" s="4">
        <f t="shared" ca="1" si="303"/>
        <v>-872.80372303688603</v>
      </c>
      <c r="AB389" s="3">
        <f t="shared" ca="1" si="303"/>
        <v>-836.52884170254106</v>
      </c>
    </row>
    <row r="390" spans="5:28" x14ac:dyDescent="0.25">
      <c r="E390" s="2">
        <f t="shared" si="271"/>
        <v>0.79999999999999993</v>
      </c>
      <c r="H390" s="3">
        <f t="shared" ref="H390:AB390" ca="1" si="304">-D*(H289-H291)/(2*delta)</f>
        <v>3.7459180987100403E-5</v>
      </c>
      <c r="I390" s="4">
        <f t="shared" ca="1" si="304"/>
        <v>-82.385035983217023</v>
      </c>
      <c r="J390" s="4">
        <f t="shared" ca="1" si="304"/>
        <v>-166.55500464560754</v>
      </c>
      <c r="K390" s="4">
        <f t="shared" ca="1" si="304"/>
        <v>-254.40512306978442</v>
      </c>
      <c r="L390" s="4">
        <f t="shared" ca="1" si="304"/>
        <v>-348.05902431397254</v>
      </c>
      <c r="M390" s="4">
        <f t="shared" ca="1" si="304"/>
        <v>-449.99722487410889</v>
      </c>
      <c r="N390" s="4">
        <f t="shared" ca="1" si="304"/>
        <v>-563.18427989907354</v>
      </c>
      <c r="O390" s="4">
        <f t="shared" ca="1" si="304"/>
        <v>-691.12453332314669</v>
      </c>
      <c r="P390" s="4">
        <f t="shared" ca="1" si="304"/>
        <v>-837.56814676634178</v>
      </c>
      <c r="Q390" s="4">
        <f t="shared" ca="1" si="304"/>
        <v>-1004.8472183111854</v>
      </c>
      <c r="R390" s="4">
        <f t="shared" ca="1" si="304"/>
        <v>-1187.1603721627255</v>
      </c>
      <c r="S390" s="4">
        <f t="shared" ca="1" si="304"/>
        <v>-1345.4468830250157</v>
      </c>
      <c r="T390" s="4">
        <f t="shared" ca="1" si="304"/>
        <v>-1439.7965668751194</v>
      </c>
      <c r="U390" s="4">
        <f t="shared" ca="1" si="304"/>
        <v>-1462.1894873038393</v>
      </c>
      <c r="V390" s="4">
        <f t="shared" ca="1" si="304"/>
        <v>-1413.1009755955392</v>
      </c>
      <c r="W390" s="4">
        <f t="shared" ca="1" si="304"/>
        <v>-1301.530904856608</v>
      </c>
      <c r="X390" s="4">
        <f t="shared" ca="1" si="304"/>
        <v>-1168.4596083287686</v>
      </c>
      <c r="Y390" s="4">
        <f t="shared" ca="1" si="304"/>
        <v>-1054.1762807592238</v>
      </c>
      <c r="Z390" s="4">
        <f t="shared" ca="1" si="304"/>
        <v>-965.94868024970731</v>
      </c>
      <c r="AA390" s="4">
        <f t="shared" ca="1" si="304"/>
        <v>-903.2412474260517</v>
      </c>
      <c r="AB390" s="3">
        <f t="shared" ca="1" si="304"/>
        <v>-864.52279445304157</v>
      </c>
    </row>
    <row r="391" spans="5:28" x14ac:dyDescent="0.25">
      <c r="E391" s="2">
        <f t="shared" si="271"/>
        <v>0.7</v>
      </c>
      <c r="H391" s="3">
        <f t="shared" ref="H391:AB391" ca="1" si="305">-D*(H290-H292)/(2*delta)</f>
        <v>3.9455580631945777E-5</v>
      </c>
      <c r="I391" s="4">
        <f t="shared" ca="1" si="305"/>
        <v>-85.760558650013436</v>
      </c>
      <c r="J391" s="4">
        <f t="shared" ca="1" si="305"/>
        <v>-172.97147837156862</v>
      </c>
      <c r="K391" s="4">
        <f t="shared" ca="1" si="305"/>
        <v>-263.12793905541241</v>
      </c>
      <c r="L391" s="4">
        <f t="shared" ca="1" si="305"/>
        <v>-357.80492582517394</v>
      </c>
      <c r="M391" s="4">
        <f t="shared" ca="1" si="305"/>
        <v>-458.66070641080347</v>
      </c>
      <c r="N391" s="4">
        <f t="shared" ca="1" si="305"/>
        <v>-567.3603483255547</v>
      </c>
      <c r="O391" s="4">
        <f t="shared" ca="1" si="305"/>
        <v>-685.30251745715213</v>
      </c>
      <c r="P391" s="4">
        <f t="shared" ca="1" si="305"/>
        <v>-812.88193812592806</v>
      </c>
      <c r="Q391" s="4">
        <f t="shared" ca="1" si="305"/>
        <v>-947.73523057135924</v>
      </c>
      <c r="R391" s="4">
        <f t="shared" ca="1" si="305"/>
        <v>-1081.1682609711493</v>
      </c>
      <c r="S391" s="4">
        <f t="shared" ca="1" si="305"/>
        <v>-1193.6362789087661</v>
      </c>
      <c r="T391" s="4">
        <f t="shared" ca="1" si="305"/>
        <v>-1265.6273929340041</v>
      </c>
      <c r="U391" s="4">
        <f t="shared" ca="1" si="305"/>
        <v>-1289.006997737305</v>
      </c>
      <c r="V391" s="4">
        <f t="shared" ca="1" si="305"/>
        <v>-1264.1702534326303</v>
      </c>
      <c r="W391" s="4">
        <f t="shared" ca="1" si="305"/>
        <v>-1200.0568908284929</v>
      </c>
      <c r="X391" s="4">
        <f t="shared" ca="1" si="305"/>
        <v>-1117.0273433076402</v>
      </c>
      <c r="Y391" s="4">
        <f t="shared" ca="1" si="305"/>
        <v>-1035.5426584672323</v>
      </c>
      <c r="Z391" s="4">
        <f t="shared" ca="1" si="305"/>
        <v>-965.29299445602373</v>
      </c>
      <c r="AA391" s="4">
        <f t="shared" ca="1" si="305"/>
        <v>-909.69679100693691</v>
      </c>
      <c r="AB391" s="3">
        <f t="shared" ca="1" si="305"/>
        <v>-869.3703918311702</v>
      </c>
    </row>
    <row r="392" spans="5:28" x14ac:dyDescent="0.25">
      <c r="E392" s="2">
        <f t="shared" si="271"/>
        <v>0.6</v>
      </c>
      <c r="H392" s="3">
        <f t="shared" ref="H392:AB392" ca="1" si="306">-D*(H291-H293)/(2*delta)</f>
        <v>4.1209333843319313E-5</v>
      </c>
      <c r="I392" s="4">
        <f t="shared" ca="1" si="306"/>
        <v>-87.686394601394625</v>
      </c>
      <c r="J392" s="4">
        <f t="shared" ca="1" si="306"/>
        <v>-176.44344291703692</v>
      </c>
      <c r="K392" s="4">
        <f t="shared" ca="1" si="306"/>
        <v>-267.3316557095705</v>
      </c>
      <c r="L392" s="4">
        <f t="shared" ca="1" si="306"/>
        <v>-361.3738527007269</v>
      </c>
      <c r="M392" s="4">
        <f t="shared" ca="1" si="306"/>
        <v>-459.48253511774203</v>
      </c>
      <c r="N392" s="4">
        <f t="shared" ca="1" si="306"/>
        <v>-562.29648377257797</v>
      </c>
      <c r="O392" s="4">
        <f t="shared" ca="1" si="306"/>
        <v>-669.84622609068742</v>
      </c>
      <c r="P392" s="4">
        <f t="shared" ca="1" si="306"/>
        <v>-780.92521136601624</v>
      </c>
      <c r="Q392" s="4">
        <f t="shared" ca="1" si="306"/>
        <v>-892.04723189941865</v>
      </c>
      <c r="R392" s="4">
        <f t="shared" ca="1" si="306"/>
        <v>-996.14525843873764</v>
      </c>
      <c r="S392" s="4">
        <f t="shared" ca="1" si="306"/>
        <v>-1082.3070401638661</v>
      </c>
      <c r="T392" s="4">
        <f t="shared" ca="1" si="306"/>
        <v>-1140.0745515033366</v>
      </c>
      <c r="U392" s="4">
        <f t="shared" ca="1" si="306"/>
        <v>-1164.046039691113</v>
      </c>
      <c r="V392" s="4">
        <f t="shared" ca="1" si="306"/>
        <v>-1154.5216893919239</v>
      </c>
      <c r="W392" s="4">
        <f t="shared" ca="1" si="306"/>
        <v>-1117.5049585478012</v>
      </c>
      <c r="X392" s="4">
        <f t="shared" ca="1" si="306"/>
        <v>-1064.0564706811501</v>
      </c>
      <c r="Y392" s="4">
        <f t="shared" ca="1" si="306"/>
        <v>-1005.6806319342652</v>
      </c>
      <c r="Z392" s="4">
        <f t="shared" ca="1" si="306"/>
        <v>-949.99083191970726</v>
      </c>
      <c r="AA392" s="4">
        <f t="shared" ca="1" si="306"/>
        <v>-900.88989003392055</v>
      </c>
      <c r="AB392" s="3">
        <f t="shared" ca="1" si="306"/>
        <v>-859.6921981744797</v>
      </c>
    </row>
    <row r="393" spans="5:28" x14ac:dyDescent="0.25">
      <c r="E393" s="2">
        <f t="shared" si="271"/>
        <v>0.5</v>
      </c>
      <c r="H393" s="3">
        <f t="shared" ref="H393:AB393" ca="1" si="307">-D*(H292-H294)/(2*delta)</f>
        <v>4.2710145913092843E-5</v>
      </c>
      <c r="I393" s="4">
        <f t="shared" ca="1" si="307"/>
        <v>-88.542280503379132</v>
      </c>
      <c r="J393" s="4">
        <f t="shared" ca="1" si="307"/>
        <v>-177.78531929944992</v>
      </c>
      <c r="K393" s="4">
        <f t="shared" ca="1" si="307"/>
        <v>-268.3828763466762</v>
      </c>
      <c r="L393" s="4">
        <f t="shared" ca="1" si="307"/>
        <v>-360.87819154618336</v>
      </c>
      <c r="M393" s="4">
        <f t="shared" ca="1" si="307"/>
        <v>-455.60140095554556</v>
      </c>
      <c r="N393" s="4">
        <f t="shared" ca="1" si="307"/>
        <v>-552.49953116590791</v>
      </c>
      <c r="O393" s="4">
        <f t="shared" ca="1" si="307"/>
        <v>-650.86379551334403</v>
      </c>
      <c r="P393" s="4">
        <f t="shared" ca="1" si="307"/>
        <v>-748.92894687855608</v>
      </c>
      <c r="Q393" s="4">
        <f t="shared" ca="1" si="307"/>
        <v>-843.38711409156303</v>
      </c>
      <c r="R393" s="4">
        <f t="shared" ca="1" si="307"/>
        <v>-929.06277257181353</v>
      </c>
      <c r="S393" s="4">
        <f t="shared" ca="1" si="307"/>
        <v>-999.37672455412746</v>
      </c>
      <c r="T393" s="4">
        <f t="shared" ca="1" si="307"/>
        <v>-1048.3227633012425</v>
      </c>
      <c r="U393" s="4">
        <f t="shared" ca="1" si="307"/>
        <v>-1072.5863247103102</v>
      </c>
      <c r="V393" s="4">
        <f t="shared" ca="1" si="307"/>
        <v>-1072.3712832030833</v>
      </c>
      <c r="W393" s="4">
        <f t="shared" ca="1" si="307"/>
        <v>-1051.390932897001</v>
      </c>
      <c r="X393" s="4">
        <f t="shared" ca="1" si="307"/>
        <v>-1016.019472134869</v>
      </c>
      <c r="Y393" s="4">
        <f t="shared" ca="1" si="307"/>
        <v>-973.13946686519785</v>
      </c>
      <c r="Z393" s="4">
        <f t="shared" ca="1" si="307"/>
        <v>-928.10709441033987</v>
      </c>
      <c r="AA393" s="4">
        <f t="shared" ca="1" si="307"/>
        <v>-884.18741417106412</v>
      </c>
      <c r="AB393" s="3">
        <f t="shared" ca="1" si="307"/>
        <v>-842.70855994703675</v>
      </c>
    </row>
    <row r="394" spans="5:28" x14ac:dyDescent="0.25">
      <c r="E394" s="2">
        <f t="shared" si="271"/>
        <v>0.4</v>
      </c>
      <c r="H394" s="3">
        <f t="shared" ref="H394:AB394" ca="1" si="308">-D*(H293-H295)/(2*delta)</f>
        <v>4.3949320500598699E-5</v>
      </c>
      <c r="I394" s="4">
        <f t="shared" ca="1" si="308"/>
        <v>-88.698136768269052</v>
      </c>
      <c r="J394" s="4">
        <f t="shared" ca="1" si="308"/>
        <v>-177.77379167190963</v>
      </c>
      <c r="K394" s="4">
        <f t="shared" ca="1" si="308"/>
        <v>-267.53787930865792</v>
      </c>
      <c r="L394" s="4">
        <f t="shared" ca="1" si="308"/>
        <v>-358.15660014944996</v>
      </c>
      <c r="M394" s="4">
        <f t="shared" ca="1" si="308"/>
        <v>-449.54773009669663</v>
      </c>
      <c r="N394" s="4">
        <f t="shared" ca="1" si="308"/>
        <v>-541.23924480319931</v>
      </c>
      <c r="O394" s="4">
        <f t="shared" ca="1" si="308"/>
        <v>-632.18369032742544</v>
      </c>
      <c r="P394" s="4">
        <f t="shared" ca="1" si="308"/>
        <v>-720.54328648051137</v>
      </c>
      <c r="Q394" s="4">
        <f t="shared" ca="1" si="308"/>
        <v>-803.51352788203394</v>
      </c>
      <c r="R394" s="4">
        <f t="shared" ca="1" si="308"/>
        <v>-877.34641449047797</v>
      </c>
      <c r="S394" s="4">
        <f t="shared" ca="1" si="308"/>
        <v>-937.81913766809794</v>
      </c>
      <c r="T394" s="4">
        <f t="shared" ca="1" si="308"/>
        <v>-981.2586584297876</v>
      </c>
      <c r="U394" s="4">
        <f t="shared" ca="1" si="308"/>
        <v>-1005.610806226336</v>
      </c>
      <c r="V394" s="4">
        <f t="shared" ca="1" si="308"/>
        <v>-1010.9921651411674</v>
      </c>
      <c r="W394" s="4">
        <f t="shared" ca="1" si="308"/>
        <v>-999.67438234625843</v>
      </c>
      <c r="X394" s="4">
        <f t="shared" ca="1" si="308"/>
        <v>-975.49776938448315</v>
      </c>
      <c r="Y394" s="4">
        <f t="shared" ca="1" si="308"/>
        <v>-942.75781043676523</v>
      </c>
      <c r="Z394" s="4">
        <f t="shared" ca="1" si="308"/>
        <v>-905.11820247302762</v>
      </c>
      <c r="AA394" s="4">
        <f t="shared" ca="1" si="308"/>
        <v>-865.05205574213744</v>
      </c>
      <c r="AB394" s="3">
        <f t="shared" ca="1" si="308"/>
        <v>-823.69106273409511</v>
      </c>
    </row>
    <row r="395" spans="5:28" x14ac:dyDescent="0.25">
      <c r="E395" s="2">
        <f t="shared" si="271"/>
        <v>0.30000000000000004</v>
      </c>
      <c r="H395" s="3">
        <f t="shared" ref="H395:AB395" ca="1" si="309">-D*(H294-H296)/(2*delta)</f>
        <v>4.4919861439474517E-5</v>
      </c>
      <c r="I395" s="4">
        <f t="shared" ca="1" si="309"/>
        <v>-88.477224081659728</v>
      </c>
      <c r="J395" s="4">
        <f t="shared" ca="1" si="309"/>
        <v>-177.07497665642595</v>
      </c>
      <c r="K395" s="4">
        <f t="shared" ca="1" si="309"/>
        <v>-265.8398324070406</v>
      </c>
      <c r="L395" s="4">
        <f t="shared" ca="1" si="309"/>
        <v>-354.66461815916784</v>
      </c>
      <c r="M395" s="4">
        <f t="shared" ca="1" si="309"/>
        <v>-443.19612471933607</v>
      </c>
      <c r="N395" s="4">
        <f t="shared" ca="1" si="309"/>
        <v>-530.72890562612997</v>
      </c>
      <c r="O395" s="4">
        <f t="shared" ca="1" si="309"/>
        <v>-616.09173591272531</v>
      </c>
      <c r="P395" s="4">
        <f t="shared" ca="1" si="309"/>
        <v>-697.55070100703472</v>
      </c>
      <c r="Q395" s="4">
        <f t="shared" ca="1" si="309"/>
        <v>-772.78143069214036</v>
      </c>
      <c r="R395" s="4">
        <f t="shared" ca="1" si="309"/>
        <v>-838.99476348484973</v>
      </c>
      <c r="S395" s="4">
        <f t="shared" ca="1" si="309"/>
        <v>-893.29970193189297</v>
      </c>
      <c r="T395" s="4">
        <f t="shared" ca="1" si="309"/>
        <v>-933.28727654437421</v>
      </c>
      <c r="U395" s="4">
        <f t="shared" ca="1" si="309"/>
        <v>-957.61182494495563</v>
      </c>
      <c r="V395" s="4">
        <f t="shared" ca="1" si="309"/>
        <v>-966.31833351588068</v>
      </c>
      <c r="W395" s="4">
        <f t="shared" ca="1" si="309"/>
        <v>-960.82320265208875</v>
      </c>
      <c r="X395" s="4">
        <f t="shared" ca="1" si="309"/>
        <v>-943.54635064573426</v>
      </c>
      <c r="Y395" s="4">
        <f t="shared" ca="1" si="309"/>
        <v>-917.28314199589443</v>
      </c>
      <c r="Z395" s="4">
        <f t="shared" ca="1" si="309"/>
        <v>-884.56359555326185</v>
      </c>
      <c r="AA395" s="4">
        <f t="shared" ca="1" si="309"/>
        <v>-847.21970668925712</v>
      </c>
      <c r="AB395" s="3">
        <f t="shared" ca="1" si="309"/>
        <v>-806.17849015533272</v>
      </c>
    </row>
    <row r="396" spans="5:28" x14ac:dyDescent="0.25">
      <c r="E396" s="2">
        <f t="shared" si="271"/>
        <v>0.2</v>
      </c>
      <c r="H396" s="3">
        <f t="shared" ref="H396:AB396" ca="1" si="310">-D*(H295-H297)/(2*delta)</f>
        <v>4.5616463575047041E-5</v>
      </c>
      <c r="I396" s="4">
        <f t="shared" ca="1" si="310"/>
        <v>-88.136548035715279</v>
      </c>
      <c r="J396" s="4">
        <f t="shared" ca="1" si="310"/>
        <v>-176.21022791594442</v>
      </c>
      <c r="K396" s="4">
        <f t="shared" ca="1" si="310"/>
        <v>-264.08347203237656</v>
      </c>
      <c r="L396" s="4">
        <f t="shared" ca="1" si="310"/>
        <v>-351.46797608534467</v>
      </c>
      <c r="M396" s="4">
        <f t="shared" ca="1" si="310"/>
        <v>-437.84574639986579</v>
      </c>
      <c r="N396" s="4">
        <f t="shared" ca="1" si="310"/>
        <v>-522.39145510788944</v>
      </c>
      <c r="O396" s="4">
        <f t="shared" ca="1" si="310"/>
        <v>-603.90701690776041</v>
      </c>
      <c r="P396" s="4">
        <f t="shared" ca="1" si="310"/>
        <v>-680.79014861931398</v>
      </c>
      <c r="Q396" s="4">
        <f t="shared" ca="1" si="310"/>
        <v>-751.07095071558297</v>
      </c>
      <c r="R396" s="4">
        <f t="shared" ca="1" si="310"/>
        <v>-812.55614506158963</v>
      </c>
      <c r="S396" s="4">
        <f t="shared" ca="1" si="310"/>
        <v>-863.10268176149373</v>
      </c>
      <c r="T396" s="4">
        <f t="shared" ca="1" si="310"/>
        <v>-900.98438222417576</v>
      </c>
      <c r="U396" s="4">
        <f t="shared" ca="1" si="310"/>
        <v>-925.23675141441242</v>
      </c>
      <c r="V396" s="4">
        <f t="shared" ca="1" si="310"/>
        <v>-935.85241389169028</v>
      </c>
      <c r="W396" s="4">
        <f t="shared" ca="1" si="310"/>
        <v>-933.76042085596453</v>
      </c>
      <c r="X396" s="4">
        <f t="shared" ca="1" si="310"/>
        <v>-920.58837089787437</v>
      </c>
      <c r="Y396" s="4">
        <f t="shared" ca="1" si="310"/>
        <v>-898.27230297417771</v>
      </c>
      <c r="Z396" s="4">
        <f t="shared" ca="1" si="310"/>
        <v>-868.64123841249307</v>
      </c>
      <c r="AA396" s="4">
        <f t="shared" ca="1" si="310"/>
        <v>-833.09301815580648</v>
      </c>
      <c r="AB396" s="3">
        <f t="shared" ca="1" si="310"/>
        <v>-792.40420794460317</v>
      </c>
    </row>
    <row r="397" spans="5:28" x14ac:dyDescent="0.25">
      <c r="E397" s="2">
        <f t="shared" si="271"/>
        <v>0.1</v>
      </c>
      <c r="H397" s="3">
        <f t="shared" ref="H397:AB397" ca="1" si="311">-D*(H296-H298)/(2*delta)</f>
        <v>4.6035583011054963E-5</v>
      </c>
      <c r="I397" s="4">
        <f t="shared" ca="1" si="311"/>
        <v>-87.859516564374118</v>
      </c>
      <c r="J397" s="4">
        <f t="shared" ca="1" si="311"/>
        <v>-175.54710136677633</v>
      </c>
      <c r="K397" s="4">
        <f t="shared" ca="1" si="311"/>
        <v>-262.81749158274516</v>
      </c>
      <c r="L397" s="4">
        <f t="shared" ca="1" si="311"/>
        <v>-349.28015812399286</v>
      </c>
      <c r="M397" s="4">
        <f t="shared" ca="1" si="311"/>
        <v>-434.3299670069257</v>
      </c>
      <c r="N397" s="4">
        <f t="shared" ca="1" si="311"/>
        <v>-517.08713166030896</v>
      </c>
      <c r="O397" s="4">
        <f t="shared" ca="1" si="311"/>
        <v>-596.35814647826624</v>
      </c>
      <c r="P397" s="4">
        <f t="shared" ca="1" si="311"/>
        <v>-670.63577787481336</v>
      </c>
      <c r="Q397" s="4">
        <f t="shared" ca="1" si="311"/>
        <v>-738.16035917148963</v>
      </c>
      <c r="R397" s="4">
        <f t="shared" ca="1" si="311"/>
        <v>-797.0608888300319</v>
      </c>
      <c r="S397" s="4">
        <f t="shared" ca="1" si="311"/>
        <v>-845.575621754395</v>
      </c>
      <c r="T397" s="4">
        <f t="shared" ca="1" si="311"/>
        <v>-882.31635855675165</v>
      </c>
      <c r="U397" s="4">
        <f t="shared" ca="1" si="311"/>
        <v>-906.50433633674049</v>
      </c>
      <c r="V397" s="4">
        <f t="shared" ca="1" si="311"/>
        <v>-918.1005119296085</v>
      </c>
      <c r="W397" s="4">
        <f t="shared" ca="1" si="311"/>
        <v>-917.7844680807267</v>
      </c>
      <c r="X397" s="4">
        <f t="shared" ca="1" si="311"/>
        <v>-906.78159258804112</v>
      </c>
      <c r="Y397" s="4">
        <f t="shared" ca="1" si="311"/>
        <v>-886.58405917570042</v>
      </c>
      <c r="Z397" s="4">
        <f t="shared" ca="1" si="311"/>
        <v>-858.64405720348054</v>
      </c>
      <c r="AA397" s="4">
        <f t="shared" ca="1" si="311"/>
        <v>-824.11537135710455</v>
      </c>
      <c r="AB397" s="3">
        <f t="shared" ca="1" si="311"/>
        <v>-783.68744934321467</v>
      </c>
    </row>
    <row r="398" spans="5:28" x14ac:dyDescent="0.25">
      <c r="E398" s="2">
        <v>0</v>
      </c>
      <c r="H398" s="10">
        <f t="shared" ref="H398:AB398" ca="1" si="312">-D*(H297-H298)/delta</f>
        <v>4.6175441181922759E-5</v>
      </c>
      <c r="I398" s="10">
        <f t="shared" ca="1" si="312"/>
        <v>-87.755153434334574</v>
      </c>
      <c r="J398" s="10">
        <f t="shared" ca="1" si="312"/>
        <v>-175.30227288061985</v>
      </c>
      <c r="K398" s="10">
        <f t="shared" ca="1" si="312"/>
        <v>-262.36074918758061</v>
      </c>
      <c r="L398" s="10">
        <f t="shared" ca="1" si="312"/>
        <v>-348.50712041770805</v>
      </c>
      <c r="M398" s="10">
        <f t="shared" ca="1" si="312"/>
        <v>-433.1091593942453</v>
      </c>
      <c r="N398" s="10">
        <f t="shared" ca="1" si="312"/>
        <v>-515.27168680999614</v>
      </c>
      <c r="O398" s="10">
        <f t="shared" ca="1" si="312"/>
        <v>-593.80578533566484</v>
      </c>
      <c r="P398" s="10">
        <f t="shared" ca="1" si="312"/>
        <v>-667.23797585987552</v>
      </c>
      <c r="Q398" s="10">
        <f t="shared" ca="1" si="312"/>
        <v>-733.87772624239938</v>
      </c>
      <c r="R398" s="10">
        <f t="shared" ca="1" si="312"/>
        <v>-791.95572033751546</v>
      </c>
      <c r="S398" s="10">
        <f t="shared" ca="1" si="312"/>
        <v>-839.82722887950024</v>
      </c>
      <c r="T398" s="10">
        <f t="shared" ca="1" si="312"/>
        <v>-876.20614142719114</v>
      </c>
      <c r="U398" s="10">
        <f t="shared" ca="1" si="312"/>
        <v>-900.36914474090577</v>
      </c>
      <c r="V398" s="10">
        <f t="shared" ca="1" si="312"/>
        <v>-912.26662281758786</v>
      </c>
      <c r="W398" s="10">
        <f t="shared" ca="1" si="312"/>
        <v>-912.50151218164376</v>
      </c>
      <c r="X398" s="10">
        <f t="shared" ca="1" si="312"/>
        <v>-902.17601069798923</v>
      </c>
      <c r="Y398" s="10">
        <f t="shared" ca="1" si="312"/>
        <v>-882.64519928042807</v>
      </c>
      <c r="Z398" s="10">
        <f t="shared" ca="1" si="312"/>
        <v>-855.24285820382602</v>
      </c>
      <c r="AA398" s="10">
        <f t="shared" ca="1" si="312"/>
        <v>-821.04465126695436</v>
      </c>
      <c r="AB398" s="10">
        <f t="shared" ca="1" si="312"/>
        <v>-780.71188678870965</v>
      </c>
    </row>
  </sheetData>
  <mergeCells count="14">
    <mergeCell ref="H3:AB3"/>
    <mergeCell ref="D7:D47"/>
    <mergeCell ref="H53:AB53"/>
    <mergeCell ref="D57:D97"/>
    <mergeCell ref="H103:AB103"/>
    <mergeCell ref="D308:D348"/>
    <mergeCell ref="H354:AB354"/>
    <mergeCell ref="D107:D147"/>
    <mergeCell ref="H153:AB153"/>
    <mergeCell ref="D157:D197"/>
    <mergeCell ref="H203:AB203"/>
    <mergeCell ref="D207:D247"/>
    <mergeCell ref="H304:AB304"/>
    <mergeCell ref="H254:AB254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Hacer_Iteraciones">
                <anchor moveWithCells="1" siz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18</vt:i4>
      </vt:variant>
    </vt:vector>
  </HeadingPairs>
  <TitlesOfParts>
    <vt:vector size="21" baseType="lpstr">
      <vt:lpstr>Hoja1</vt:lpstr>
      <vt:lpstr>Hoja2</vt:lpstr>
      <vt:lpstr>Hoja3</vt:lpstr>
      <vt:lpstr>a</vt:lpstr>
      <vt:lpstr>b</vt:lpstr>
      <vt:lpstr>D</vt:lpstr>
      <vt:lpstr>delta</vt:lpstr>
      <vt:lpstr>desp_w</vt:lpstr>
      <vt:lpstr>E</vt:lpstr>
      <vt:lpstr>eta</vt:lpstr>
      <vt:lpstr>Mx</vt:lpstr>
      <vt:lpstr>Mxy</vt:lpstr>
      <vt:lpstr>My</vt:lpstr>
      <vt:lpstr>nu</vt:lpstr>
      <vt:lpstr>p</vt:lpstr>
      <vt:lpstr>Qx</vt:lpstr>
      <vt:lpstr>Qy</vt:lpstr>
      <vt:lpstr>t</vt:lpstr>
      <vt:lpstr>u</vt:lpstr>
      <vt:lpstr>v</vt:lpstr>
      <vt:lpstr>xi</vt:lpstr>
    </vt:vector>
  </TitlesOfParts>
  <Company>WindowsXP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XP</dc:creator>
  <cp:lastModifiedBy>User</cp:lastModifiedBy>
  <dcterms:created xsi:type="dcterms:W3CDTF">2010-05-22T19:09:40Z</dcterms:created>
  <dcterms:modified xsi:type="dcterms:W3CDTF">2017-05-11T23:00:32Z</dcterms:modified>
</cp:coreProperties>
</file>