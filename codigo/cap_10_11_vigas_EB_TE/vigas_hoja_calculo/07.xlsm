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APICHULO\Downloads\"/>
    </mc:Choice>
  </mc:AlternateContent>
  <bookViews>
    <workbookView xWindow="0" yWindow="0" windowWidth="28800" windowHeight="13380"/>
  </bookViews>
  <sheets>
    <sheet name="Hoja1" sheetId="1" r:id="rId1"/>
  </sheets>
  <functionGroups builtInGroupCount="18"/>
  <definedNames>
    <definedName name="delta">Hoja1!$B$1</definedName>
    <definedName name="E">Hoja1!$B$2</definedName>
    <definedName name="I">Hoja1!$B$3</definedName>
  </definedNames>
  <calcPr calcId="162913" calcMode="manual" iterate="1" iterateCount="3" iterateDelta="1.0000000000000001E-30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0" i="1" l="1"/>
  <c r="D69" i="1"/>
  <c r="D67" i="1"/>
  <c r="D68" i="1"/>
  <c r="A53" i="1"/>
  <c r="B3" i="1" l="1"/>
  <c r="B44" i="1"/>
  <c r="B40" i="1"/>
  <c r="B18" i="1" l="1"/>
  <c r="B22" i="1"/>
  <c r="A10" i="1" l="1"/>
  <c r="A11" i="1" s="1"/>
  <c r="A12" i="1" s="1"/>
  <c r="A13" i="1" s="1"/>
  <c r="A14" i="1" s="1"/>
  <c r="A15" i="1" s="1"/>
  <c r="A16" i="1" s="1"/>
  <c r="A17" i="1" s="1"/>
  <c r="A18" i="1" s="1"/>
  <c r="A20" i="1" s="1"/>
  <c r="A22" i="1" s="1"/>
  <c r="A23" i="1" s="1"/>
  <c r="A24" i="1" s="1"/>
  <c r="A25" i="1" s="1"/>
  <c r="A26" i="1" s="1"/>
  <c r="A27" i="1" s="1"/>
  <c r="A28" i="1" s="1"/>
  <c r="A29" i="1" s="1"/>
  <c r="A30" i="1" s="1"/>
  <c r="A31" i="1" l="1"/>
  <c r="A32" i="1" s="1"/>
  <c r="A33" i="1" s="1"/>
  <c r="A34" i="1" s="1"/>
  <c r="A35" i="1" s="1"/>
  <c r="A36" i="1" s="1"/>
  <c r="A37" i="1" s="1"/>
  <c r="A38" i="1" s="1"/>
  <c r="A39" i="1" s="1"/>
  <c r="A40" i="1" s="1"/>
  <c r="A42" i="1" s="1"/>
  <c r="A44" i="1" s="1"/>
  <c r="A45" i="1" s="1"/>
  <c r="A46" i="1" s="1"/>
  <c r="A47" i="1" s="1"/>
  <c r="A48" i="1" s="1"/>
  <c r="A49" i="1" s="1"/>
  <c r="A50" i="1" s="1"/>
  <c r="A51" i="1" s="1"/>
  <c r="A52" i="1" s="1"/>
  <c r="B53" i="1" s="1"/>
  <c r="A54" i="1" l="1"/>
  <c r="B54" i="1" s="1"/>
  <c r="A55" i="1" l="1"/>
  <c r="A56" i="1" s="1"/>
  <c r="B55" i="1" l="1"/>
  <c r="A57" i="1"/>
  <c r="B56" i="1"/>
  <c r="A58" i="1" l="1"/>
  <c r="B57" i="1"/>
  <c r="A59" i="1" l="1"/>
  <c r="B58" i="1"/>
  <c r="A60" i="1" l="1"/>
  <c r="B59" i="1"/>
  <c r="A61" i="1" l="1"/>
  <c r="B60" i="1"/>
  <c r="A62" i="1" l="1"/>
  <c r="B61" i="1"/>
  <c r="A63" i="1" l="1"/>
  <c r="B63" i="1" s="1"/>
  <c r="B62" i="1"/>
  <c r="C7" i="1"/>
  <c r="C8" i="1"/>
  <c r="C9" i="1"/>
  <c r="D9" i="1"/>
  <c r="E9" i="1"/>
  <c r="F9" i="1"/>
  <c r="G9" i="1"/>
  <c r="C10" i="1"/>
  <c r="D10" i="1"/>
  <c r="E10" i="1"/>
  <c r="F10" i="1"/>
  <c r="G10" i="1"/>
  <c r="C11" i="1"/>
  <c r="D11" i="1"/>
  <c r="E11" i="1"/>
  <c r="F11" i="1"/>
  <c r="G11" i="1"/>
  <c r="C12" i="1"/>
  <c r="D12" i="1"/>
  <c r="E12" i="1"/>
  <c r="F12" i="1"/>
  <c r="G12" i="1"/>
  <c r="C13" i="1"/>
  <c r="D13" i="1"/>
  <c r="E13" i="1"/>
  <c r="F13" i="1"/>
  <c r="G13" i="1"/>
  <c r="C14" i="1"/>
  <c r="D14" i="1"/>
  <c r="E14" i="1"/>
  <c r="F14" i="1"/>
  <c r="G14" i="1"/>
  <c r="C15" i="1"/>
  <c r="D15" i="1"/>
  <c r="E15" i="1"/>
  <c r="F15" i="1"/>
  <c r="G15" i="1"/>
  <c r="C16" i="1"/>
  <c r="D16" i="1"/>
  <c r="E16" i="1"/>
  <c r="F16" i="1"/>
  <c r="G16" i="1"/>
  <c r="C17" i="1"/>
  <c r="D17" i="1"/>
  <c r="E17" i="1"/>
  <c r="F17" i="1"/>
  <c r="G17" i="1"/>
  <c r="C18" i="1"/>
  <c r="D18" i="1"/>
  <c r="E18" i="1"/>
  <c r="F18" i="1"/>
  <c r="C19" i="1"/>
  <c r="D19" i="1"/>
  <c r="E19" i="1"/>
  <c r="F19" i="1"/>
  <c r="B20" i="1"/>
  <c r="C20" i="1"/>
  <c r="D20" i="1"/>
  <c r="C21" i="1"/>
  <c r="D21" i="1"/>
  <c r="E21" i="1"/>
  <c r="F21" i="1"/>
  <c r="C22" i="1"/>
  <c r="D22" i="1"/>
  <c r="E22" i="1"/>
  <c r="F22" i="1"/>
  <c r="C23" i="1"/>
  <c r="D23" i="1"/>
  <c r="E23" i="1"/>
  <c r="F23" i="1"/>
  <c r="G23" i="1"/>
  <c r="C24" i="1"/>
  <c r="D24" i="1"/>
  <c r="E24" i="1"/>
  <c r="F24" i="1"/>
  <c r="G24" i="1"/>
  <c r="C25" i="1"/>
  <c r="D25" i="1"/>
  <c r="E25" i="1"/>
  <c r="F25" i="1"/>
  <c r="G25" i="1"/>
  <c r="C26" i="1"/>
  <c r="D26" i="1"/>
  <c r="E26" i="1"/>
  <c r="F26" i="1"/>
  <c r="G26" i="1"/>
  <c r="C27" i="1"/>
  <c r="D27" i="1"/>
  <c r="E27" i="1"/>
  <c r="F27" i="1"/>
  <c r="G27" i="1"/>
  <c r="C28" i="1"/>
  <c r="D28" i="1"/>
  <c r="E28" i="1"/>
  <c r="F28" i="1"/>
  <c r="G28" i="1"/>
  <c r="C29" i="1"/>
  <c r="D29" i="1"/>
  <c r="E29" i="1"/>
  <c r="F29" i="1"/>
  <c r="G29" i="1"/>
  <c r="C30" i="1"/>
  <c r="D30" i="1"/>
  <c r="E30" i="1"/>
  <c r="F30" i="1"/>
  <c r="G30" i="1"/>
  <c r="C31" i="1"/>
  <c r="D31" i="1"/>
  <c r="E31" i="1"/>
  <c r="F31" i="1"/>
  <c r="G31" i="1"/>
  <c r="C32" i="1"/>
  <c r="D32" i="1"/>
  <c r="E32" i="1"/>
  <c r="F32" i="1"/>
  <c r="G32" i="1"/>
  <c r="C33" i="1"/>
  <c r="D33" i="1"/>
  <c r="E33" i="1"/>
  <c r="F33" i="1"/>
  <c r="G33" i="1"/>
  <c r="C34" i="1"/>
  <c r="D34" i="1"/>
  <c r="E34" i="1"/>
  <c r="F34" i="1"/>
  <c r="G34" i="1"/>
  <c r="C35" i="1"/>
  <c r="D35" i="1"/>
  <c r="E35" i="1"/>
  <c r="F35" i="1"/>
  <c r="G35" i="1"/>
  <c r="C36" i="1"/>
  <c r="D36" i="1"/>
  <c r="E36" i="1"/>
  <c r="F36" i="1"/>
  <c r="G36" i="1"/>
  <c r="C37" i="1"/>
  <c r="D37" i="1"/>
  <c r="E37" i="1"/>
  <c r="F37" i="1"/>
  <c r="G37" i="1"/>
  <c r="C38" i="1"/>
  <c r="D38" i="1"/>
  <c r="E38" i="1"/>
  <c r="F38" i="1"/>
  <c r="G38" i="1"/>
  <c r="C39" i="1"/>
  <c r="D39" i="1"/>
  <c r="E39" i="1"/>
  <c r="F39" i="1"/>
  <c r="G39" i="1"/>
  <c r="C40" i="1"/>
  <c r="D40" i="1"/>
  <c r="E40" i="1"/>
  <c r="F40" i="1"/>
  <c r="C41" i="1"/>
  <c r="D41" i="1"/>
  <c r="E41" i="1"/>
  <c r="F41" i="1"/>
  <c r="D42" i="1"/>
  <c r="C43" i="1"/>
  <c r="D43" i="1"/>
  <c r="E43" i="1"/>
  <c r="F43" i="1"/>
  <c r="C44" i="1"/>
  <c r="D44" i="1"/>
  <c r="E44" i="1"/>
  <c r="F44" i="1"/>
  <c r="C45" i="1"/>
  <c r="D45" i="1"/>
  <c r="E45" i="1"/>
  <c r="F45" i="1"/>
  <c r="G45" i="1"/>
  <c r="C46" i="1"/>
  <c r="D46" i="1"/>
  <c r="E46" i="1"/>
  <c r="F46" i="1"/>
  <c r="G46" i="1"/>
  <c r="C47" i="1"/>
  <c r="D47" i="1"/>
  <c r="E47" i="1"/>
  <c r="F47" i="1"/>
  <c r="G47" i="1"/>
  <c r="C48" i="1"/>
  <c r="D48" i="1"/>
  <c r="E48" i="1"/>
  <c r="F48" i="1"/>
  <c r="G48" i="1"/>
  <c r="C49" i="1"/>
  <c r="D49" i="1"/>
  <c r="E49" i="1"/>
  <c r="F49" i="1"/>
  <c r="G49" i="1"/>
  <c r="C50" i="1"/>
  <c r="D50" i="1"/>
  <c r="E50" i="1"/>
  <c r="F50" i="1"/>
  <c r="G50" i="1"/>
  <c r="C51" i="1"/>
  <c r="D51" i="1"/>
  <c r="E51" i="1"/>
  <c r="F51" i="1"/>
  <c r="G51" i="1"/>
  <c r="C52" i="1"/>
  <c r="D52" i="1"/>
  <c r="E52" i="1"/>
  <c r="F52" i="1"/>
  <c r="C53" i="1"/>
  <c r="D53" i="1"/>
  <c r="E53" i="1"/>
  <c r="F53" i="1"/>
  <c r="C54" i="1"/>
  <c r="D54" i="1"/>
  <c r="E54" i="1"/>
  <c r="F54" i="1"/>
  <c r="C55" i="1"/>
  <c r="D55" i="1"/>
  <c r="E55" i="1"/>
  <c r="F55" i="1"/>
  <c r="G55" i="1"/>
  <c r="C56" i="1"/>
  <c r="D56" i="1"/>
  <c r="E56" i="1"/>
  <c r="F56" i="1"/>
  <c r="G56" i="1"/>
  <c r="C57" i="1"/>
  <c r="D57" i="1"/>
  <c r="E57" i="1"/>
  <c r="F57" i="1"/>
  <c r="G57" i="1"/>
  <c r="C58" i="1"/>
  <c r="D58" i="1"/>
  <c r="E58" i="1"/>
  <c r="F58" i="1"/>
  <c r="G58" i="1"/>
  <c r="C59" i="1"/>
  <c r="D59" i="1"/>
  <c r="E59" i="1"/>
  <c r="F59" i="1"/>
  <c r="G59" i="1"/>
  <c r="C60" i="1"/>
  <c r="D60" i="1"/>
  <c r="E60" i="1"/>
  <c r="F60" i="1"/>
  <c r="G60" i="1"/>
  <c r="C61" i="1"/>
  <c r="D61" i="1"/>
  <c r="E61" i="1"/>
  <c r="F61" i="1"/>
  <c r="G61" i="1"/>
  <c r="C62" i="1"/>
  <c r="D62" i="1"/>
  <c r="E62" i="1"/>
  <c r="F62" i="1"/>
  <c r="D63" i="1"/>
  <c r="E63" i="1"/>
  <c r="F63" i="1"/>
  <c r="C64" i="1"/>
</calcChain>
</file>

<file path=xl/sharedStrings.xml><?xml version="1.0" encoding="utf-8"?>
<sst xmlns="http://schemas.openxmlformats.org/spreadsheetml/2006/main" count="22" uniqueCount="18">
  <si>
    <t>delta =</t>
  </si>
  <si>
    <t>m</t>
  </si>
  <si>
    <t xml:space="preserve">E = </t>
  </si>
  <si>
    <t>I =</t>
  </si>
  <si>
    <t>v(x) [m]</t>
  </si>
  <si>
    <t>theta(x) [rad]</t>
  </si>
  <si>
    <t>m^4</t>
  </si>
  <si>
    <t>Cálculo de las reacciones</t>
  </si>
  <si>
    <t>kPa</t>
  </si>
  <si>
    <t>q(x) [kN/m]</t>
  </si>
  <si>
    <t>M(x) [kN*m]</t>
  </si>
  <si>
    <t>V(x) [kN]</t>
  </si>
  <si>
    <t>Eje x [m]</t>
  </si>
  <si>
    <t>Ry(x=0) =</t>
  </si>
  <si>
    <t>Ry(x=5) =</t>
  </si>
  <si>
    <t>Ry(x=3) =</t>
  </si>
  <si>
    <t>Ry(x=1) =</t>
  </si>
  <si>
    <t>kN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</si>
</sst>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1" fillId="0" borderId="0" xfId="0" applyFont="1" applyAlignment="1">
      <alignment horizontal="center"/>
    </xf>
    <xf numFmtId="0" fontId="0" fillId="5" borderId="0" xfId="0" applyFill="1"/>
    <xf numFmtId="0" fontId="1" fillId="0" borderId="0" xfId="0" applyFont="1"/>
    <xf numFmtId="0" fontId="0" fillId="7" borderId="0" xfId="0" applyFont="1" applyFill="1" applyAlignment="1">
      <alignment horizontal="center"/>
    </xf>
    <xf numFmtId="165" fontId="0" fillId="0" borderId="0" xfId="0" applyNumberFormat="1"/>
    <xf numFmtId="165" fontId="0" fillId="6" borderId="0" xfId="0" applyNumberFormat="1" applyFill="1"/>
    <xf numFmtId="165" fontId="0" fillId="0" borderId="0" xfId="0" applyNumberFormat="1" applyFill="1"/>
    <xf numFmtId="0" fontId="0" fillId="8" borderId="0" xfId="0" applyFill="1"/>
    <xf numFmtId="165" fontId="0" fillId="9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Hoja1!$A$9:$A$63</c:f>
              <c:numCache>
                <c:formatCode>#,#00</c:formatCode>
                <c:ptCount val="5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,000">
                  <c:v>0.999</c:v>
                </c:pt>
                <c:pt idx="11" formatCode="0,000">
                  <c:v>0.99999999999999989</c:v>
                </c:pt>
                <c:pt idx="12" formatCode="0,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  <c:pt idx="23">
                  <c:v>2.1000000000000005</c:v>
                </c:pt>
                <c:pt idx="24">
                  <c:v>2.2000000000000006</c:v>
                </c:pt>
                <c:pt idx="25">
                  <c:v>2.3000000000000007</c:v>
                </c:pt>
                <c:pt idx="26">
                  <c:v>2.4000000000000008</c:v>
                </c:pt>
                <c:pt idx="27">
                  <c:v>2.5000000000000009</c:v>
                </c:pt>
                <c:pt idx="28">
                  <c:v>2.600000000000001</c:v>
                </c:pt>
                <c:pt idx="29">
                  <c:v>2.7000000000000011</c:v>
                </c:pt>
                <c:pt idx="30">
                  <c:v>2.8000000000000012</c:v>
                </c:pt>
                <c:pt idx="31">
                  <c:v>2.9000000000000012</c:v>
                </c:pt>
                <c:pt idx="32" formatCode="0,000">
                  <c:v>2.9990000000000001</c:v>
                </c:pt>
                <c:pt idx="33" formatCode="0,000">
                  <c:v>3.0000000000000013</c:v>
                </c:pt>
                <c:pt idx="34" formatCode="0,000">
                  <c:v>3.0009999999999999</c:v>
                </c:pt>
                <c:pt idx="35">
                  <c:v>3.1000000000000014</c:v>
                </c:pt>
                <c:pt idx="36">
                  <c:v>3.2000000000000015</c:v>
                </c:pt>
                <c:pt idx="37">
                  <c:v>3.3000000000000016</c:v>
                </c:pt>
                <c:pt idx="38">
                  <c:v>3.4000000000000017</c:v>
                </c:pt>
                <c:pt idx="39">
                  <c:v>3.5000000000000018</c:v>
                </c:pt>
                <c:pt idx="40">
                  <c:v>3.6000000000000019</c:v>
                </c:pt>
                <c:pt idx="41">
                  <c:v>3.700000000000002</c:v>
                </c:pt>
                <c:pt idx="42">
                  <c:v>3.800000000000002</c:v>
                </c:pt>
                <c:pt idx="43">
                  <c:v>3.9000000000000021</c:v>
                </c:pt>
                <c:pt idx="44">
                  <c:v>4.0000000000000018</c:v>
                </c:pt>
                <c:pt idx="45">
                  <c:v>4.1000000000000014</c:v>
                </c:pt>
                <c:pt idx="46">
                  <c:v>4.2000000000000011</c:v>
                </c:pt>
                <c:pt idx="47">
                  <c:v>4.3000000000000007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4.5999999999999996</c:v>
                </c:pt>
                <c:pt idx="51">
                  <c:v>4.6999999999999993</c:v>
                </c:pt>
                <c:pt idx="52">
                  <c:v>4.7999999999999989</c:v>
                </c:pt>
                <c:pt idx="53">
                  <c:v>4.8999999999999986</c:v>
                </c:pt>
                <c:pt idx="54">
                  <c:v>4.9999999999999982</c:v>
                </c:pt>
              </c:numCache>
            </c:numRef>
          </c:xVal>
          <c:yVal>
            <c:numRef>
              <c:f>Hoja1!$C$9:$C$63</c:f>
              <c:numCache>
                <c:formatCode>General</c:formatCode>
                <c:ptCount val="55"/>
                <c:pt idx="0">
                  <c:v>7.0899744373198468E-3</c:v>
                </c:pt>
                <c:pt idx="1">
                  <c:v>6.7649682869406584E-3</c:v>
                </c:pt>
                <c:pt idx="2">
                  <c:v>6.3749039245643195E-3</c:v>
                </c:pt>
                <c:pt idx="3">
                  <c:v>5.921389804860352E-3</c:v>
                </c:pt>
                <c:pt idx="4">
                  <c:v>5.406034382498274E-3</c:v>
                </c:pt>
                <c:pt idx="5">
                  <c:v>4.8304461121476076E-3</c:v>
                </c:pt>
                <c:pt idx="6">
                  <c:v>4.1962334484778735E-3</c:v>
                </c:pt>
                <c:pt idx="7">
                  <c:v>3.5050048461585958E-3</c:v>
                </c:pt>
                <c:pt idx="8">
                  <c:v>2.7583687598592994E-3</c:v>
                </c:pt>
                <c:pt idx="9">
                  <c:v>1.957933644249509E-3</c:v>
                </c:pt>
                <c:pt idx="10">
                  <c:v>1.1140872728848204E-3</c:v>
                </c:pt>
                <c:pt idx="11">
                  <c:v>1.1053079539987507E-3</c:v>
                </c:pt>
                <c:pt idx="12">
                  <c:v>1.096532215877312E-3</c:v>
                </c:pt>
                <c:pt idx="13">
                  <c:v>2.4654458822099602E-4</c:v>
                </c:pt>
                <c:pt idx="14">
                  <c:v>-5.7482052497973913E-4</c:v>
                </c:pt>
                <c:pt idx="15">
                  <c:v>-1.3596959019438835E-3</c:v>
                </c:pt>
                <c:pt idx="16">
                  <c:v>-2.1089900590118655E-3</c:v>
                </c:pt>
                <c:pt idx="17">
                  <c:v>-2.8236115125241127E-3</c:v>
                </c:pt>
                <c:pt idx="18">
                  <c:v>-3.5044687788210495E-3</c:v>
                </c:pt>
                <c:pt idx="19">
                  <c:v>-4.1524703742430976E-3</c:v>
                </c:pt>
                <c:pt idx="20">
                  <c:v>-4.7685248151306796E-3</c:v>
                </c:pt>
                <c:pt idx="21">
                  <c:v>-5.353540617824214E-3</c:v>
                </c:pt>
                <c:pt idx="22">
                  <c:v>-5.9084262986641139E-3</c:v>
                </c:pt>
                <c:pt idx="23">
                  <c:v>-6.4340903739907845E-3</c:v>
                </c:pt>
                <c:pt idx="24">
                  <c:v>-6.9314413601446277E-3</c:v>
                </c:pt>
                <c:pt idx="25">
                  <c:v>-7.4013877734660409E-3</c:v>
                </c:pt>
                <c:pt idx="26">
                  <c:v>-7.8448381302954166E-3</c:v>
                </c:pt>
                <c:pt idx="27">
                  <c:v>-8.2627009469731401E-3</c:v>
                </c:pt>
                <c:pt idx="28">
                  <c:v>-8.655884739839588E-3</c:v>
                </c:pt>
                <c:pt idx="29">
                  <c:v>-9.0252980252351379E-3</c:v>
                </c:pt>
                <c:pt idx="30">
                  <c:v>-9.3718493195001553E-3</c:v>
                </c:pt>
                <c:pt idx="31">
                  <c:v>-9.6964471389749916E-3</c:v>
                </c:pt>
                <c:pt idx="32">
                  <c:v>-9.997065660820658E-3</c:v>
                </c:pt>
                <c:pt idx="33">
                  <c:v>-0.01</c:v>
                </c:pt>
                <c:pt idx="34">
                  <c:v>-1.0002928819116878E-2</c:v>
                </c:pt>
                <c:pt idx="35">
                  <c:v>-1.0250083085582189E-2</c:v>
                </c:pt>
                <c:pt idx="36">
                  <c:v>-1.041437544004924E-2</c:v>
                </c:pt>
                <c:pt idx="37">
                  <c:v>-1.0493889441062169E-2</c:v>
                </c:pt>
                <c:pt idx="38">
                  <c:v>-1.0489637466281988E-2</c:v>
                </c:pt>
                <c:pt idx="39">
                  <c:v>-1.0402631893369712E-2</c:v>
                </c:pt>
                <c:pt idx="40">
                  <c:v>-1.0233885099986361E-2</c:v>
                </c:pt>
                <c:pt idx="41">
                  <c:v>-9.9844094637929568E-3</c:v>
                </c:pt>
                <c:pt idx="42">
                  <c:v>-9.6552173624505303E-3</c:v>
                </c:pt>
                <c:pt idx="43">
                  <c:v>-9.2473211736201072E-3</c:v>
                </c:pt>
                <c:pt idx="44">
                  <c:v>-8.7617332749627165E-3</c:v>
                </c:pt>
                <c:pt idx="45">
                  <c:v>-8.1994660441393925E-3</c:v>
                </c:pt>
                <c:pt idx="46">
                  <c:v>-7.5616429699222791E-3</c:v>
                </c:pt>
                <c:pt idx="47">
                  <c:v>-6.8496764299724108E-3</c:v>
                </c:pt>
                <c:pt idx="48">
                  <c:v>-6.0653343575063808E-3</c:v>
                </c:pt>
                <c:pt idx="49">
                  <c:v>-5.2108069079630026E-3</c:v>
                </c:pt>
                <c:pt idx="50">
                  <c:v>-4.2887731256699788E-3</c:v>
                </c:pt>
                <c:pt idx="51">
                  <c:v>-3.3024676105105708E-3</c:v>
                </c:pt>
                <c:pt idx="52">
                  <c:v>-2.255747184590263E-3</c:v>
                </c:pt>
                <c:pt idx="53">
                  <c:v>-1.1531575589034295E-3</c:v>
                </c:pt>
                <c:pt idx="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0A-40C4-8893-521BA239C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v(x)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Hoja1!$A$9:$A$63</c:f>
              <c:numCache>
                <c:formatCode>#,#00</c:formatCode>
                <c:ptCount val="5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,000">
                  <c:v>0.999</c:v>
                </c:pt>
                <c:pt idx="11" formatCode="0,000">
                  <c:v>0.99999999999999989</c:v>
                </c:pt>
                <c:pt idx="12" formatCode="0,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  <c:pt idx="23">
                  <c:v>2.1000000000000005</c:v>
                </c:pt>
                <c:pt idx="24">
                  <c:v>2.2000000000000006</c:v>
                </c:pt>
                <c:pt idx="25">
                  <c:v>2.3000000000000007</c:v>
                </c:pt>
                <c:pt idx="26">
                  <c:v>2.4000000000000008</c:v>
                </c:pt>
                <c:pt idx="27">
                  <c:v>2.5000000000000009</c:v>
                </c:pt>
                <c:pt idx="28">
                  <c:v>2.600000000000001</c:v>
                </c:pt>
                <c:pt idx="29">
                  <c:v>2.7000000000000011</c:v>
                </c:pt>
                <c:pt idx="30">
                  <c:v>2.8000000000000012</c:v>
                </c:pt>
                <c:pt idx="31">
                  <c:v>2.9000000000000012</c:v>
                </c:pt>
                <c:pt idx="32" formatCode="0,000">
                  <c:v>2.9990000000000001</c:v>
                </c:pt>
                <c:pt idx="33" formatCode="0,000">
                  <c:v>3.0000000000000013</c:v>
                </c:pt>
                <c:pt idx="34" formatCode="0,000">
                  <c:v>3.0009999999999999</c:v>
                </c:pt>
                <c:pt idx="35">
                  <c:v>3.1000000000000014</c:v>
                </c:pt>
                <c:pt idx="36">
                  <c:v>3.2000000000000015</c:v>
                </c:pt>
                <c:pt idx="37">
                  <c:v>3.3000000000000016</c:v>
                </c:pt>
                <c:pt idx="38">
                  <c:v>3.4000000000000017</c:v>
                </c:pt>
                <c:pt idx="39">
                  <c:v>3.5000000000000018</c:v>
                </c:pt>
                <c:pt idx="40">
                  <c:v>3.6000000000000019</c:v>
                </c:pt>
                <c:pt idx="41">
                  <c:v>3.700000000000002</c:v>
                </c:pt>
                <c:pt idx="42">
                  <c:v>3.800000000000002</c:v>
                </c:pt>
                <c:pt idx="43">
                  <c:v>3.9000000000000021</c:v>
                </c:pt>
                <c:pt idx="44">
                  <c:v>4.0000000000000018</c:v>
                </c:pt>
                <c:pt idx="45">
                  <c:v>4.1000000000000014</c:v>
                </c:pt>
                <c:pt idx="46">
                  <c:v>4.2000000000000011</c:v>
                </c:pt>
                <c:pt idx="47">
                  <c:v>4.3000000000000007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4.5999999999999996</c:v>
                </c:pt>
                <c:pt idx="51">
                  <c:v>4.6999999999999993</c:v>
                </c:pt>
                <c:pt idx="52">
                  <c:v>4.7999999999999989</c:v>
                </c:pt>
                <c:pt idx="53">
                  <c:v>4.8999999999999986</c:v>
                </c:pt>
                <c:pt idx="54">
                  <c:v>4.9999999999999982</c:v>
                </c:pt>
              </c:numCache>
            </c:numRef>
          </c:xVal>
          <c:yVal>
            <c:numRef>
              <c:f>Hoja1!$D$9:$D$63</c:f>
              <c:numCache>
                <c:formatCode>General</c:formatCode>
                <c:ptCount val="55"/>
                <c:pt idx="0">
                  <c:v>-2.9167281704585522E-3</c:v>
                </c:pt>
                <c:pt idx="1">
                  <c:v>-3.5753525637776361E-3</c:v>
                </c:pt>
                <c:pt idx="2">
                  <c:v>-4.2178924104015322E-3</c:v>
                </c:pt>
                <c:pt idx="3">
                  <c:v>-4.8443477103302275E-3</c:v>
                </c:pt>
                <c:pt idx="4">
                  <c:v>-5.454718463563722E-3</c:v>
                </c:pt>
                <c:pt idx="5">
                  <c:v>-6.0490046701020027E-3</c:v>
                </c:pt>
                <c:pt idx="6">
                  <c:v>-6.6272063299450583E-3</c:v>
                </c:pt>
                <c:pt idx="7">
                  <c:v>-7.1893234430928706E-3</c:v>
                </c:pt>
                <c:pt idx="8">
                  <c:v>-7.7353560095454335E-3</c:v>
                </c:pt>
                <c:pt idx="9">
                  <c:v>-8.2653040293027436E-3</c:v>
                </c:pt>
                <c:pt idx="10">
                  <c:v>-8.7741084861403217E-3</c:v>
                </c:pt>
                <c:pt idx="11">
                  <c:v>-8.5569452801425652E-3</c:v>
                </c:pt>
                <c:pt idx="12">
                  <c:v>-8.7753372797312185E-3</c:v>
                </c:pt>
                <c:pt idx="13">
                  <c:v>-8.4006423948924484E-3</c:v>
                </c:pt>
                <c:pt idx="14">
                  <c:v>-8.0312024508243963E-3</c:v>
                </c:pt>
                <c:pt idx="15">
                  <c:v>-7.6708476701606316E-3</c:v>
                </c:pt>
                <c:pt idx="16">
                  <c:v>-7.3195780529011463E-3</c:v>
                </c:pt>
                <c:pt idx="17">
                  <c:v>-6.9773935990459198E-3</c:v>
                </c:pt>
                <c:pt idx="18">
                  <c:v>-6.6442943085949242E-3</c:v>
                </c:pt>
                <c:pt idx="19">
                  <c:v>-6.3202801815481508E-3</c:v>
                </c:pt>
                <c:pt idx="20">
                  <c:v>-6.0053512179055824E-3</c:v>
                </c:pt>
                <c:pt idx="21">
                  <c:v>-5.6995074176671712E-3</c:v>
                </c:pt>
                <c:pt idx="22">
                  <c:v>-5.4027487808328521E-3</c:v>
                </c:pt>
                <c:pt idx="23">
                  <c:v>-5.1150753074025689E-3</c:v>
                </c:pt>
                <c:pt idx="24">
                  <c:v>-4.8364869973762823E-3</c:v>
                </c:pt>
                <c:pt idx="25">
                  <c:v>-4.5669838507539449E-3</c:v>
                </c:pt>
                <c:pt idx="26">
                  <c:v>-4.3065658675354957E-3</c:v>
                </c:pt>
                <c:pt idx="27">
                  <c:v>-4.0552330477208569E-3</c:v>
                </c:pt>
                <c:pt idx="28">
                  <c:v>-3.8129853913099893E-3</c:v>
                </c:pt>
                <c:pt idx="29">
                  <c:v>-3.5798228983028365E-3</c:v>
                </c:pt>
                <c:pt idx="30">
                  <c:v>-3.3557455686992685E-3</c:v>
                </c:pt>
                <c:pt idx="31">
                  <c:v>-3.1407534024992245E-3</c:v>
                </c:pt>
                <c:pt idx="32">
                  <c:v>-2.936860498171762E-3</c:v>
                </c:pt>
                <c:pt idx="33">
                  <c:v>-2.7681797330359869E-3</c:v>
                </c:pt>
                <c:pt idx="34">
                  <c:v>-2.9261665950138802E-3</c:v>
                </c:pt>
                <c:pt idx="35">
                  <c:v>-2.0718772002461996E-3</c:v>
                </c:pt>
                <c:pt idx="36">
                  <c:v>-1.2190317773998986E-3</c:v>
                </c:pt>
                <c:pt idx="37">
                  <c:v>-3.7631013116374082E-4</c:v>
                </c:pt>
                <c:pt idx="38">
                  <c:v>4.5628773846228231E-4</c:v>
                </c:pt>
                <c:pt idx="39">
                  <c:v>1.2787618314781361E-3</c:v>
                </c:pt>
                <c:pt idx="40">
                  <c:v>2.0911121478837773E-3</c:v>
                </c:pt>
                <c:pt idx="41">
                  <c:v>2.8933386876791537E-3</c:v>
                </c:pt>
                <c:pt idx="42">
                  <c:v>3.6854414508642481E-3</c:v>
                </c:pt>
                <c:pt idx="43">
                  <c:v>4.4674204374390691E-3</c:v>
                </c:pt>
                <c:pt idx="44">
                  <c:v>5.2392756474035733E-3</c:v>
                </c:pt>
                <c:pt idx="45">
                  <c:v>6.0004515252021868E-3</c:v>
                </c:pt>
                <c:pt idx="46">
                  <c:v>6.7489480708349085E-3</c:v>
                </c:pt>
                <c:pt idx="47">
                  <c:v>7.4815430620794919E-3</c:v>
                </c:pt>
                <c:pt idx="48">
                  <c:v>8.1943476100470401E-3</c:v>
                </c:pt>
                <c:pt idx="49">
                  <c:v>8.8828061591820096E-3</c:v>
                </c:pt>
                <c:pt idx="50">
                  <c:v>9.5416964872621583E-3</c:v>
                </c:pt>
                <c:pt idx="51">
                  <c:v>1.0165129705398578E-2</c:v>
                </c:pt>
                <c:pt idx="52">
                  <c:v>1.0746550258035704E-2</c:v>
                </c:pt>
                <c:pt idx="53">
                  <c:v>1.1278735922951314E-2</c:v>
                </c:pt>
                <c:pt idx="54">
                  <c:v>1.1753797811256518E-2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32-4F44-ABC7-80DD5469D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theta(x) [rad]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Hoja1!$A$9:$A$63</c:f>
              <c:numCache>
                <c:formatCode>#,#00</c:formatCode>
                <c:ptCount val="5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,000">
                  <c:v>0.999</c:v>
                </c:pt>
                <c:pt idx="11" formatCode="0,000">
                  <c:v>0.99999999999999989</c:v>
                </c:pt>
                <c:pt idx="12" formatCode="0,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  <c:pt idx="23">
                  <c:v>2.1000000000000005</c:v>
                </c:pt>
                <c:pt idx="24">
                  <c:v>2.2000000000000006</c:v>
                </c:pt>
                <c:pt idx="25">
                  <c:v>2.3000000000000007</c:v>
                </c:pt>
                <c:pt idx="26">
                  <c:v>2.4000000000000008</c:v>
                </c:pt>
                <c:pt idx="27">
                  <c:v>2.5000000000000009</c:v>
                </c:pt>
                <c:pt idx="28">
                  <c:v>2.600000000000001</c:v>
                </c:pt>
                <c:pt idx="29">
                  <c:v>2.7000000000000011</c:v>
                </c:pt>
                <c:pt idx="30">
                  <c:v>2.8000000000000012</c:v>
                </c:pt>
                <c:pt idx="31">
                  <c:v>2.9000000000000012</c:v>
                </c:pt>
                <c:pt idx="32" formatCode="0,000">
                  <c:v>2.9990000000000001</c:v>
                </c:pt>
                <c:pt idx="33" formatCode="0,000">
                  <c:v>3.0000000000000013</c:v>
                </c:pt>
                <c:pt idx="34" formatCode="0,000">
                  <c:v>3.0009999999999999</c:v>
                </c:pt>
                <c:pt idx="35">
                  <c:v>3.1000000000000014</c:v>
                </c:pt>
                <c:pt idx="36">
                  <c:v>3.2000000000000015</c:v>
                </c:pt>
                <c:pt idx="37">
                  <c:v>3.3000000000000016</c:v>
                </c:pt>
                <c:pt idx="38">
                  <c:v>3.4000000000000017</c:v>
                </c:pt>
                <c:pt idx="39">
                  <c:v>3.5000000000000018</c:v>
                </c:pt>
                <c:pt idx="40">
                  <c:v>3.6000000000000019</c:v>
                </c:pt>
                <c:pt idx="41">
                  <c:v>3.700000000000002</c:v>
                </c:pt>
                <c:pt idx="42">
                  <c:v>3.800000000000002</c:v>
                </c:pt>
                <c:pt idx="43">
                  <c:v>3.9000000000000021</c:v>
                </c:pt>
                <c:pt idx="44">
                  <c:v>4.0000000000000018</c:v>
                </c:pt>
                <c:pt idx="45">
                  <c:v>4.1000000000000014</c:v>
                </c:pt>
                <c:pt idx="46">
                  <c:v>4.2000000000000011</c:v>
                </c:pt>
                <c:pt idx="47">
                  <c:v>4.3000000000000007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4.5999999999999996</c:v>
                </c:pt>
                <c:pt idx="51">
                  <c:v>4.6999999999999993</c:v>
                </c:pt>
                <c:pt idx="52">
                  <c:v>4.7999999999999989</c:v>
                </c:pt>
                <c:pt idx="53">
                  <c:v>4.8999999999999986</c:v>
                </c:pt>
                <c:pt idx="54">
                  <c:v>4.9999999999999982</c:v>
                </c:pt>
              </c:numCache>
            </c:numRef>
          </c:xVal>
          <c:yVal>
            <c:numRef>
              <c:f>Hoja1!$E$9:$E$63</c:f>
              <c:numCache>
                <c:formatCode>General</c:formatCode>
                <c:ptCount val="55"/>
                <c:pt idx="0">
                  <c:v>-29.999999999999808</c:v>
                </c:pt>
                <c:pt idx="1">
                  <c:v>-29.276195398717729</c:v>
                </c:pt>
                <c:pt idx="2">
                  <c:v>-28.552390797432913</c:v>
                </c:pt>
                <c:pt idx="3">
                  <c:v>-27.828586196149658</c:v>
                </c:pt>
                <c:pt idx="4">
                  <c:v>-27.104781594864843</c:v>
                </c:pt>
                <c:pt idx="5">
                  <c:v>-26.380976993580415</c:v>
                </c:pt>
                <c:pt idx="6">
                  <c:v>-25.657172392294815</c:v>
                </c:pt>
                <c:pt idx="7">
                  <c:v>-24.93336779100844</c:v>
                </c:pt>
                <c:pt idx="8">
                  <c:v>-24.209563189722257</c:v>
                </c:pt>
                <c:pt idx="9">
                  <c:v>-23.485758588435683</c:v>
                </c:pt>
                <c:pt idx="10">
                  <c:v>-22.769192033161019</c:v>
                </c:pt>
                <c:pt idx="12">
                  <c:v>17.233957689319499</c:v>
                </c:pt>
                <c:pt idx="13">
                  <c:v>16.829213659658787</c:v>
                </c:pt>
                <c:pt idx="14">
                  <c:v>16.420381306465856</c:v>
                </c:pt>
                <c:pt idx="15">
                  <c:v>16.011548953273024</c:v>
                </c:pt>
                <c:pt idx="16">
                  <c:v>15.602716600080681</c:v>
                </c:pt>
                <c:pt idx="17">
                  <c:v>15.193884246889702</c:v>
                </c:pt>
                <c:pt idx="18">
                  <c:v>14.785051893699896</c:v>
                </c:pt>
                <c:pt idx="19">
                  <c:v>14.3762195405097</c:v>
                </c:pt>
                <c:pt idx="20">
                  <c:v>13.967387187321453</c:v>
                </c:pt>
                <c:pt idx="21">
                  <c:v>13.558554834135551</c:v>
                </c:pt>
                <c:pt idx="22">
                  <c:v>13.149722480953161</c:v>
                </c:pt>
                <c:pt idx="23">
                  <c:v>12.740890127772328</c:v>
                </c:pt>
                <c:pt idx="24">
                  <c:v>12.332057774593451</c:v>
                </c:pt>
                <c:pt idx="25">
                  <c:v>11.923225421416916</c:v>
                </c:pt>
                <c:pt idx="26">
                  <c:v>11.514393068243502</c:v>
                </c:pt>
                <c:pt idx="27">
                  <c:v>11.105560715073992</c:v>
                </c:pt>
                <c:pt idx="28">
                  <c:v>10.696728361904091</c:v>
                </c:pt>
                <c:pt idx="29">
                  <c:v>10.287896008739654</c:v>
                </c:pt>
                <c:pt idx="30">
                  <c:v>9.8790636555814633</c:v>
                </c:pt>
                <c:pt idx="31">
                  <c:v>9.4702313024224907</c:v>
                </c:pt>
                <c:pt idx="32">
                  <c:v>9.0654872727874363</c:v>
                </c:pt>
                <c:pt idx="34">
                  <c:v>39.056843249795712</c:v>
                </c:pt>
                <c:pt idx="35">
                  <c:v>38.605829001811955</c:v>
                </c:pt>
                <c:pt idx="36">
                  <c:v>38.150259054355125</c:v>
                </c:pt>
                <c:pt idx="37">
                  <c:v>37.694689106899062</c:v>
                </c:pt>
                <c:pt idx="38">
                  <c:v>37.239119159443007</c:v>
                </c:pt>
                <c:pt idx="39">
                  <c:v>36.783549211983825</c:v>
                </c:pt>
                <c:pt idx="40">
                  <c:v>36.327979264523862</c:v>
                </c:pt>
                <c:pt idx="41">
                  <c:v>35.872409317059997</c:v>
                </c:pt>
                <c:pt idx="42">
                  <c:v>35.416839369598478</c:v>
                </c:pt>
                <c:pt idx="43">
                  <c:v>34.961269422135395</c:v>
                </c:pt>
                <c:pt idx="44">
                  <c:v>34.505699474669967</c:v>
                </c:pt>
                <c:pt idx="45">
                  <c:v>34.000129527205623</c:v>
                </c:pt>
                <c:pt idx="46">
                  <c:v>33.364559579739705</c:v>
                </c:pt>
                <c:pt idx="47">
                  <c:v>32.568989632272789</c:v>
                </c:pt>
                <c:pt idx="48">
                  <c:v>31.583419684806607</c:v>
                </c:pt>
                <c:pt idx="49">
                  <c:v>30.377849737340561</c:v>
                </c:pt>
                <c:pt idx="50">
                  <c:v>28.922279789872878</c:v>
                </c:pt>
                <c:pt idx="51">
                  <c:v>27.186709842404909</c:v>
                </c:pt>
                <c:pt idx="52">
                  <c:v>25.141139894936437</c:v>
                </c:pt>
                <c:pt idx="53">
                  <c:v>22.755569947468228</c:v>
                </c:pt>
                <c:pt idx="54">
                  <c:v>19.999999999999972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AC-422F-A78B-FBD6E8ED4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M(x) [kN*m]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Hoja1!$A$9:$A$63</c:f>
              <c:numCache>
                <c:formatCode>0.0</c:formatCode>
                <c:ptCount val="55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 formatCode="0.000">
                  <c:v>0.999</c:v>
                </c:pt>
                <c:pt idx="11" formatCode="0.000">
                  <c:v>0.99999999999999989</c:v>
                </c:pt>
                <c:pt idx="12" formatCode="0.000">
                  <c:v>1.0009999999999999</c:v>
                </c:pt>
                <c:pt idx="13">
                  <c:v>1.0999999999999999</c:v>
                </c:pt>
                <c:pt idx="14">
                  <c:v>1.2</c:v>
                </c:pt>
                <c:pt idx="15">
                  <c:v>1.3</c:v>
                </c:pt>
                <c:pt idx="16">
                  <c:v>1.4000000000000001</c:v>
                </c:pt>
                <c:pt idx="17">
                  <c:v>1.5000000000000002</c:v>
                </c:pt>
                <c:pt idx="18">
                  <c:v>1.6000000000000003</c:v>
                </c:pt>
                <c:pt idx="19">
                  <c:v>1.7000000000000004</c:v>
                </c:pt>
                <c:pt idx="20">
                  <c:v>1.8000000000000005</c:v>
                </c:pt>
                <c:pt idx="21">
                  <c:v>1.9000000000000006</c:v>
                </c:pt>
                <c:pt idx="22">
                  <c:v>2.0000000000000004</c:v>
                </c:pt>
                <c:pt idx="23">
                  <c:v>2.1000000000000005</c:v>
                </c:pt>
                <c:pt idx="24">
                  <c:v>2.2000000000000006</c:v>
                </c:pt>
                <c:pt idx="25">
                  <c:v>2.3000000000000007</c:v>
                </c:pt>
                <c:pt idx="26">
                  <c:v>2.4000000000000008</c:v>
                </c:pt>
                <c:pt idx="27">
                  <c:v>2.5000000000000009</c:v>
                </c:pt>
                <c:pt idx="28">
                  <c:v>2.600000000000001</c:v>
                </c:pt>
                <c:pt idx="29">
                  <c:v>2.7000000000000011</c:v>
                </c:pt>
                <c:pt idx="30">
                  <c:v>2.8000000000000012</c:v>
                </c:pt>
                <c:pt idx="31">
                  <c:v>2.9000000000000012</c:v>
                </c:pt>
                <c:pt idx="32" formatCode="0.000">
                  <c:v>2.9990000000000001</c:v>
                </c:pt>
                <c:pt idx="33" formatCode="0.000">
                  <c:v>3.0000000000000013</c:v>
                </c:pt>
                <c:pt idx="34" formatCode="0.000">
                  <c:v>3.0009999999999999</c:v>
                </c:pt>
                <c:pt idx="35">
                  <c:v>3.1000000000000014</c:v>
                </c:pt>
                <c:pt idx="36">
                  <c:v>3.2000000000000015</c:v>
                </c:pt>
                <c:pt idx="37">
                  <c:v>3.3000000000000016</c:v>
                </c:pt>
                <c:pt idx="38">
                  <c:v>3.4000000000000017</c:v>
                </c:pt>
                <c:pt idx="39">
                  <c:v>3.5000000000000018</c:v>
                </c:pt>
                <c:pt idx="40">
                  <c:v>3.6000000000000019</c:v>
                </c:pt>
                <c:pt idx="41">
                  <c:v>3.700000000000002</c:v>
                </c:pt>
                <c:pt idx="42">
                  <c:v>3.800000000000002</c:v>
                </c:pt>
                <c:pt idx="43">
                  <c:v>3.9000000000000021</c:v>
                </c:pt>
                <c:pt idx="44">
                  <c:v>4.0000000000000018</c:v>
                </c:pt>
                <c:pt idx="45">
                  <c:v>4.1000000000000014</c:v>
                </c:pt>
                <c:pt idx="46">
                  <c:v>4.2000000000000011</c:v>
                </c:pt>
                <c:pt idx="47">
                  <c:v>4.3000000000000007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4.5999999999999996</c:v>
                </c:pt>
                <c:pt idx="51">
                  <c:v>4.6999999999999993</c:v>
                </c:pt>
                <c:pt idx="52">
                  <c:v>4.7999999999999989</c:v>
                </c:pt>
                <c:pt idx="53">
                  <c:v>4.8999999999999986</c:v>
                </c:pt>
                <c:pt idx="54">
                  <c:v>4.9999999999999982</c:v>
                </c:pt>
              </c:numCache>
            </c:numRef>
          </c:xVal>
          <c:yVal>
            <c:numRef>
              <c:f>Hoja1!$F$9:$F$63</c:f>
              <c:numCache>
                <c:formatCode>General</c:formatCode>
                <c:ptCount val="55"/>
                <c:pt idx="0">
                  <c:v>7.2380460128071888</c:v>
                </c:pt>
                <c:pt idx="1">
                  <c:v>7.2380460128344737</c:v>
                </c:pt>
                <c:pt idx="2">
                  <c:v>7.2380460128403534</c:v>
                </c:pt>
                <c:pt idx="3">
                  <c:v>7.2380460128403534</c:v>
                </c:pt>
                <c:pt idx="4">
                  <c:v>7.2380460128462154</c:v>
                </c:pt>
                <c:pt idx="5">
                  <c:v>7.2380460128501412</c:v>
                </c:pt>
                <c:pt idx="6">
                  <c:v>7.2380460128598756</c:v>
                </c:pt>
                <c:pt idx="7">
                  <c:v>7.2380460128627888</c:v>
                </c:pt>
                <c:pt idx="8">
                  <c:v>7.2380460128637836</c:v>
                </c:pt>
                <c:pt idx="9">
                  <c:v>7.2380460128677626</c:v>
                </c:pt>
                <c:pt idx="10">
                  <c:v>7.238046012879451</c:v>
                </c:pt>
                <c:pt idx="12">
                  <c:v>-4.0883235319043623</c:v>
                </c:pt>
                <c:pt idx="13">
                  <c:v>-4.0883235319225264</c:v>
                </c:pt>
                <c:pt idx="14">
                  <c:v>-4.0883235319288147</c:v>
                </c:pt>
                <c:pt idx="15">
                  <c:v>-4.0883235319258748</c:v>
                </c:pt>
                <c:pt idx="16">
                  <c:v>-4.0883235319166111</c:v>
                </c:pt>
                <c:pt idx="17">
                  <c:v>-4.0883235319039279</c:v>
                </c:pt>
                <c:pt idx="18">
                  <c:v>-4.0883235319000111</c:v>
                </c:pt>
                <c:pt idx="19">
                  <c:v>-4.0883235318922129</c:v>
                </c:pt>
                <c:pt idx="20">
                  <c:v>-4.0883235318707456</c:v>
                </c:pt>
                <c:pt idx="21">
                  <c:v>-4.0883235318414624</c:v>
                </c:pt>
                <c:pt idx="22">
                  <c:v>-4.0883235318161137</c:v>
                </c:pt>
                <c:pt idx="23">
                  <c:v>-4.0883235317985456</c:v>
                </c:pt>
                <c:pt idx="24">
                  <c:v>-4.0883235317770605</c:v>
                </c:pt>
                <c:pt idx="25">
                  <c:v>-4.0883235317497491</c:v>
                </c:pt>
                <c:pt idx="26">
                  <c:v>-4.0883235317146216</c:v>
                </c:pt>
                <c:pt idx="27">
                  <c:v>-4.0883235316970534</c:v>
                </c:pt>
                <c:pt idx="28">
                  <c:v>-4.088323531671687</c:v>
                </c:pt>
                <c:pt idx="29">
                  <c:v>-4.0883235316131383</c:v>
                </c:pt>
                <c:pt idx="30">
                  <c:v>-4.088323531585818</c:v>
                </c:pt>
                <c:pt idx="31">
                  <c:v>-4.0883235316541366</c:v>
                </c:pt>
                <c:pt idx="32">
                  <c:v>-4.0883235318792153</c:v>
                </c:pt>
                <c:pt idx="34">
                  <c:v>-4.5556994746915187</c:v>
                </c:pt>
                <c:pt idx="35">
                  <c:v>-4.5556994746033297</c:v>
                </c:pt>
                <c:pt idx="36">
                  <c:v>-4.555699474564463</c:v>
                </c:pt>
                <c:pt idx="37">
                  <c:v>-4.5556994745605905</c:v>
                </c:pt>
                <c:pt idx="38">
                  <c:v>-4.555699474576187</c:v>
                </c:pt>
                <c:pt idx="39">
                  <c:v>-4.5556994745957269</c:v>
                </c:pt>
                <c:pt idx="40">
                  <c:v>-4.5556994746191393</c:v>
                </c:pt>
                <c:pt idx="41">
                  <c:v>-4.5556994746269197</c:v>
                </c:pt>
                <c:pt idx="42">
                  <c:v>-4.5556994746230117</c:v>
                </c:pt>
                <c:pt idx="43">
                  <c:v>-4.5556994746425516</c:v>
                </c:pt>
                <c:pt idx="44">
                  <c:v>-4.8056994746488613</c:v>
                </c:pt>
                <c:pt idx="45">
                  <c:v>-5.7056994746513112</c:v>
                </c:pt>
                <c:pt idx="46">
                  <c:v>-7.1556994746641678</c:v>
                </c:pt>
                <c:pt idx="47">
                  <c:v>-8.9056994746654894</c:v>
                </c:pt>
                <c:pt idx="48">
                  <c:v>-10.955699474661138</c:v>
                </c:pt>
                <c:pt idx="49">
                  <c:v>-13.305699474668646</c:v>
                </c:pt>
                <c:pt idx="50">
                  <c:v>-15.955699474678262</c:v>
                </c:pt>
                <c:pt idx="51">
                  <c:v>-18.905699474682205</c:v>
                </c:pt>
                <c:pt idx="52">
                  <c:v>-22.155699474683406</c:v>
                </c:pt>
                <c:pt idx="53">
                  <c:v>-25.705699474682326</c:v>
                </c:pt>
                <c:pt idx="54">
                  <c:v>-29.405699474682763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B-4AD0-B4DA-BF034A7A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90464"/>
        <c:axId val="1184392960"/>
      </c:scatterChart>
      <c:valAx>
        <c:axId val="1184390464"/>
        <c:scaling>
          <c:orientation val="minMax"/>
          <c:max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[m]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2960"/>
        <c:crosses val="autoZero"/>
        <c:crossBetween val="midCat"/>
      </c:valAx>
      <c:valAx>
        <c:axId val="118439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V(x) [kN]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184390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jpe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761999</xdr:colOff>
      <xdr:row>7</xdr:row>
      <xdr:rowOff>0</xdr:rowOff>
    </xdr:from>
    <xdr:to>
      <xdr:col>16</xdr:col>
      <xdr:colOff>0</xdr:colOff>
      <xdr:row>15</xdr:row>
      <xdr:rowOff>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21981</xdr:colOff>
      <xdr:row>16</xdr:row>
      <xdr:rowOff>7327</xdr:rowOff>
    </xdr:from>
    <xdr:to>
      <xdr:col>16</xdr:col>
      <xdr:colOff>21982</xdr:colOff>
      <xdr:row>26</xdr:row>
      <xdr:rowOff>7327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27</xdr:row>
      <xdr:rowOff>0</xdr:rowOff>
    </xdr:from>
    <xdr:to>
      <xdr:col>16</xdr:col>
      <xdr:colOff>1</xdr:colOff>
      <xdr:row>35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36</xdr:row>
      <xdr:rowOff>0</xdr:rowOff>
    </xdr:from>
    <xdr:to>
      <xdr:col>16</xdr:col>
      <xdr:colOff>1</xdr:colOff>
      <xdr:row>46</xdr:row>
      <xdr:rowOff>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7327</xdr:colOff>
      <xdr:row>2</xdr:row>
      <xdr:rowOff>7327</xdr:rowOff>
    </xdr:from>
    <xdr:to>
      <xdr:col>30</xdr:col>
      <xdr:colOff>159727</xdr:colOff>
      <xdr:row>31</xdr:row>
      <xdr:rowOff>140677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42327" y="388327"/>
          <a:ext cx="10058400" cy="5657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70"/>
  <sheetViews>
    <sheetView tabSelected="1" zoomScale="130" zoomScaleNormal="130" workbookViewId="0">
      <selection activeCell="I65" sqref="I65"/>
    </sheetView>
  </sheetViews>
  <sheetFormatPr baseColWidth="10" defaultRowHeight="15" x14ac:dyDescent="0.25"/>
  <cols>
    <col min="3" max="3" width="13.5703125" bestFit="1" customWidth="1"/>
    <col min="4" max="4" width="12.7109375" customWidth="1"/>
    <col min="5" max="5" width="13.5703125" bestFit="1" customWidth="1"/>
    <col min="7" max="7" width="12.85546875" bestFit="1" customWidth="1"/>
  </cols>
  <sheetData>
    <row r="1" spans="1:7" x14ac:dyDescent="0.25">
      <c r="A1" t="s">
        <v>0</v>
      </c>
      <c r="B1">
        <v>0.1</v>
      </c>
      <c r="C1" t="s">
        <v>1</v>
      </c>
    </row>
    <row r="2" spans="1:7" x14ac:dyDescent="0.25">
      <c r="A2" t="s">
        <v>2</v>
      </c>
      <c r="B2" s="1">
        <v>20000000</v>
      </c>
      <c r="C2" t="s">
        <v>8</v>
      </c>
    </row>
    <row r="3" spans="1:7" x14ac:dyDescent="0.25">
      <c r="A3" t="s">
        <v>3</v>
      </c>
      <c r="B3">
        <f>0.1*0.3^3/12</f>
        <v>2.2500000000000002E-4</v>
      </c>
      <c r="C3" t="s">
        <v>6</v>
      </c>
    </row>
    <row r="6" spans="1:7" x14ac:dyDescent="0.25">
      <c r="A6" s="6" t="s">
        <v>12</v>
      </c>
      <c r="B6" s="6" t="s">
        <v>9</v>
      </c>
      <c r="C6" s="6" t="s">
        <v>4</v>
      </c>
      <c r="D6" s="6" t="s">
        <v>5</v>
      </c>
      <c r="E6" s="6" t="s">
        <v>10</v>
      </c>
      <c r="F6" s="6" t="s">
        <v>11</v>
      </c>
      <c r="G6" s="6" t="s">
        <v>9</v>
      </c>
    </row>
    <row r="7" spans="1:7" x14ac:dyDescent="0.25">
      <c r="A7" s="6"/>
      <c r="B7" s="6"/>
      <c r="C7" s="9">
        <f ca="1">-2*((20-1800*C9)*(delta^3))/(E*I)+C11-2*C10+2*C8</f>
        <v>7.5383782834087072E-3</v>
      </c>
      <c r="D7" s="6"/>
      <c r="E7" s="6"/>
      <c r="F7" s="6"/>
      <c r="G7" s="6"/>
    </row>
    <row r="8" spans="1:7" x14ac:dyDescent="0.25">
      <c r="C8" s="5">
        <f ca="1">(delta^2)*(-30)/(E*I)-C10+2*C9</f>
        <v>7.3483139210323688E-3</v>
      </c>
    </row>
    <row r="9" spans="1:7" x14ac:dyDescent="0.25">
      <c r="A9" s="2">
        <v>0</v>
      </c>
      <c r="C9" s="3">
        <f t="shared" ref="C9:C38" ca="1" si="0">(1/6)*(B9*delta^4/(E*I)-C7+4*C8+4*C10-C11)</f>
        <v>7.0899744373198468E-3</v>
      </c>
      <c r="D9">
        <f t="shared" ref="D9:D12" ca="1" si="1">(C10-C8)/(2*delta)</f>
        <v>-2.9167281704585522E-3</v>
      </c>
      <c r="E9">
        <f t="shared" ref="E9:E12" ca="1" si="2">E*I*(C10-2*C9+C8)/(delta^2)</f>
        <v>-29.999999999999808</v>
      </c>
      <c r="F9" s="7">
        <f ca="1">(-0.5*E11+2*E10-1.5*E9)/delta</f>
        <v>7.2380460128071888</v>
      </c>
      <c r="G9" s="7">
        <f ca="1">(-0.5*F11+2*F10-1.5*F9)/delta</f>
        <v>3.7987391010574356E-10</v>
      </c>
    </row>
    <row r="10" spans="1:7" x14ac:dyDescent="0.25">
      <c r="A10" s="2">
        <f t="shared" ref="A10:A18" si="3">A9+delta</f>
        <v>0.1</v>
      </c>
      <c r="C10" s="3">
        <f t="shared" ca="1" si="0"/>
        <v>6.7649682869406584E-3</v>
      </c>
      <c r="D10">
        <f t="shared" ca="1" si="1"/>
        <v>-3.5753525637776361E-3</v>
      </c>
      <c r="E10">
        <f t="shared" ca="1" si="2"/>
        <v>-29.276195398717729</v>
      </c>
      <c r="F10">
        <f t="shared" ref="F10:G12" ca="1" si="4">(E11-E9)/(2*delta)</f>
        <v>7.2380460128344737</v>
      </c>
      <c r="G10">
        <f t="shared" ca="1" si="4"/>
        <v>1.6582291095801338E-10</v>
      </c>
    </row>
    <row r="11" spans="1:7" x14ac:dyDescent="0.25">
      <c r="A11" s="2">
        <f t="shared" si="3"/>
        <v>0.2</v>
      </c>
      <c r="C11" s="3">
        <f t="shared" ca="1" si="0"/>
        <v>6.3749039245643195E-3</v>
      </c>
      <c r="D11">
        <f t="shared" ca="1" si="1"/>
        <v>-4.2178924104015322E-3</v>
      </c>
      <c r="E11">
        <f t="shared" ca="1" si="2"/>
        <v>-28.552390797432913</v>
      </c>
      <c r="F11">
        <f t="shared" ca="1" si="4"/>
        <v>7.2380460128403534</v>
      </c>
      <c r="G11">
        <f t="shared" ca="1" si="4"/>
        <v>2.9398705692074145E-11</v>
      </c>
    </row>
    <row r="12" spans="1:7" x14ac:dyDescent="0.25">
      <c r="A12" s="2">
        <f t="shared" si="3"/>
        <v>0.30000000000000004</v>
      </c>
      <c r="C12" s="3">
        <f t="shared" ca="1" si="0"/>
        <v>5.921389804860352E-3</v>
      </c>
      <c r="D12">
        <f t="shared" ca="1" si="1"/>
        <v>-4.8443477103302275E-3</v>
      </c>
      <c r="E12">
        <f t="shared" ca="1" si="2"/>
        <v>-27.828586196149658</v>
      </c>
      <c r="F12">
        <f t="shared" ca="1" si="4"/>
        <v>7.2380460128403534</v>
      </c>
      <c r="G12">
        <f t="shared" ca="1" si="4"/>
        <v>2.9309887850104133E-11</v>
      </c>
    </row>
    <row r="13" spans="1:7" x14ac:dyDescent="0.25">
      <c r="A13" s="2">
        <f t="shared" si="3"/>
        <v>0.4</v>
      </c>
      <c r="C13" s="3">
        <f t="shared" ca="1" si="0"/>
        <v>5.406034382498274E-3</v>
      </c>
      <c r="D13">
        <f t="shared" ref="D13:D23" ca="1" si="5">(C14-C12)/(2*delta)</f>
        <v>-5.454718463563722E-3</v>
      </c>
      <c r="E13">
        <f t="shared" ref="E13:E23" ca="1" si="6">E*I*(C14-2*C13+C12)/(delta^2)</f>
        <v>-27.104781594864843</v>
      </c>
      <c r="F13">
        <f t="shared" ref="F13:F23" ca="1" si="7">(E14-E12)/(2*delta)</f>
        <v>7.2380460128462154</v>
      </c>
      <c r="G13">
        <f t="shared" ref="G13:G15" ca="1" si="8">(F14-F12)/(2*delta)</f>
        <v>4.89386309254769E-11</v>
      </c>
    </row>
    <row r="14" spans="1:7" x14ac:dyDescent="0.25">
      <c r="A14" s="2">
        <f t="shared" si="3"/>
        <v>0.5</v>
      </c>
      <c r="C14" s="3">
        <f t="shared" ca="1" si="0"/>
        <v>4.8304461121476076E-3</v>
      </c>
      <c r="D14">
        <f t="shared" ca="1" si="5"/>
        <v>-6.0490046701020027E-3</v>
      </c>
      <c r="E14">
        <f t="shared" ca="1" si="6"/>
        <v>-26.380976993580415</v>
      </c>
      <c r="F14">
        <f t="shared" ca="1" si="7"/>
        <v>7.2380460128501412</v>
      </c>
      <c r="G14">
        <f t="shared" ca="1" si="8"/>
        <v>6.830092047493963E-11</v>
      </c>
    </row>
    <row r="15" spans="1:7" x14ac:dyDescent="0.25">
      <c r="A15" s="2">
        <f t="shared" si="3"/>
        <v>0.6</v>
      </c>
      <c r="C15" s="3">
        <f t="shared" ca="1" si="0"/>
        <v>4.1962334484778735E-3</v>
      </c>
      <c r="D15">
        <f t="shared" ca="1" si="5"/>
        <v>-6.6272063299450583E-3</v>
      </c>
      <c r="E15">
        <f t="shared" ca="1" si="6"/>
        <v>-25.657172392294815</v>
      </c>
      <c r="F15">
        <f t="shared" ca="1" si="7"/>
        <v>7.2380460128598756</v>
      </c>
      <c r="G15">
        <f t="shared" ca="1" si="8"/>
        <v>6.3238303482648917E-11</v>
      </c>
    </row>
    <row r="16" spans="1:7" x14ac:dyDescent="0.25">
      <c r="A16" s="2">
        <f t="shared" si="3"/>
        <v>0.7</v>
      </c>
      <c r="C16" s="3">
        <f t="shared" ca="1" si="0"/>
        <v>3.5050048461585958E-3</v>
      </c>
      <c r="D16">
        <f t="shared" ca="1" si="5"/>
        <v>-7.1893234430928706E-3</v>
      </c>
      <c r="E16">
        <f t="shared" ca="1" si="6"/>
        <v>-24.93336779100844</v>
      </c>
      <c r="F16">
        <f t="shared" ca="1" si="7"/>
        <v>7.2380460128627888</v>
      </c>
      <c r="G16">
        <f ca="1">(F17-F15)/(2*delta)</f>
        <v>1.9539925233402755E-11</v>
      </c>
    </row>
    <row r="17" spans="1:7" x14ac:dyDescent="0.25">
      <c r="A17" s="2">
        <f t="shared" si="3"/>
        <v>0.79999999999999993</v>
      </c>
      <c r="C17" s="3">
        <f ca="1">(1/6)*(B17*delta^4/(E*I)-C15+4*C16+4*C18-C20)</f>
        <v>2.7583687598592994E-3</v>
      </c>
      <c r="D17">
        <f t="shared" ca="1" si="5"/>
        <v>-7.7353560095454335E-3</v>
      </c>
      <c r="E17">
        <f t="shared" ca="1" si="6"/>
        <v>-24.209563189722257</v>
      </c>
      <c r="F17">
        <f t="shared" ca="1" si="7"/>
        <v>7.2380460128637836</v>
      </c>
      <c r="G17">
        <f ca="1">(F18-F16)/(2*delta)</f>
        <v>2.4868995751603507E-11</v>
      </c>
    </row>
    <row r="18" spans="1:7" x14ac:dyDescent="0.25">
      <c r="A18" s="2">
        <f t="shared" si="3"/>
        <v>0.89999999999999991</v>
      </c>
      <c r="B18">
        <f>40/(2*delta^2)</f>
        <v>1999.9999999999995</v>
      </c>
      <c r="C18" s="3">
        <f ca="1">(1/6)*(B18*delta^4/(E*I)-C16+4*C17+4*C20-C22)</f>
        <v>1.957933644249509E-3</v>
      </c>
      <c r="D18">
        <f ca="1">(C20-C17)/(2*delta)</f>
        <v>-8.2653040293027436E-3</v>
      </c>
      <c r="E18">
        <f ca="1">E*I*(C20-2*C18+C17)/(delta^2)</f>
        <v>-23.485758588435683</v>
      </c>
      <c r="F18" s="13">
        <f t="shared" ref="D18:F19" ca="1" si="9">lagrange($A18,$A14:$A17,F14:F17)</f>
        <v>7.2380460128677626</v>
      </c>
    </row>
    <row r="19" spans="1:7" x14ac:dyDescent="0.25">
      <c r="A19" s="10">
        <v>0.999</v>
      </c>
      <c r="C19" s="13">
        <f ca="1">lagrange($A19,$A15:$A18,C15:C18)</f>
        <v>1.1140872728848204E-3</v>
      </c>
      <c r="D19" s="13">
        <f t="shared" ca="1" si="9"/>
        <v>-8.7741084861403217E-3</v>
      </c>
      <c r="E19" s="13">
        <f t="shared" ca="1" si="9"/>
        <v>-22.769192033161019</v>
      </c>
      <c r="F19" s="13">
        <f t="shared" ca="1" si="9"/>
        <v>7.238046012879451</v>
      </c>
    </row>
    <row r="20" spans="1:7" x14ac:dyDescent="0.25">
      <c r="A20" s="11">
        <f>A18+delta</f>
        <v>0.99999999999999989</v>
      </c>
      <c r="B20">
        <f ca="1">(-10-1200*C20)/delta</f>
        <v>-113.263695447985</v>
      </c>
      <c r="C20" s="3">
        <f ca="1">(1/6)*(B20*delta^4/(E*I)-C17+4*C18+4*C22-C23)</f>
        <v>1.1053079539987507E-3</v>
      </c>
      <c r="D20">
        <f ca="1">(C22-C18)/(2*delta)</f>
        <v>-8.5569452801425652E-3</v>
      </c>
    </row>
    <row r="21" spans="1:7" x14ac:dyDescent="0.25">
      <c r="A21" s="12">
        <v>1.0009999999999999</v>
      </c>
      <c r="C21" s="13">
        <f ca="1">lagrange($A21,$A22:$A25,C22:C25)</f>
        <v>1.096532215877312E-3</v>
      </c>
      <c r="D21" s="13">
        <f t="shared" ref="D21:F22" ca="1" si="10">lagrange($A21,$A22:$A25,D22:D25)</f>
        <v>-8.7753372797312185E-3</v>
      </c>
      <c r="E21" s="13">
        <f t="shared" ca="1" si="10"/>
        <v>17.233957689319499</v>
      </c>
      <c r="F21" s="13">
        <f t="shared" ca="1" si="10"/>
        <v>-4.0883235319043623</v>
      </c>
    </row>
    <row r="22" spans="1:7" x14ac:dyDescent="0.25">
      <c r="A22" s="2">
        <f>A20+delta</f>
        <v>1.0999999999999999</v>
      </c>
      <c r="B22">
        <f>-40/(2*delta^2)</f>
        <v>-1999.9999999999995</v>
      </c>
      <c r="C22" s="3">
        <f ca="1">(1/6)*(B22*delta^4/(E*I)-C18+4*C20+4*C23-C24)</f>
        <v>2.4654458822099602E-4</v>
      </c>
      <c r="D22">
        <f ca="1">(C23-C20)/(2*delta)</f>
        <v>-8.4006423948924484E-3</v>
      </c>
      <c r="E22">
        <f ca="1">E*I*(C23-2*C22+C20)/(delta^2)</f>
        <v>16.829213659658787</v>
      </c>
      <c r="F22" s="13">
        <f t="shared" ca="1" si="10"/>
        <v>-4.0883235319225264</v>
      </c>
    </row>
    <row r="23" spans="1:7" x14ac:dyDescent="0.25">
      <c r="A23" s="2">
        <f t="shared" ref="A23:A63" si="11">A22+delta</f>
        <v>1.2</v>
      </c>
      <c r="C23" s="3">
        <f ca="1">(1/6)*(B23*delta^4/(E*I)-C20+4*C22+4*C24-C25)</f>
        <v>-5.7482052497973913E-4</v>
      </c>
      <c r="D23">
        <f t="shared" ca="1" si="5"/>
        <v>-8.0312024508243963E-3</v>
      </c>
      <c r="E23">
        <f t="shared" ca="1" si="6"/>
        <v>16.420381306465856</v>
      </c>
      <c r="F23">
        <f t="shared" ca="1" si="7"/>
        <v>-4.0883235319288147</v>
      </c>
      <c r="G23">
        <f t="shared" ref="G23:G60" ca="1" si="12">(F24-F22)/(2*delta)</f>
        <v>-1.6742163211347361E-11</v>
      </c>
    </row>
    <row r="24" spans="1:7" x14ac:dyDescent="0.25">
      <c r="A24" s="2">
        <f t="shared" si="11"/>
        <v>1.3</v>
      </c>
      <c r="C24" s="3">
        <f t="shared" ca="1" si="0"/>
        <v>-1.3596959019438835E-3</v>
      </c>
      <c r="D24">
        <f t="shared" ref="D24:D60" ca="1" si="13">(C25-C23)/(2*delta)</f>
        <v>-7.6708476701606316E-3</v>
      </c>
      <c r="E24">
        <f t="shared" ref="E24:E60" ca="1" si="14">E*I*(C25-2*C24+C23)/(delta^2)</f>
        <v>16.011548953273024</v>
      </c>
      <c r="F24">
        <f t="shared" ref="F24:F60" ca="1" si="15">(E25-E23)/(2*delta)</f>
        <v>-4.0883235319258748</v>
      </c>
      <c r="G24">
        <f t="shared" ca="1" si="12"/>
        <v>6.1017857433398603E-11</v>
      </c>
    </row>
    <row r="25" spans="1:7" x14ac:dyDescent="0.25">
      <c r="A25" s="2">
        <f t="shared" si="11"/>
        <v>1.4000000000000001</v>
      </c>
      <c r="C25" s="3">
        <f t="shared" ca="1" si="0"/>
        <v>-2.1089900590118655E-3</v>
      </c>
      <c r="D25">
        <f t="shared" ca="1" si="13"/>
        <v>-7.3195780529011463E-3</v>
      </c>
      <c r="E25">
        <f t="shared" ca="1" si="14"/>
        <v>15.602716600080681</v>
      </c>
      <c r="F25">
        <f t="shared" ca="1" si="15"/>
        <v>-4.0883235319166111</v>
      </c>
      <c r="G25">
        <f t="shared" ca="1" si="12"/>
        <v>1.0973444375395047E-10</v>
      </c>
    </row>
    <row r="26" spans="1:7" x14ac:dyDescent="0.25">
      <c r="A26" s="2">
        <f t="shared" si="11"/>
        <v>1.5000000000000002</v>
      </c>
      <c r="C26" s="3">
        <f t="shared" ca="1" si="0"/>
        <v>-2.8236115125241127E-3</v>
      </c>
      <c r="D26">
        <f t="shared" ca="1" si="13"/>
        <v>-6.9773935990459198E-3</v>
      </c>
      <c r="E26">
        <f t="shared" ca="1" si="14"/>
        <v>15.193884246889702</v>
      </c>
      <c r="F26">
        <f t="shared" ca="1" si="15"/>
        <v>-4.0883235319039279</v>
      </c>
      <c r="G26">
        <f t="shared" ca="1" si="12"/>
        <v>8.3000273320976703E-11</v>
      </c>
    </row>
    <row r="27" spans="1:7" x14ac:dyDescent="0.25">
      <c r="A27" s="2">
        <f t="shared" si="11"/>
        <v>1.6000000000000003</v>
      </c>
      <c r="C27" s="3">
        <f t="shared" ca="1" si="0"/>
        <v>-3.5044687788210495E-3</v>
      </c>
      <c r="D27">
        <f t="shared" ca="1" si="13"/>
        <v>-6.6442943085949242E-3</v>
      </c>
      <c r="E27">
        <f t="shared" ca="1" si="14"/>
        <v>14.785051893699896</v>
      </c>
      <c r="F27">
        <f t="shared" ca="1" si="15"/>
        <v>-4.0883235319000111</v>
      </c>
      <c r="G27">
        <f t="shared" ca="1" si="12"/>
        <v>5.8575366779223259E-11</v>
      </c>
    </row>
    <row r="28" spans="1:7" x14ac:dyDescent="0.25">
      <c r="A28" s="2">
        <f t="shared" si="11"/>
        <v>1.7000000000000004</v>
      </c>
      <c r="C28" s="3">
        <f t="shared" ca="1" si="0"/>
        <v>-4.1524703742430976E-3</v>
      </c>
      <c r="D28">
        <f t="shared" ca="1" si="13"/>
        <v>-6.3202801815481508E-3</v>
      </c>
      <c r="E28">
        <f t="shared" ca="1" si="14"/>
        <v>14.3762195405097</v>
      </c>
      <c r="F28">
        <f t="shared" ca="1" si="15"/>
        <v>-4.0883235318922129</v>
      </c>
      <c r="G28">
        <f t="shared" ca="1" si="12"/>
        <v>1.4632739464559563E-10</v>
      </c>
    </row>
    <row r="29" spans="1:7" x14ac:dyDescent="0.25">
      <c r="A29" s="2">
        <f t="shared" si="11"/>
        <v>1.8000000000000005</v>
      </c>
      <c r="C29" s="3">
        <f t="shared" ca="1" si="0"/>
        <v>-4.7685248151306796E-3</v>
      </c>
      <c r="D29">
        <f t="shared" ca="1" si="13"/>
        <v>-6.0053512179055824E-3</v>
      </c>
      <c r="E29">
        <f t="shared" ca="1" si="14"/>
        <v>13.967387187321453</v>
      </c>
      <c r="F29">
        <f t="shared" ca="1" si="15"/>
        <v>-4.0883235318707456</v>
      </c>
      <c r="G29">
        <f t="shared" ca="1" si="12"/>
        <v>2.5375257450832578E-10</v>
      </c>
    </row>
    <row r="30" spans="1:7" x14ac:dyDescent="0.25">
      <c r="A30" s="2">
        <f t="shared" si="11"/>
        <v>1.9000000000000006</v>
      </c>
      <c r="C30" s="3">
        <f t="shared" ca="1" si="0"/>
        <v>-5.353540617824214E-3</v>
      </c>
      <c r="D30">
        <f t="shared" ca="1" si="13"/>
        <v>-5.6995074176671712E-3</v>
      </c>
      <c r="E30">
        <f t="shared" ca="1" si="14"/>
        <v>13.558554834135551</v>
      </c>
      <c r="F30">
        <f t="shared" ca="1" si="15"/>
        <v>-4.0883235318414624</v>
      </c>
      <c r="G30">
        <f t="shared" ca="1" si="12"/>
        <v>2.7315927297877352E-10</v>
      </c>
    </row>
    <row r="31" spans="1:7" x14ac:dyDescent="0.25">
      <c r="A31" s="2">
        <f t="shared" si="11"/>
        <v>2.0000000000000004</v>
      </c>
      <c r="C31" s="3">
        <f t="shared" ca="1" si="0"/>
        <v>-5.9084262986641139E-3</v>
      </c>
      <c r="D31">
        <f t="shared" ca="1" si="13"/>
        <v>-5.4027487808328521E-3</v>
      </c>
      <c r="E31">
        <f t="shared" ca="1" si="14"/>
        <v>13.149722480953161</v>
      </c>
      <c r="F31">
        <f t="shared" ca="1" si="15"/>
        <v>-4.0883235318161137</v>
      </c>
      <c r="G31">
        <f t="shared" ca="1" si="12"/>
        <v>2.1458390619955026E-10</v>
      </c>
    </row>
    <row r="32" spans="1:7" x14ac:dyDescent="0.25">
      <c r="A32" s="2">
        <f t="shared" si="11"/>
        <v>2.1000000000000005</v>
      </c>
      <c r="C32" s="3">
        <f t="shared" ca="1" si="0"/>
        <v>-6.4340903739907845E-3</v>
      </c>
      <c r="D32">
        <f t="shared" ca="1" si="13"/>
        <v>-5.1150753074025689E-3</v>
      </c>
      <c r="E32">
        <f t="shared" ca="1" si="14"/>
        <v>12.740890127772328</v>
      </c>
      <c r="F32">
        <f t="shared" ca="1" si="15"/>
        <v>-4.0883235317985456</v>
      </c>
      <c r="G32">
        <f t="shared" ca="1" si="12"/>
        <v>1.9526602557107253E-10</v>
      </c>
    </row>
    <row r="33" spans="1:7" x14ac:dyDescent="0.25">
      <c r="A33" s="2">
        <f t="shared" si="11"/>
        <v>2.2000000000000006</v>
      </c>
      <c r="C33" s="3">
        <f t="shared" ca="1" si="0"/>
        <v>-6.9314413601446277E-3</v>
      </c>
      <c r="D33">
        <f t="shared" ca="1" si="13"/>
        <v>-4.8364869973762823E-3</v>
      </c>
      <c r="E33">
        <f t="shared" ca="1" si="14"/>
        <v>12.332057774593451</v>
      </c>
      <c r="F33">
        <f t="shared" ca="1" si="15"/>
        <v>-4.0883235317770605</v>
      </c>
      <c r="G33">
        <f t="shared" ca="1" si="12"/>
        <v>2.439826118916244E-10</v>
      </c>
    </row>
    <row r="34" spans="1:7" x14ac:dyDescent="0.25">
      <c r="A34" s="2">
        <f t="shared" si="11"/>
        <v>2.3000000000000007</v>
      </c>
      <c r="C34" s="3">
        <f t="shared" ca="1" si="0"/>
        <v>-7.4013877734660409E-3</v>
      </c>
      <c r="D34">
        <f t="shared" ca="1" si="13"/>
        <v>-4.5669838507539449E-3</v>
      </c>
      <c r="E34">
        <f t="shared" ca="1" si="14"/>
        <v>11.923225421416916</v>
      </c>
      <c r="F34">
        <f t="shared" ca="1" si="15"/>
        <v>-4.0883235317497491</v>
      </c>
      <c r="G34">
        <f t="shared" ca="1" si="12"/>
        <v>3.1219471452459402E-10</v>
      </c>
    </row>
    <row r="35" spans="1:7" x14ac:dyDescent="0.25">
      <c r="A35" s="2">
        <f t="shared" si="11"/>
        <v>2.4000000000000008</v>
      </c>
      <c r="C35" s="3">
        <f t="shared" ca="1" si="0"/>
        <v>-7.8448381302954166E-3</v>
      </c>
      <c r="D35">
        <f t="shared" ca="1" si="13"/>
        <v>-4.3065658675354957E-3</v>
      </c>
      <c r="E35">
        <f t="shared" ca="1" si="14"/>
        <v>11.514393068243502</v>
      </c>
      <c r="F35">
        <f t="shared" ca="1" si="15"/>
        <v>-4.0883235317146216</v>
      </c>
      <c r="G35">
        <f t="shared" ca="1" si="12"/>
        <v>2.6347812820404215E-10</v>
      </c>
    </row>
    <row r="36" spans="1:7" x14ac:dyDescent="0.25">
      <c r="A36" s="2">
        <f t="shared" si="11"/>
        <v>2.5000000000000009</v>
      </c>
      <c r="C36" s="3">
        <f t="shared" ca="1" si="0"/>
        <v>-8.2627009469731401E-3</v>
      </c>
      <c r="D36">
        <f t="shared" ca="1" si="13"/>
        <v>-4.0552330477208569E-3</v>
      </c>
      <c r="E36">
        <f t="shared" ca="1" si="14"/>
        <v>11.105560715073992</v>
      </c>
      <c r="F36">
        <f t="shared" ca="1" si="15"/>
        <v>-4.0883235316970534</v>
      </c>
      <c r="G36">
        <f t="shared" ca="1" si="12"/>
        <v>2.1467272404152027E-10</v>
      </c>
    </row>
    <row r="37" spans="1:7" x14ac:dyDescent="0.25">
      <c r="A37" s="2">
        <f t="shared" si="11"/>
        <v>2.600000000000001</v>
      </c>
      <c r="C37" s="3">
        <f t="shared" ca="1" si="0"/>
        <v>-8.655884739839588E-3</v>
      </c>
      <c r="D37">
        <f t="shared" ca="1" si="13"/>
        <v>-3.8129853913099893E-3</v>
      </c>
      <c r="E37">
        <f t="shared" ca="1" si="14"/>
        <v>10.696728361904091</v>
      </c>
      <c r="F37">
        <f t="shared" ca="1" si="15"/>
        <v>-4.088323531671687</v>
      </c>
      <c r="G37">
        <f t="shared" ca="1" si="12"/>
        <v>4.1957548546633916E-10</v>
      </c>
    </row>
    <row r="38" spans="1:7" x14ac:dyDescent="0.25">
      <c r="A38" s="2">
        <f t="shared" si="11"/>
        <v>2.7000000000000011</v>
      </c>
      <c r="C38" s="3">
        <f t="shared" ca="1" si="0"/>
        <v>-9.0252980252351379E-3</v>
      </c>
      <c r="D38">
        <f t="shared" ca="1" si="13"/>
        <v>-3.5798228983028365E-3</v>
      </c>
      <c r="E38">
        <f t="shared" ca="1" si="14"/>
        <v>10.287896008739654</v>
      </c>
      <c r="F38">
        <f t="shared" ca="1" si="15"/>
        <v>-4.0883235316131383</v>
      </c>
      <c r="G38">
        <f t="shared" ca="1" si="12"/>
        <v>4.2934544808304054E-10</v>
      </c>
    </row>
    <row r="39" spans="1:7" x14ac:dyDescent="0.25">
      <c r="A39" s="2">
        <f t="shared" si="11"/>
        <v>2.8000000000000012</v>
      </c>
      <c r="C39" s="3">
        <f ca="1">(1/6)*(B39*delta^4/(E*I)-C37+4*C38+4*C40-C42)</f>
        <v>-9.3718493195001553E-3</v>
      </c>
      <c r="D39">
        <f t="shared" ca="1" si="13"/>
        <v>-3.3557455686992685E-3</v>
      </c>
      <c r="E39">
        <f t="shared" ca="1" si="14"/>
        <v>9.8790636555814633</v>
      </c>
      <c r="F39">
        <f t="shared" ca="1" si="15"/>
        <v>-4.088323531585818</v>
      </c>
      <c r="G39">
        <f t="shared" ca="1" si="12"/>
        <v>-2.049915792667889E-10</v>
      </c>
    </row>
    <row r="40" spans="1:7" x14ac:dyDescent="0.25">
      <c r="A40" s="2">
        <f t="shared" si="11"/>
        <v>2.9000000000000012</v>
      </c>
      <c r="B40">
        <f>30/(2*delta^2)</f>
        <v>1499.9999999999998</v>
      </c>
      <c r="C40" s="3">
        <f ca="1">(1/6)*(B40*delta^4/(E*I)-C38+4*C39+4*C42-C44)</f>
        <v>-9.6964471389749916E-3</v>
      </c>
      <c r="D40">
        <f ca="1">(C42-C39)/(2*delta)</f>
        <v>-3.1407534024992245E-3</v>
      </c>
      <c r="E40">
        <f ca="1">E*I*(C42-2*C40+C39)/(delta^2)</f>
        <v>9.4702313024224907</v>
      </c>
      <c r="F40" s="13">
        <f t="shared" ref="F40:F41" ca="1" si="16">lagrange($A40,$A36:$A39,F36:F39)</f>
        <v>-4.0883235316541366</v>
      </c>
    </row>
    <row r="41" spans="1:7" x14ac:dyDescent="0.25">
      <c r="A41" s="10">
        <v>2.9990000000000001</v>
      </c>
      <c r="C41" s="13">
        <f ca="1">lagrange($A41,$A37:$A40,C37:C40)</f>
        <v>-9.997065660820658E-3</v>
      </c>
      <c r="D41" s="13">
        <f t="shared" ref="D41" ca="1" si="17">lagrange($A41,$A37:$A40,D37:D40)</f>
        <v>-2.936860498171762E-3</v>
      </c>
      <c r="E41" s="13">
        <f t="shared" ref="E41" ca="1" si="18">lagrange($A41,$A37:$A40,E37:E40)</f>
        <v>9.0654872727874363</v>
      </c>
      <c r="F41" s="13">
        <f t="shared" ca="1" si="16"/>
        <v>-4.0883235318792153</v>
      </c>
    </row>
    <row r="42" spans="1:7" x14ac:dyDescent="0.25">
      <c r="A42" s="11">
        <f>A40+delta</f>
        <v>3.0000000000000013</v>
      </c>
      <c r="C42" s="4">
        <v>-0.01</v>
      </c>
      <c r="D42">
        <f ca="1">(C44-C40)/(2*delta)</f>
        <v>-2.7681797330359869E-3</v>
      </c>
    </row>
    <row r="43" spans="1:7" x14ac:dyDescent="0.25">
      <c r="A43" s="14">
        <v>3.0009999999999999</v>
      </c>
      <c r="C43" s="13">
        <f ca="1">lagrange($A43,$A44:$A47,C44:C47)</f>
        <v>-1.0002928819116878E-2</v>
      </c>
      <c r="D43" s="13">
        <f t="shared" ref="D43" ca="1" si="19">lagrange($A43,$A44:$A47,D44:D47)</f>
        <v>-2.9261665950138802E-3</v>
      </c>
      <c r="E43" s="13">
        <f t="shared" ref="E43" ca="1" si="20">lagrange($A43,$A44:$A47,E44:E47)</f>
        <v>39.056843249795712</v>
      </c>
      <c r="F43" s="13">
        <f t="shared" ref="F43:F44" ca="1" si="21">lagrange($A43,$A44:$A47,F44:F47)</f>
        <v>-4.5556994746915187</v>
      </c>
    </row>
    <row r="44" spans="1:7" x14ac:dyDescent="0.25">
      <c r="A44" s="2">
        <f>A42+delta</f>
        <v>3.1000000000000014</v>
      </c>
      <c r="B44">
        <f>-30/(2*delta^2)</f>
        <v>-1499.9999999999998</v>
      </c>
      <c r="C44" s="3">
        <f ca="1">(1/6)*(B44*delta^4/(E*I)-C40+4*C42+4*C45-C46)</f>
        <v>-1.0250083085582189E-2</v>
      </c>
      <c r="D44">
        <f ca="1">(C45-C42)/(2*delta)</f>
        <v>-2.0718772002461996E-3</v>
      </c>
      <c r="E44">
        <f ca="1">E*I*(C45-2*C44+C42)/(delta^2)</f>
        <v>38.605829001811955</v>
      </c>
      <c r="F44" s="13">
        <f t="shared" ca="1" si="21"/>
        <v>-4.5556994746033297</v>
      </c>
    </row>
    <row r="45" spans="1:7" x14ac:dyDescent="0.25">
      <c r="A45" s="2">
        <f t="shared" si="11"/>
        <v>3.2000000000000015</v>
      </c>
      <c r="C45" s="3">
        <f ca="1">(1/6)*(B45*delta^4/(E*I)-C42+4*C44+4*C46-C47)</f>
        <v>-1.041437544004924E-2</v>
      </c>
      <c r="D45">
        <f t="shared" ca="1" si="13"/>
        <v>-1.2190317773998986E-3</v>
      </c>
      <c r="E45">
        <f t="shared" ca="1" si="14"/>
        <v>38.150259054355125</v>
      </c>
      <c r="F45">
        <f t="shared" ca="1" si="15"/>
        <v>-4.555699474564463</v>
      </c>
      <c r="G45">
        <f t="shared" ca="1" si="12"/>
        <v>2.1369572777985013E-10</v>
      </c>
    </row>
    <row r="46" spans="1:7" x14ac:dyDescent="0.25">
      <c r="A46" s="2">
        <f t="shared" si="11"/>
        <v>3.3000000000000016</v>
      </c>
      <c r="C46" s="3">
        <f t="shared" ref="C46:C62" ca="1" si="22">(1/6)*(B46*delta^4/(E*I)-C44+4*C45+4*C47-C48)</f>
        <v>-1.0493889441062169E-2</v>
      </c>
      <c r="D46">
        <f t="shared" ca="1" si="13"/>
        <v>-3.7631013116374082E-4</v>
      </c>
      <c r="E46">
        <f t="shared" ca="1" si="14"/>
        <v>37.694689106899062</v>
      </c>
      <c r="F46">
        <f t="shared" ca="1" si="15"/>
        <v>-4.5556994745605905</v>
      </c>
      <c r="G46">
        <f t="shared" ca="1" si="12"/>
        <v>-5.8619775700208265E-11</v>
      </c>
    </row>
    <row r="47" spans="1:7" x14ac:dyDescent="0.25">
      <c r="A47" s="2">
        <f t="shared" si="11"/>
        <v>3.4000000000000017</v>
      </c>
      <c r="C47" s="3">
        <f t="shared" ca="1" si="22"/>
        <v>-1.0489637466281988E-2</v>
      </c>
      <c r="D47">
        <f t="shared" ca="1" si="13"/>
        <v>4.5628773846228231E-4</v>
      </c>
      <c r="E47">
        <f t="shared" ca="1" si="14"/>
        <v>37.239119159443007</v>
      </c>
      <c r="F47">
        <f t="shared" ca="1" si="15"/>
        <v>-4.555699474576187</v>
      </c>
      <c r="G47">
        <f t="shared" ca="1" si="12"/>
        <v>-1.7568169141668477E-10</v>
      </c>
    </row>
    <row r="48" spans="1:7" x14ac:dyDescent="0.25">
      <c r="A48" s="2">
        <f t="shared" si="11"/>
        <v>3.5000000000000018</v>
      </c>
      <c r="C48" s="3">
        <f t="shared" ca="1" si="22"/>
        <v>-1.0402631893369712E-2</v>
      </c>
      <c r="D48">
        <f t="shared" ca="1" si="13"/>
        <v>1.2787618314781361E-3</v>
      </c>
      <c r="E48">
        <f t="shared" ca="1" si="14"/>
        <v>36.783549211983825</v>
      </c>
      <c r="F48">
        <f t="shared" ca="1" si="15"/>
        <v>-4.5556994745957269</v>
      </c>
      <c r="G48">
        <f t="shared" ca="1" si="12"/>
        <v>-2.1476154188349028E-10</v>
      </c>
    </row>
    <row r="49" spans="1:7" x14ac:dyDescent="0.25">
      <c r="A49" s="2">
        <f t="shared" si="11"/>
        <v>3.6000000000000019</v>
      </c>
      <c r="C49" s="3">
        <f t="shared" ca="1" si="22"/>
        <v>-1.0233885099986361E-2</v>
      </c>
      <c r="D49">
        <f t="shared" ca="1" si="13"/>
        <v>2.0911121478837773E-3</v>
      </c>
      <c r="E49">
        <f t="shared" ca="1" si="14"/>
        <v>36.327979264523862</v>
      </c>
      <c r="F49">
        <f t="shared" ca="1" si="15"/>
        <v>-4.5556994746191393</v>
      </c>
      <c r="G49">
        <f t="shared" ca="1" si="12"/>
        <v>-1.5596413049934199E-10</v>
      </c>
    </row>
    <row r="50" spans="1:7" x14ac:dyDescent="0.25">
      <c r="A50" s="2">
        <f t="shared" si="11"/>
        <v>3.700000000000002</v>
      </c>
      <c r="C50" s="3">
        <f t="shared" ca="1" si="22"/>
        <v>-9.9844094637929568E-3</v>
      </c>
      <c r="D50">
        <f t="shared" ca="1" si="13"/>
        <v>2.8933386876791537E-3</v>
      </c>
      <c r="E50">
        <f t="shared" ca="1" si="14"/>
        <v>35.872409317059997</v>
      </c>
      <c r="F50">
        <f t="shared" ca="1" si="15"/>
        <v>-4.5556994746269197</v>
      </c>
      <c r="G50">
        <f t="shared" ca="1" si="12"/>
        <v>-1.936228954946273E-11</v>
      </c>
    </row>
    <row r="51" spans="1:7" x14ac:dyDescent="0.25">
      <c r="A51" s="2">
        <f t="shared" si="11"/>
        <v>3.800000000000002</v>
      </c>
      <c r="C51" s="3">
        <f t="shared" ca="1" si="22"/>
        <v>-9.6552173624505303E-3</v>
      </c>
      <c r="D51">
        <f t="shared" ca="1" si="13"/>
        <v>3.6854414508642481E-3</v>
      </c>
      <c r="E51">
        <f t="shared" ca="1" si="14"/>
        <v>35.416839369598478</v>
      </c>
      <c r="F51">
        <f t="shared" ca="1" si="15"/>
        <v>-4.5556994746230117</v>
      </c>
      <c r="G51">
        <f t="shared" ca="1" si="12"/>
        <v>-7.815970093361102E-11</v>
      </c>
    </row>
    <row r="52" spans="1:7" x14ac:dyDescent="0.25">
      <c r="A52" s="2">
        <f t="shared" si="11"/>
        <v>3.9000000000000021</v>
      </c>
      <c r="C52" s="3">
        <f t="shared" ca="1" si="22"/>
        <v>-9.2473211736201072E-3</v>
      </c>
      <c r="D52">
        <f t="shared" ca="1" si="13"/>
        <v>4.4674204374390691E-3</v>
      </c>
      <c r="E52">
        <f t="shared" ca="1" si="14"/>
        <v>34.961269422135395</v>
      </c>
      <c r="F52">
        <f t="shared" ca="1" si="15"/>
        <v>-4.5556994746425516</v>
      </c>
    </row>
    <row r="53" spans="1:7" x14ac:dyDescent="0.25">
      <c r="A53" s="2">
        <f t="shared" si="11"/>
        <v>4.0000000000000018</v>
      </c>
      <c r="B53">
        <f>(-30*A53+110)/2</f>
        <v>-5.0000000000000284</v>
      </c>
      <c r="C53" s="3">
        <f t="shared" ca="1" si="22"/>
        <v>-8.7617332749627165E-3</v>
      </c>
      <c r="D53">
        <f t="shared" ca="1" si="13"/>
        <v>5.2392756474035733E-3</v>
      </c>
      <c r="E53">
        <f t="shared" ca="1" si="14"/>
        <v>34.505699474669967</v>
      </c>
      <c r="F53">
        <f t="shared" ca="1" si="15"/>
        <v>-4.8056994746488613</v>
      </c>
    </row>
    <row r="54" spans="1:7" x14ac:dyDescent="0.25">
      <c r="A54" s="2">
        <f t="shared" si="11"/>
        <v>4.1000000000000014</v>
      </c>
      <c r="B54">
        <f t="shared" ref="B54:B63" si="23">-30*A54+110</f>
        <v>-13.000000000000043</v>
      </c>
      <c r="C54" s="3">
        <f t="shared" ca="1" si="22"/>
        <v>-8.1994660441393925E-3</v>
      </c>
      <c r="D54">
        <f t="shared" ca="1" si="13"/>
        <v>6.0004515252021868E-3</v>
      </c>
      <c r="E54">
        <f t="shared" ca="1" si="14"/>
        <v>34.000129527205623</v>
      </c>
      <c r="F54">
        <f t="shared" ca="1" si="15"/>
        <v>-5.7056994746513112</v>
      </c>
    </row>
    <row r="55" spans="1:7" x14ac:dyDescent="0.25">
      <c r="A55" s="2">
        <f t="shared" si="11"/>
        <v>4.2000000000000011</v>
      </c>
      <c r="B55">
        <f t="shared" si="23"/>
        <v>-16.000000000000028</v>
      </c>
      <c r="C55" s="3">
        <f t="shared" ca="1" si="22"/>
        <v>-7.5616429699222791E-3</v>
      </c>
      <c r="D55">
        <f t="shared" ca="1" si="13"/>
        <v>6.7489480708349085E-3</v>
      </c>
      <c r="E55">
        <f t="shared" ca="1" si="14"/>
        <v>33.364559579739705</v>
      </c>
      <c r="F55">
        <f t="shared" ca="1" si="15"/>
        <v>-7.1556994746641678</v>
      </c>
      <c r="G55">
        <f t="shared" ca="1" si="12"/>
        <v>-16.000000000070891</v>
      </c>
    </row>
    <row r="56" spans="1:7" x14ac:dyDescent="0.25">
      <c r="A56" s="2">
        <f t="shared" si="11"/>
        <v>4.3000000000000007</v>
      </c>
      <c r="B56">
        <f t="shared" si="23"/>
        <v>-19.000000000000028</v>
      </c>
      <c r="C56" s="3">
        <f t="shared" ca="1" si="22"/>
        <v>-6.8496764299724108E-3</v>
      </c>
      <c r="D56">
        <f t="shared" ca="1" si="13"/>
        <v>7.4815430620794919E-3</v>
      </c>
      <c r="E56">
        <f t="shared" ca="1" si="14"/>
        <v>32.568989632272789</v>
      </c>
      <c r="F56">
        <f t="shared" ca="1" si="15"/>
        <v>-8.9056994746654894</v>
      </c>
      <c r="G56">
        <f t="shared" ca="1" si="12"/>
        <v>-18.999999999984851</v>
      </c>
    </row>
    <row r="57" spans="1:7" x14ac:dyDescent="0.25">
      <c r="A57" s="2">
        <f t="shared" si="11"/>
        <v>4.4000000000000004</v>
      </c>
      <c r="B57">
        <f t="shared" si="23"/>
        <v>-22</v>
      </c>
      <c r="C57" s="3">
        <f t="shared" ca="1" si="22"/>
        <v>-6.0653343575063808E-3</v>
      </c>
      <c r="D57">
        <f t="shared" ca="1" si="13"/>
        <v>8.1943476100470401E-3</v>
      </c>
      <c r="E57">
        <f t="shared" ca="1" si="14"/>
        <v>31.583419684806607</v>
      </c>
      <c r="F57">
        <f t="shared" ca="1" si="15"/>
        <v>-10.955699474661138</v>
      </c>
      <c r="G57">
        <f t="shared" ca="1" si="12"/>
        <v>-22.000000000015785</v>
      </c>
    </row>
    <row r="58" spans="1:7" x14ac:dyDescent="0.25">
      <c r="A58" s="2">
        <f t="shared" si="11"/>
        <v>4.5</v>
      </c>
      <c r="B58">
        <f t="shared" si="23"/>
        <v>-25</v>
      </c>
      <c r="C58" s="3">
        <f t="shared" ca="1" si="22"/>
        <v>-5.2108069079630026E-3</v>
      </c>
      <c r="D58">
        <f t="shared" ca="1" si="13"/>
        <v>8.8828061591820096E-3</v>
      </c>
      <c r="E58">
        <f t="shared" ca="1" si="14"/>
        <v>30.377849737340561</v>
      </c>
      <c r="F58">
        <f t="shared" ca="1" si="15"/>
        <v>-13.305699474668646</v>
      </c>
      <c r="G58">
        <f t="shared" ca="1" si="12"/>
        <v>-25.00000000008562</v>
      </c>
    </row>
    <row r="59" spans="1:7" x14ac:dyDescent="0.25">
      <c r="A59" s="2">
        <f t="shared" si="11"/>
        <v>4.5999999999999996</v>
      </c>
      <c r="B59">
        <f t="shared" si="23"/>
        <v>-28</v>
      </c>
      <c r="C59" s="3">
        <f t="shared" ca="1" si="22"/>
        <v>-4.2887731256699788E-3</v>
      </c>
      <c r="D59">
        <f t="shared" ca="1" si="13"/>
        <v>9.5416964872621583E-3</v>
      </c>
      <c r="E59">
        <f t="shared" ca="1" si="14"/>
        <v>28.922279789872878</v>
      </c>
      <c r="F59">
        <f t="shared" ca="1" si="15"/>
        <v>-15.955699474678262</v>
      </c>
      <c r="G59">
        <f t="shared" ca="1" si="12"/>
        <v>-28.000000000067793</v>
      </c>
    </row>
    <row r="60" spans="1:7" x14ac:dyDescent="0.25">
      <c r="A60" s="2">
        <f t="shared" si="11"/>
        <v>4.6999999999999993</v>
      </c>
      <c r="B60">
        <f t="shared" si="23"/>
        <v>-30.999999999999972</v>
      </c>
      <c r="C60" s="3">
        <f t="shared" ca="1" si="22"/>
        <v>-3.3024676105105708E-3</v>
      </c>
      <c r="D60">
        <f t="shared" ca="1" si="13"/>
        <v>1.0165129705398578E-2</v>
      </c>
      <c r="E60">
        <f t="shared" ca="1" si="14"/>
        <v>27.186709842404909</v>
      </c>
      <c r="F60">
        <f t="shared" ca="1" si="15"/>
        <v>-18.905699474682205</v>
      </c>
      <c r="G60">
        <f t="shared" ca="1" si="12"/>
        <v>-31.000000000025718</v>
      </c>
    </row>
    <row r="61" spans="1:7" x14ac:dyDescent="0.25">
      <c r="A61" s="2">
        <f t="shared" si="11"/>
        <v>4.7999999999999989</v>
      </c>
      <c r="B61">
        <f t="shared" si="23"/>
        <v>-33.999999999999972</v>
      </c>
      <c r="C61" s="3">
        <f t="shared" ca="1" si="22"/>
        <v>-2.255747184590263E-3</v>
      </c>
      <c r="D61">
        <f t="shared" ref="D61:D63" ca="1" si="24">(C62-C60)/(2*delta)</f>
        <v>1.0746550258035704E-2</v>
      </c>
      <c r="E61">
        <f t="shared" ref="E61:E63" ca="1" si="25">E*I*(C62-2*C61+C60)/(delta^2)</f>
        <v>25.141139894936437</v>
      </c>
      <c r="F61">
        <f t="shared" ref="F61:F62" ca="1" si="26">(E62-E60)/(2*delta)</f>
        <v>-22.155699474683406</v>
      </c>
      <c r="G61">
        <f t="shared" ref="G61" ca="1" si="27">(F62-F60)/(2*delta)</f>
        <v>-34.000000000000604</v>
      </c>
    </row>
    <row r="62" spans="1:7" x14ac:dyDescent="0.25">
      <c r="A62" s="2">
        <f t="shared" si="11"/>
        <v>4.8999999999999986</v>
      </c>
      <c r="B62">
        <f t="shared" si="23"/>
        <v>-36.999999999999943</v>
      </c>
      <c r="C62" s="3">
        <f t="shared" ca="1" si="22"/>
        <v>-1.1531575589034295E-3</v>
      </c>
      <c r="D62">
        <f t="shared" ca="1" si="24"/>
        <v>1.1278735922951314E-2</v>
      </c>
      <c r="E62">
        <f t="shared" ca="1" si="25"/>
        <v>22.755569947468228</v>
      </c>
      <c r="F62">
        <f t="shared" ca="1" si="26"/>
        <v>-25.705699474682326</v>
      </c>
    </row>
    <row r="63" spans="1:7" x14ac:dyDescent="0.25">
      <c r="A63" s="2">
        <f t="shared" si="11"/>
        <v>4.9999999999999982</v>
      </c>
      <c r="B63">
        <f t="shared" si="23"/>
        <v>-39.999999999999943</v>
      </c>
      <c r="C63" s="4">
        <v>0</v>
      </c>
      <c r="D63">
        <f t="shared" ca="1" si="24"/>
        <v>1.1753797811256518E-2</v>
      </c>
      <c r="E63">
        <f t="shared" ca="1" si="25"/>
        <v>19.999999999999972</v>
      </c>
      <c r="F63" s="7">
        <f ca="1">(0.5*E61-2*E62+1.5*E63)/delta</f>
        <v>-29.405699474682763</v>
      </c>
      <c r="G63" s="7"/>
    </row>
    <row r="64" spans="1:7" x14ac:dyDescent="0.25">
      <c r="C64" s="5">
        <f ca="1">(delta^2)*(20)/(E*I)+2*C63-C62</f>
        <v>1.1976020033478739E-3</v>
      </c>
    </row>
    <row r="66" spans="3:5" x14ac:dyDescent="0.25">
      <c r="C66" s="8" t="s">
        <v>7</v>
      </c>
    </row>
    <row r="67" spans="3:5" x14ac:dyDescent="0.25">
      <c r="C67" t="s">
        <v>13</v>
      </c>
      <c r="D67" s="10">
        <f ca="1">-1800*C9</f>
        <v>-12.761953987175724</v>
      </c>
      <c r="E67" t="s">
        <v>17</v>
      </c>
    </row>
    <row r="68" spans="3:5" x14ac:dyDescent="0.25">
      <c r="C68" t="s">
        <v>16</v>
      </c>
      <c r="D68" s="10">
        <f ca="1">-1200*C20</f>
        <v>-1.3263695447985009</v>
      </c>
      <c r="E68" t="s">
        <v>17</v>
      </c>
    </row>
    <row r="69" spans="3:5" x14ac:dyDescent="0.25">
      <c r="C69" t="s">
        <v>15</v>
      </c>
      <c r="D69" s="10">
        <f ca="1">F43-F41</f>
        <v>-0.46737594281230344</v>
      </c>
      <c r="E69" t="s">
        <v>17</v>
      </c>
    </row>
    <row r="70" spans="3:5" x14ac:dyDescent="0.25">
      <c r="C70" t="s">
        <v>14</v>
      </c>
      <c r="D70" s="10">
        <f ca="1">-F63</f>
        <v>29.405699474682763</v>
      </c>
      <c r="E70" t="s">
        <v>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ando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Hoja1</vt:lpstr>
      <vt:lpstr>delta</vt:lpstr>
      <vt:lpstr>E</vt:lpstr>
      <vt:lpstr>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unalman</dc:creator>
  <cp:lastModifiedBy>Usuario de Windows</cp:lastModifiedBy>
  <dcterms:created xsi:type="dcterms:W3CDTF">2019-05-03T11:53:48Z</dcterms:created>
  <dcterms:modified xsi:type="dcterms:W3CDTF">2019-05-15T19:24:00Z</dcterms:modified>
</cp:coreProperties>
</file>